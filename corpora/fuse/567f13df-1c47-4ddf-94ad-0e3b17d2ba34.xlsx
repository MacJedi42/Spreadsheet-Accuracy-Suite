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80" windowWidth="17235" windowHeight="9105"/>
  </bookViews>
  <sheets>
    <sheet name="Summary" sheetId="60" r:id="rId1"/>
    <sheet name="Rate History" sheetId="66" r:id="rId2"/>
    <sheet name="FTSE Summary" sheetId="65" r:id="rId3"/>
    <sheet name="Discipline Summary" sheetId="62" r:id="rId4"/>
    <sheet name="Discipline Analysis" sheetId="63" r:id="rId5"/>
    <sheet name="Neutral" sheetId="67" r:id="rId6"/>
    <sheet name="1" sheetId="57" r:id="rId7"/>
    <sheet name="2" sheetId="56" r:id="rId8"/>
    <sheet name="3" sheetId="55" r:id="rId9"/>
    <sheet name="4" sheetId="54" r:id="rId10"/>
    <sheet name="5" sheetId="53" r:id="rId11"/>
    <sheet name="6" sheetId="52" r:id="rId12"/>
    <sheet name="7" sheetId="51" r:id="rId13"/>
    <sheet name="8" sheetId="50" r:id="rId14"/>
    <sheet name="9" sheetId="49" r:id="rId15"/>
    <sheet name="10" sheetId="48" r:id="rId16"/>
    <sheet name="11" sheetId="47" r:id="rId17"/>
    <sheet name="12" sheetId="46" r:id="rId18"/>
    <sheet name="13" sheetId="45" r:id="rId19"/>
    <sheet name="14" sheetId="44" r:id="rId20"/>
    <sheet name="15" sheetId="43" r:id="rId21"/>
    <sheet name="16" sheetId="42" r:id="rId22"/>
    <sheet name="17" sheetId="41" r:id="rId23"/>
    <sheet name="18" sheetId="40" r:id="rId24"/>
    <sheet name="19" sheetId="39" r:id="rId25"/>
    <sheet name="20" sheetId="38" r:id="rId26"/>
    <sheet name="21" sheetId="37" r:id="rId27"/>
    <sheet name="22" sheetId="36" r:id="rId28"/>
    <sheet name="23" sheetId="35" r:id="rId29"/>
    <sheet name="24" sheetId="34" r:id="rId30"/>
    <sheet name="25" sheetId="33" r:id="rId31"/>
    <sheet name="26" sheetId="32" r:id="rId32"/>
    <sheet name="27" sheetId="31" r:id="rId33"/>
    <sheet name="28" sheetId="30" r:id="rId34"/>
    <sheet name="29" sheetId="29" r:id="rId35"/>
    <sheet name="30" sheetId="28" r:id="rId36"/>
    <sheet name="31" sheetId="27" r:id="rId37"/>
    <sheet name="32" sheetId="26" r:id="rId38"/>
    <sheet name="33" sheetId="25" r:id="rId39"/>
    <sheet name="34" sheetId="24" r:id="rId40"/>
    <sheet name="35" sheetId="23" r:id="rId41"/>
    <sheet name="36" sheetId="22" r:id="rId42"/>
    <sheet name="37" sheetId="21" r:id="rId43"/>
    <sheet name="38" sheetId="20" r:id="rId44"/>
    <sheet name="39" sheetId="19" r:id="rId45"/>
    <sheet name="40" sheetId="18" r:id="rId46"/>
    <sheet name="41" sheetId="17" r:id="rId47"/>
    <sheet name="42" sheetId="16" r:id="rId48"/>
    <sheet name="43" sheetId="15" r:id="rId49"/>
    <sheet name="44" sheetId="14" r:id="rId50"/>
    <sheet name="45" sheetId="13" r:id="rId51"/>
    <sheet name="46" sheetId="12" r:id="rId52"/>
    <sheet name="47" sheetId="11" r:id="rId53"/>
    <sheet name="48" sheetId="10" r:id="rId54"/>
    <sheet name="49" sheetId="9" r:id="rId55"/>
    <sheet name="50" sheetId="8" r:id="rId56"/>
    <sheet name="51" sheetId="7" r:id="rId57"/>
    <sheet name="52" sheetId="6" r:id="rId58"/>
    <sheet name="53" sheetId="5" r:id="rId59"/>
    <sheet name="54" sheetId="4" r:id="rId60"/>
    <sheet name="55" sheetId="3" r:id="rId61"/>
    <sheet name="56" sheetId="59" r:id="rId62"/>
    <sheet name="57" sheetId="1" r:id="rId63"/>
    <sheet name="Data" sheetId="2" r:id="rId64"/>
  </sheets>
  <definedNames>
    <definedName name="Broadway_AP_FRP_RFOE_CCSurvey" localSheetId="63" hidden="1">Data!$A$4:$LB$61</definedName>
    <definedName name="_xlnm.Print_Area" localSheetId="4">'Discipline Analysis'!$A$1:$V$64</definedName>
    <definedName name="_xlnm.Print_Titles" localSheetId="4">'Discipline Analysis'!$A:$A,'Discipline Analysis'!$5:$5</definedName>
    <definedName name="_xlnm.Print_Titles" localSheetId="3">'Discipline Summary'!$A:$A,'Discipline Summary'!$3:$3</definedName>
    <definedName name="_xlnm.Print_Titles" localSheetId="2">'FTSE Summary'!$3:$3</definedName>
    <definedName name="_xlnm.Print_Titles" localSheetId="5">Neutral!$4:$4</definedName>
    <definedName name="_xlnm.Print_Titles" localSheetId="1">'Rate History'!$B:$B</definedName>
  </definedNames>
  <calcPr calcId="145621"/>
</workbook>
</file>

<file path=xl/calcChain.xml><?xml version="1.0" encoding="utf-8"?>
<calcChain xmlns="http://schemas.openxmlformats.org/spreadsheetml/2006/main">
  <c r="C4" i="67" l="1"/>
  <c r="B4" i="67"/>
  <c r="C62" i="67" l="1"/>
  <c r="B62" i="67"/>
  <c r="C61" i="67"/>
  <c r="B61" i="67"/>
  <c r="C60" i="67"/>
  <c r="B60" i="67"/>
  <c r="C59" i="67"/>
  <c r="B59" i="67"/>
  <c r="C58" i="67"/>
  <c r="B58" i="67"/>
  <c r="C57" i="67"/>
  <c r="B57" i="67"/>
  <c r="C56" i="67"/>
  <c r="B56" i="67"/>
  <c r="C55" i="67"/>
  <c r="B55" i="67"/>
  <c r="C54" i="67"/>
  <c r="B54" i="67"/>
  <c r="C53" i="67"/>
  <c r="B53" i="67"/>
  <c r="C52" i="67"/>
  <c r="B52" i="67"/>
  <c r="C51" i="67"/>
  <c r="B51" i="67"/>
  <c r="C50" i="67"/>
  <c r="B50" i="67"/>
  <c r="C49" i="67"/>
  <c r="B49" i="67"/>
  <c r="C48" i="67"/>
  <c r="B48" i="67"/>
  <c r="C47" i="67"/>
  <c r="B47" i="67"/>
  <c r="C46" i="67"/>
  <c r="B46" i="67"/>
  <c r="C45" i="67"/>
  <c r="B45" i="67"/>
  <c r="C44" i="67"/>
  <c r="B44" i="67"/>
  <c r="C43" i="67"/>
  <c r="B43" i="67"/>
  <c r="C42" i="67"/>
  <c r="B42" i="67"/>
  <c r="C41" i="67"/>
  <c r="B41" i="67"/>
  <c r="C40" i="67"/>
  <c r="B40" i="67"/>
  <c r="C39" i="67"/>
  <c r="B39" i="67"/>
  <c r="C38" i="67"/>
  <c r="B38" i="67"/>
  <c r="C37" i="67"/>
  <c r="B37" i="67"/>
  <c r="C36" i="67"/>
  <c r="B36" i="67"/>
  <c r="C35" i="67"/>
  <c r="B35" i="67"/>
  <c r="C34" i="67"/>
  <c r="B34" i="67"/>
  <c r="C33" i="67"/>
  <c r="B33" i="67"/>
  <c r="C32" i="67"/>
  <c r="B32" i="67"/>
  <c r="C31" i="67"/>
  <c r="B31" i="67"/>
  <c r="C30" i="67"/>
  <c r="B30" i="67"/>
  <c r="C29" i="67"/>
  <c r="B29" i="67"/>
  <c r="C28" i="67"/>
  <c r="B28" i="67"/>
  <c r="C27" i="67"/>
  <c r="B27" i="67"/>
  <c r="C26" i="67"/>
  <c r="B26" i="67"/>
  <c r="C25" i="67"/>
  <c r="B25" i="67"/>
  <c r="C24" i="67"/>
  <c r="B24" i="67"/>
  <c r="C23" i="67"/>
  <c r="B23" i="67"/>
  <c r="C22" i="67"/>
  <c r="B22" i="67"/>
  <c r="C21" i="67"/>
  <c r="B21" i="67"/>
  <c r="C20" i="67"/>
  <c r="B20" i="67"/>
  <c r="C19" i="67"/>
  <c r="B19" i="67"/>
  <c r="C18" i="67"/>
  <c r="B18" i="67"/>
  <c r="C17" i="67"/>
  <c r="B17" i="67"/>
  <c r="C16" i="67"/>
  <c r="B16" i="67"/>
  <c r="C15" i="67"/>
  <c r="B15" i="67"/>
  <c r="C14" i="67"/>
  <c r="B14" i="67"/>
  <c r="C13" i="67"/>
  <c r="B13" i="67"/>
  <c r="C12" i="67"/>
  <c r="B12" i="67"/>
  <c r="C11" i="67"/>
  <c r="B11" i="67"/>
  <c r="C10" i="67"/>
  <c r="B10" i="67"/>
  <c r="C9" i="67"/>
  <c r="B9" i="67"/>
  <c r="C8" i="67"/>
  <c r="B8" i="67"/>
  <c r="C7" i="67"/>
  <c r="B7" i="67"/>
  <c r="C6" i="67"/>
  <c r="B6" i="67"/>
  <c r="C31" i="66"/>
  <c r="C30" i="66"/>
  <c r="C29" i="66"/>
  <c r="C28" i="66"/>
  <c r="C27" i="66"/>
  <c r="C26" i="66"/>
  <c r="C25" i="66"/>
  <c r="C24" i="66"/>
  <c r="C23" i="66"/>
  <c r="C22" i="66"/>
  <c r="C21" i="66"/>
  <c r="C20" i="66"/>
  <c r="C19" i="66"/>
  <c r="C18" i="66"/>
  <c r="C17" i="66"/>
  <c r="C16" i="66"/>
  <c r="C15" i="66"/>
  <c r="C14" i="66"/>
  <c r="C13" i="66"/>
  <c r="C12" i="66"/>
  <c r="C11" i="66"/>
  <c r="C10" i="66"/>
  <c r="C9" i="66"/>
  <c r="C8" i="66"/>
  <c r="C7" i="66"/>
  <c r="C6" i="66"/>
  <c r="C5" i="66"/>
  <c r="C4" i="66"/>
  <c r="H31" i="66"/>
  <c r="H30" i="66"/>
  <c r="H29" i="66"/>
  <c r="H28" i="66"/>
  <c r="H27" i="66"/>
  <c r="H26" i="66"/>
  <c r="H25" i="66"/>
  <c r="H24" i="66"/>
  <c r="H23" i="66"/>
  <c r="H22" i="66"/>
  <c r="H21" i="66"/>
  <c r="H20" i="66"/>
  <c r="H19" i="66"/>
  <c r="H18" i="66"/>
  <c r="H17" i="66"/>
  <c r="H16" i="66"/>
  <c r="H15" i="66"/>
  <c r="H14" i="66"/>
  <c r="H13" i="66"/>
  <c r="H12" i="66"/>
  <c r="H11" i="66"/>
  <c r="H10" i="66"/>
  <c r="H9" i="66"/>
  <c r="H8" i="66"/>
  <c r="H7" i="66"/>
  <c r="H6" i="66"/>
  <c r="H5" i="66"/>
  <c r="C34" i="66"/>
  <c r="A1" i="67"/>
  <c r="A1" i="66"/>
  <c r="D5" i="67"/>
  <c r="F34" i="66"/>
  <c r="E34" i="66"/>
  <c r="J34" i="66" s="1"/>
  <c r="F33" i="66"/>
  <c r="E33" i="66"/>
  <c r="J33" i="66" s="1"/>
  <c r="F32" i="66"/>
  <c r="E32" i="66"/>
  <c r="J32" i="66" s="1"/>
  <c r="J31" i="66"/>
  <c r="I31" i="66"/>
  <c r="J30" i="66"/>
  <c r="I30" i="66"/>
  <c r="J29" i="66"/>
  <c r="I29" i="66"/>
  <c r="J28" i="66"/>
  <c r="I28" i="66"/>
  <c r="J27" i="66"/>
  <c r="I27" i="66"/>
  <c r="J26" i="66"/>
  <c r="I26" i="66"/>
  <c r="J25" i="66"/>
  <c r="I25" i="66"/>
  <c r="J24" i="66"/>
  <c r="I24" i="66"/>
  <c r="J23" i="66"/>
  <c r="I23" i="66"/>
  <c r="J22" i="66"/>
  <c r="I22" i="66"/>
  <c r="J21" i="66"/>
  <c r="I21" i="66"/>
  <c r="J20" i="66"/>
  <c r="I20" i="66"/>
  <c r="J19" i="66"/>
  <c r="I19" i="66"/>
  <c r="J18" i="66"/>
  <c r="I18" i="66"/>
  <c r="J17" i="66"/>
  <c r="I17" i="66"/>
  <c r="J16" i="66"/>
  <c r="I16" i="66"/>
  <c r="J15" i="66"/>
  <c r="I15" i="66"/>
  <c r="J14" i="66"/>
  <c r="I14" i="66"/>
  <c r="J13" i="66"/>
  <c r="I13" i="66"/>
  <c r="J12" i="66"/>
  <c r="I12" i="66"/>
  <c r="J11" i="66"/>
  <c r="I11" i="66"/>
  <c r="J10" i="66"/>
  <c r="I10" i="66"/>
  <c r="J9" i="66"/>
  <c r="I9" i="66"/>
  <c r="J8" i="66"/>
  <c r="I8" i="66"/>
  <c r="J7" i="66"/>
  <c r="I7" i="66"/>
  <c r="J6" i="66"/>
  <c r="I6" i="66"/>
  <c r="J5" i="66"/>
  <c r="I5" i="66"/>
  <c r="J4" i="66"/>
  <c r="C63" i="67" l="1"/>
  <c r="D31" i="67"/>
  <c r="E31" i="67" s="1"/>
  <c r="B63" i="67"/>
  <c r="D7" i="67"/>
  <c r="E7" i="67" s="1"/>
  <c r="D8" i="67"/>
  <c r="E8" i="67" s="1"/>
  <c r="D9" i="67"/>
  <c r="E9" i="67" s="1"/>
  <c r="D10" i="67"/>
  <c r="E10" i="67" s="1"/>
  <c r="D11" i="67"/>
  <c r="E11" i="67" s="1"/>
  <c r="D12" i="67"/>
  <c r="E12" i="67" s="1"/>
  <c r="D13" i="67"/>
  <c r="E13" i="67" s="1"/>
  <c r="D14" i="67"/>
  <c r="E14" i="67" s="1"/>
  <c r="D15" i="67"/>
  <c r="E15" i="67" s="1"/>
  <c r="D16" i="67"/>
  <c r="E16" i="67" s="1"/>
  <c r="D17" i="67"/>
  <c r="E17" i="67" s="1"/>
  <c r="D18" i="67"/>
  <c r="E18" i="67" s="1"/>
  <c r="D19" i="67"/>
  <c r="E19" i="67" s="1"/>
  <c r="D20" i="67"/>
  <c r="E20" i="67" s="1"/>
  <c r="D21" i="67"/>
  <c r="E21" i="67" s="1"/>
  <c r="D22" i="67"/>
  <c r="E22" i="67" s="1"/>
  <c r="D23" i="67"/>
  <c r="E23" i="67" s="1"/>
  <c r="D24" i="67"/>
  <c r="E24" i="67" s="1"/>
  <c r="D25" i="67"/>
  <c r="E25" i="67" s="1"/>
  <c r="D26" i="67"/>
  <c r="E26" i="67" s="1"/>
  <c r="D27" i="67"/>
  <c r="E27" i="67" s="1"/>
  <c r="D28" i="67"/>
  <c r="E28" i="67" s="1"/>
  <c r="D29" i="67"/>
  <c r="E29" i="67" s="1"/>
  <c r="D30" i="67"/>
  <c r="E30" i="67" s="1"/>
  <c r="D32" i="67"/>
  <c r="E32" i="67" s="1"/>
  <c r="D33" i="67"/>
  <c r="E33" i="67" s="1"/>
  <c r="D34" i="67"/>
  <c r="E34" i="67" s="1"/>
  <c r="D35" i="67"/>
  <c r="E35" i="67" s="1"/>
  <c r="D36" i="67"/>
  <c r="E36" i="67" s="1"/>
  <c r="D37" i="67"/>
  <c r="E37" i="67" s="1"/>
  <c r="D38" i="67"/>
  <c r="E38" i="67" s="1"/>
  <c r="D39" i="67"/>
  <c r="E39" i="67" s="1"/>
  <c r="D40" i="67"/>
  <c r="E40" i="67" s="1"/>
  <c r="D41" i="67"/>
  <c r="E41" i="67" s="1"/>
  <c r="D42" i="67"/>
  <c r="E42" i="67" s="1"/>
  <c r="D43" i="67"/>
  <c r="E43" i="67" s="1"/>
  <c r="D44" i="67"/>
  <c r="E44" i="67" s="1"/>
  <c r="D45" i="67"/>
  <c r="E45" i="67" s="1"/>
  <c r="D46" i="67"/>
  <c r="E46" i="67" s="1"/>
  <c r="D47" i="67"/>
  <c r="E47" i="67" s="1"/>
  <c r="D48" i="67"/>
  <c r="E48" i="67" s="1"/>
  <c r="D49" i="67"/>
  <c r="E49" i="67" s="1"/>
  <c r="D50" i="67"/>
  <c r="E50" i="67" s="1"/>
  <c r="D51" i="67"/>
  <c r="E51" i="67" s="1"/>
  <c r="D52" i="67"/>
  <c r="E52" i="67" s="1"/>
  <c r="D53" i="67"/>
  <c r="E53" i="67" s="1"/>
  <c r="D54" i="67"/>
  <c r="E54" i="67" s="1"/>
  <c r="D55" i="67"/>
  <c r="E55" i="67" s="1"/>
  <c r="D56" i="67"/>
  <c r="E56" i="67" s="1"/>
  <c r="D57" i="67"/>
  <c r="E57" i="67" s="1"/>
  <c r="D58" i="67"/>
  <c r="E58" i="67" s="1"/>
  <c r="D59" i="67"/>
  <c r="E59" i="67" s="1"/>
  <c r="D60" i="67"/>
  <c r="E60" i="67" s="1"/>
  <c r="D61" i="67"/>
  <c r="E61" i="67" s="1"/>
  <c r="D62" i="67"/>
  <c r="E62" i="67" s="1"/>
  <c r="H4" i="66"/>
  <c r="C33" i="66"/>
  <c r="D34" i="66"/>
  <c r="I34" i="66" s="1"/>
  <c r="C32" i="66"/>
  <c r="D6" i="67"/>
  <c r="E6" i="67" s="1"/>
  <c r="I4" i="66"/>
  <c r="D33" i="66"/>
  <c r="I33" i="66" s="1"/>
  <c r="D32" i="66"/>
  <c r="I32" i="66" s="1"/>
  <c r="D63" i="67" l="1"/>
  <c r="E63" i="67" s="1"/>
  <c r="H32" i="66"/>
  <c r="H33" i="66"/>
  <c r="H34" i="66"/>
  <c r="F3" i="1" l="1"/>
  <c r="B2" i="1"/>
  <c r="A1" i="1"/>
  <c r="F3" i="59"/>
  <c r="B2" i="59"/>
  <c r="A1" i="59"/>
  <c r="F3" i="3"/>
  <c r="B2" i="3"/>
  <c r="A1" i="3"/>
  <c r="F3" i="4"/>
  <c r="B2" i="4"/>
  <c r="A1" i="4"/>
  <c r="F3" i="5"/>
  <c r="B2" i="5"/>
  <c r="A1" i="5"/>
  <c r="F3" i="6"/>
  <c r="B2" i="6"/>
  <c r="A1" i="6"/>
  <c r="F3" i="7"/>
  <c r="B2" i="7"/>
  <c r="A1" i="7"/>
  <c r="F3" i="8"/>
  <c r="B2" i="8"/>
  <c r="A1" i="8"/>
  <c r="F3" i="9"/>
  <c r="B2" i="9"/>
  <c r="A1" i="9"/>
  <c r="F3" i="10"/>
  <c r="B2" i="10"/>
  <c r="A1" i="10"/>
  <c r="F3" i="11"/>
  <c r="B2" i="11"/>
  <c r="A1" i="11"/>
  <c r="F3" i="12"/>
  <c r="B2" i="12"/>
  <c r="A1" i="12"/>
  <c r="F3" i="13"/>
  <c r="B2" i="13"/>
  <c r="A1" i="13"/>
  <c r="F3" i="14"/>
  <c r="B2" i="14"/>
  <c r="A1" i="14"/>
  <c r="F3" i="15"/>
  <c r="B2" i="15"/>
  <c r="A1" i="15"/>
  <c r="F3" i="16"/>
  <c r="B2" i="16"/>
  <c r="A1" i="16"/>
  <c r="F3" i="17"/>
  <c r="B2" i="17"/>
  <c r="A1" i="17"/>
  <c r="F3" i="18"/>
  <c r="B2" i="18"/>
  <c r="A1" i="18"/>
  <c r="F3" i="19"/>
  <c r="B2" i="19"/>
  <c r="A1" i="19"/>
  <c r="F3" i="20"/>
  <c r="B2" i="20"/>
  <c r="A1" i="20"/>
  <c r="F3" i="21"/>
  <c r="B2" i="21"/>
  <c r="A1" i="21"/>
  <c r="F3" i="22"/>
  <c r="B2" i="22"/>
  <c r="A1" i="22"/>
  <c r="F3" i="23"/>
  <c r="B2" i="23"/>
  <c r="A1" i="23"/>
  <c r="F3" i="24"/>
  <c r="B2" i="24"/>
  <c r="A1" i="24"/>
  <c r="F3" i="25"/>
  <c r="B2" i="25"/>
  <c r="A1" i="25"/>
  <c r="F3" i="26"/>
  <c r="B2" i="26"/>
  <c r="A1" i="26"/>
  <c r="F3" i="27"/>
  <c r="B2" i="27"/>
  <c r="A1" i="27"/>
  <c r="F3" i="28"/>
  <c r="B2" i="28"/>
  <c r="A1" i="28"/>
  <c r="F3" i="29"/>
  <c r="B2" i="29"/>
  <c r="A1" i="29"/>
  <c r="F3" i="30"/>
  <c r="B2" i="30"/>
  <c r="A1" i="30"/>
  <c r="F3" i="31"/>
  <c r="B2" i="31"/>
  <c r="A1" i="31"/>
  <c r="F3" i="32"/>
  <c r="B2" i="32"/>
  <c r="A1" i="32"/>
  <c r="F3" i="33"/>
  <c r="B2" i="33"/>
  <c r="A1" i="33"/>
  <c r="F3" i="34"/>
  <c r="B2" i="34"/>
  <c r="A1" i="34"/>
  <c r="F3" i="35"/>
  <c r="B2" i="35"/>
  <c r="A1" i="35"/>
  <c r="F3" i="36"/>
  <c r="B2" i="36"/>
  <c r="A1" i="36"/>
  <c r="F3" i="37"/>
  <c r="B2" i="37"/>
  <c r="A1" i="37"/>
  <c r="F3" i="38"/>
  <c r="B2" i="38"/>
  <c r="A1" i="38"/>
  <c r="F3" i="39"/>
  <c r="B2" i="39"/>
  <c r="A1" i="39"/>
  <c r="F3" i="40"/>
  <c r="B2" i="40"/>
  <c r="A1" i="40"/>
  <c r="F3" i="41"/>
  <c r="B2" i="41"/>
  <c r="A1" i="41"/>
  <c r="F3" i="42"/>
  <c r="B2" i="42"/>
  <c r="A1" i="42"/>
  <c r="F3" i="43"/>
  <c r="B2" i="43"/>
  <c r="A1" i="43"/>
  <c r="F3" i="44"/>
  <c r="B2" i="44"/>
  <c r="A1" i="44"/>
  <c r="F3" i="45"/>
  <c r="B2" i="45"/>
  <c r="A1" i="45"/>
  <c r="F3" i="46"/>
  <c r="B2" i="46"/>
  <c r="A1" i="46"/>
  <c r="F3" i="47"/>
  <c r="B2" i="47"/>
  <c r="A1" i="47"/>
  <c r="F3" i="48"/>
  <c r="B2" i="48"/>
  <c r="A1" i="48"/>
  <c r="F3" i="49"/>
  <c r="B2" i="49"/>
  <c r="A1" i="49"/>
  <c r="F3" i="50"/>
  <c r="B2" i="50"/>
  <c r="A1" i="50"/>
  <c r="F3" i="51"/>
  <c r="B2" i="51"/>
  <c r="A1" i="51"/>
  <c r="F3" i="52"/>
  <c r="B2" i="52"/>
  <c r="A1" i="52"/>
  <c r="F3" i="53"/>
  <c r="B2" i="53"/>
  <c r="A1" i="53"/>
  <c r="F3" i="54"/>
  <c r="B2" i="54"/>
  <c r="A1" i="54"/>
  <c r="F3" i="55"/>
  <c r="B2" i="55"/>
  <c r="A1" i="55"/>
  <c r="F3" i="56"/>
  <c r="B2" i="56"/>
  <c r="A1" i="56"/>
  <c r="F3" i="57"/>
  <c r="B2" i="57"/>
  <c r="A1" i="57"/>
  <c r="A1" i="63"/>
  <c r="A1" i="62"/>
  <c r="C60" i="65"/>
  <c r="C59" i="65"/>
  <c r="C58" i="65"/>
  <c r="C57" i="65"/>
  <c r="C56" i="65"/>
  <c r="C55" i="65"/>
  <c r="C54" i="65"/>
  <c r="C53" i="65"/>
  <c r="C52" i="65"/>
  <c r="C51" i="65"/>
  <c r="C50" i="65"/>
  <c r="C49" i="65"/>
  <c r="C48" i="65"/>
  <c r="C47" i="65"/>
  <c r="C46" i="65"/>
  <c r="C45" i="65"/>
  <c r="C44" i="65"/>
  <c r="C43" i="65"/>
  <c r="C42" i="65"/>
  <c r="C41" i="65"/>
  <c r="C40" i="65"/>
  <c r="C39" i="65"/>
  <c r="C38" i="65"/>
  <c r="C37" i="65"/>
  <c r="C36" i="65"/>
  <c r="C35" i="65"/>
  <c r="C34" i="65"/>
  <c r="C33" i="65"/>
  <c r="C32" i="65"/>
  <c r="C31" i="65"/>
  <c r="C30" i="65"/>
  <c r="C29" i="65"/>
  <c r="C28" i="65"/>
  <c r="C27" i="65"/>
  <c r="C26" i="65"/>
  <c r="C25" i="65"/>
  <c r="C24" i="65"/>
  <c r="C23" i="65"/>
  <c r="C22" i="65"/>
  <c r="C21" i="65"/>
  <c r="C20" i="65"/>
  <c r="C19" i="65"/>
  <c r="C18" i="65"/>
  <c r="C17" i="65"/>
  <c r="C16" i="65"/>
  <c r="C15" i="65"/>
  <c r="C14" i="65"/>
  <c r="C13" i="65"/>
  <c r="C12" i="65"/>
  <c r="C11" i="65"/>
  <c r="C10" i="65"/>
  <c r="C9" i="65"/>
  <c r="C8" i="65"/>
  <c r="C7" i="65"/>
  <c r="C6" i="65"/>
  <c r="C5" i="65"/>
  <c r="C4" i="65"/>
  <c r="A1" i="65"/>
  <c r="D120" i="60"/>
  <c r="C120" i="60"/>
  <c r="E117" i="60"/>
  <c r="C117" i="60"/>
  <c r="D116" i="60"/>
  <c r="D114" i="60"/>
  <c r="D113" i="60"/>
  <c r="D112" i="60"/>
  <c r="D111" i="60"/>
  <c r="D110" i="60"/>
  <c r="E62" i="56" l="1"/>
  <c r="E60" i="56"/>
  <c r="E58" i="56"/>
  <c r="E56" i="56"/>
  <c r="E54" i="56"/>
  <c r="E52" i="56"/>
  <c r="E50" i="56"/>
  <c r="E48" i="56"/>
  <c r="E46" i="56"/>
  <c r="E44" i="56"/>
  <c r="E42" i="56"/>
  <c r="E40" i="56"/>
  <c r="E38" i="56"/>
  <c r="E36" i="56"/>
  <c r="E63" i="56"/>
  <c r="E61" i="56"/>
  <c r="E59" i="56"/>
  <c r="E57" i="56"/>
  <c r="E55" i="56"/>
  <c r="E53" i="56"/>
  <c r="E51" i="56"/>
  <c r="E49" i="56"/>
  <c r="E47" i="56"/>
  <c r="E45" i="56"/>
  <c r="E43" i="56"/>
  <c r="E41" i="56"/>
  <c r="E39" i="56"/>
  <c r="E37" i="56"/>
  <c r="E62" i="54"/>
  <c r="E60" i="54"/>
  <c r="E58" i="54"/>
  <c r="E56" i="54"/>
  <c r="E54" i="54"/>
  <c r="E52" i="54"/>
  <c r="E50" i="54"/>
  <c r="E48" i="54"/>
  <c r="E46" i="54"/>
  <c r="E44" i="54"/>
  <c r="E42" i="54"/>
  <c r="E40" i="54"/>
  <c r="E38" i="54"/>
  <c r="E36" i="54"/>
  <c r="E63" i="54"/>
  <c r="E59" i="54"/>
  <c r="E55" i="54"/>
  <c r="E51" i="54"/>
  <c r="E47" i="54"/>
  <c r="E43" i="54"/>
  <c r="E39" i="54"/>
  <c r="E61" i="54"/>
  <c r="E57" i="54"/>
  <c r="E53" i="54"/>
  <c r="E49" i="54"/>
  <c r="E45" i="54"/>
  <c r="E41" i="54"/>
  <c r="E37" i="54"/>
  <c r="E62" i="52"/>
  <c r="E60" i="52"/>
  <c r="E58" i="52"/>
  <c r="E56" i="52"/>
  <c r="E54" i="52"/>
  <c r="E52" i="52"/>
  <c r="E50" i="52"/>
  <c r="E48" i="52"/>
  <c r="E46" i="52"/>
  <c r="E44" i="52"/>
  <c r="E42" i="52"/>
  <c r="E40" i="52"/>
  <c r="E38" i="52"/>
  <c r="E36" i="52"/>
  <c r="E63" i="52"/>
  <c r="E59" i="52"/>
  <c r="E55" i="52"/>
  <c r="E51" i="52"/>
  <c r="E47" i="52"/>
  <c r="E43" i="52"/>
  <c r="E39" i="52"/>
  <c r="E61" i="52"/>
  <c r="E57" i="52"/>
  <c r="E53" i="52"/>
  <c r="E49" i="52"/>
  <c r="E45" i="52"/>
  <c r="E41" i="52"/>
  <c r="E37" i="52"/>
  <c r="E62" i="50"/>
  <c r="E60" i="50"/>
  <c r="E58" i="50"/>
  <c r="E56" i="50"/>
  <c r="E54" i="50"/>
  <c r="E52" i="50"/>
  <c r="E50" i="50"/>
  <c r="E48" i="50"/>
  <c r="E46" i="50"/>
  <c r="E44" i="50"/>
  <c r="E42" i="50"/>
  <c r="E40" i="50"/>
  <c r="E38" i="50"/>
  <c r="E36" i="50"/>
  <c r="E63" i="50"/>
  <c r="E59" i="50"/>
  <c r="E55" i="50"/>
  <c r="E51" i="50"/>
  <c r="E47" i="50"/>
  <c r="E43" i="50"/>
  <c r="E39" i="50"/>
  <c r="E61" i="50"/>
  <c r="E57" i="50"/>
  <c r="E53" i="50"/>
  <c r="E49" i="50"/>
  <c r="E45" i="50"/>
  <c r="E41" i="50"/>
  <c r="E37" i="50"/>
  <c r="E62" i="48"/>
  <c r="E60" i="48"/>
  <c r="E58" i="48"/>
  <c r="E56" i="48"/>
  <c r="E54" i="48"/>
  <c r="E52" i="48"/>
  <c r="E50" i="48"/>
  <c r="E48" i="48"/>
  <c r="E46" i="48"/>
  <c r="E44" i="48"/>
  <c r="E42" i="48"/>
  <c r="E40" i="48"/>
  <c r="E38" i="48"/>
  <c r="E36" i="48"/>
  <c r="E63" i="48"/>
  <c r="E61" i="48"/>
  <c r="E59" i="48"/>
  <c r="E57" i="48"/>
  <c r="E55" i="48"/>
  <c r="E53" i="48"/>
  <c r="E51" i="48"/>
  <c r="E49" i="48"/>
  <c r="E47" i="48"/>
  <c r="E45" i="48"/>
  <c r="E43" i="48"/>
  <c r="E41" i="48"/>
  <c r="E39" i="48"/>
  <c r="E37" i="48"/>
  <c r="E62" i="46"/>
  <c r="E63" i="46"/>
  <c r="E61" i="46"/>
  <c r="E59" i="46"/>
  <c r="E57" i="46"/>
  <c r="E55" i="46"/>
  <c r="E53" i="46"/>
  <c r="E51" i="46"/>
  <c r="E49" i="46"/>
  <c r="E47" i="46"/>
  <c r="E45" i="46"/>
  <c r="E43" i="46"/>
  <c r="E41" i="46"/>
  <c r="E39" i="46"/>
  <c r="E37" i="46"/>
  <c r="E60" i="46"/>
  <c r="E56" i="46"/>
  <c r="E52" i="46"/>
  <c r="E48" i="46"/>
  <c r="E44" i="46"/>
  <c r="E40" i="46"/>
  <c r="E36" i="46"/>
  <c r="E58" i="46"/>
  <c r="E54" i="46"/>
  <c r="E50" i="46"/>
  <c r="E46" i="46"/>
  <c r="E42" i="46"/>
  <c r="E38" i="46"/>
  <c r="E63" i="44"/>
  <c r="E61" i="44"/>
  <c r="E59" i="44"/>
  <c r="E57" i="44"/>
  <c r="E60" i="44"/>
  <c r="E56" i="44"/>
  <c r="E54" i="44"/>
  <c r="E52" i="44"/>
  <c r="E50" i="44"/>
  <c r="E48" i="44"/>
  <c r="E46" i="44"/>
  <c r="E44" i="44"/>
  <c r="E42" i="44"/>
  <c r="E40" i="44"/>
  <c r="E38" i="44"/>
  <c r="E36" i="44"/>
  <c r="E62" i="44"/>
  <c r="E58" i="44"/>
  <c r="E55" i="44"/>
  <c r="E53" i="44"/>
  <c r="E51" i="44"/>
  <c r="E49" i="44"/>
  <c r="E47" i="44"/>
  <c r="E45" i="44"/>
  <c r="E43" i="44"/>
  <c r="E41" i="44"/>
  <c r="E39" i="44"/>
  <c r="E37" i="44"/>
  <c r="E62" i="42"/>
  <c r="E60" i="42"/>
  <c r="E58" i="42"/>
  <c r="E56" i="42"/>
  <c r="E54" i="42"/>
  <c r="E52" i="42"/>
  <c r="E50" i="42"/>
  <c r="E48" i="42"/>
  <c r="E46" i="42"/>
  <c r="E44" i="42"/>
  <c r="E42" i="42"/>
  <c r="E40" i="42"/>
  <c r="E38" i="42"/>
  <c r="E36" i="42"/>
  <c r="E63" i="42"/>
  <c r="E61" i="42"/>
  <c r="E59" i="42"/>
  <c r="E57" i="42"/>
  <c r="E55" i="42"/>
  <c r="E53" i="42"/>
  <c r="E51" i="42"/>
  <c r="E49" i="42"/>
  <c r="E47" i="42"/>
  <c r="E45" i="42"/>
  <c r="E43" i="42"/>
  <c r="E41" i="42"/>
  <c r="E39" i="42"/>
  <c r="E37" i="42"/>
  <c r="E62" i="40"/>
  <c r="E60" i="40"/>
  <c r="E58" i="40"/>
  <c r="E56" i="40"/>
  <c r="E54" i="40"/>
  <c r="E52" i="40"/>
  <c r="E50" i="40"/>
  <c r="E48" i="40"/>
  <c r="E46" i="40"/>
  <c r="E44" i="40"/>
  <c r="E42" i="40"/>
  <c r="E40" i="40"/>
  <c r="E38" i="40"/>
  <c r="E36" i="40"/>
  <c r="E63" i="40"/>
  <c r="E61" i="40"/>
  <c r="E59" i="40"/>
  <c r="E57" i="40"/>
  <c r="E55" i="40"/>
  <c r="E53" i="40"/>
  <c r="E51" i="40"/>
  <c r="E49" i="40"/>
  <c r="E47" i="40"/>
  <c r="E45" i="40"/>
  <c r="E43" i="40"/>
  <c r="E41" i="40"/>
  <c r="E39" i="40"/>
  <c r="E37" i="40"/>
  <c r="E62" i="38"/>
  <c r="E60" i="38"/>
  <c r="E58" i="38"/>
  <c r="E56" i="38"/>
  <c r="E54" i="38"/>
  <c r="E52" i="38"/>
  <c r="E50" i="38"/>
  <c r="E48" i="38"/>
  <c r="E46" i="38"/>
  <c r="E44" i="38"/>
  <c r="E42" i="38"/>
  <c r="E40" i="38"/>
  <c r="E38" i="38"/>
  <c r="E36" i="38"/>
  <c r="E63" i="38"/>
  <c r="E61" i="38"/>
  <c r="E59" i="38"/>
  <c r="E57" i="38"/>
  <c r="E55" i="38"/>
  <c r="E53" i="38"/>
  <c r="E51" i="38"/>
  <c r="E49" i="38"/>
  <c r="E47" i="38"/>
  <c r="E45" i="38"/>
  <c r="E43" i="38"/>
  <c r="E39" i="38"/>
  <c r="E41" i="38"/>
  <c r="E37" i="38"/>
  <c r="E62" i="36"/>
  <c r="E60" i="36"/>
  <c r="E58" i="36"/>
  <c r="E56" i="36"/>
  <c r="E54" i="36"/>
  <c r="E52" i="36"/>
  <c r="E50" i="36"/>
  <c r="E48" i="36"/>
  <c r="E46" i="36"/>
  <c r="E44" i="36"/>
  <c r="E42" i="36"/>
  <c r="E40" i="36"/>
  <c r="E38" i="36"/>
  <c r="E36" i="36"/>
  <c r="E63" i="36"/>
  <c r="E59" i="36"/>
  <c r="E55" i="36"/>
  <c r="E51" i="36"/>
  <c r="E47" i="36"/>
  <c r="E43" i="36"/>
  <c r="E39" i="36"/>
  <c r="E61" i="36"/>
  <c r="E57" i="36"/>
  <c r="E53" i="36"/>
  <c r="E49" i="36"/>
  <c r="E45" i="36"/>
  <c r="E41" i="36"/>
  <c r="E37" i="36"/>
  <c r="E62" i="34"/>
  <c r="E60" i="34"/>
  <c r="E58" i="34"/>
  <c r="E56" i="34"/>
  <c r="E54" i="34"/>
  <c r="E52" i="34"/>
  <c r="E50" i="34"/>
  <c r="E48" i="34"/>
  <c r="E46" i="34"/>
  <c r="E44" i="34"/>
  <c r="E42" i="34"/>
  <c r="E40" i="34"/>
  <c r="E38" i="34"/>
  <c r="E36" i="34"/>
  <c r="E63" i="34"/>
  <c r="E59" i="34"/>
  <c r="E55" i="34"/>
  <c r="E51" i="34"/>
  <c r="E47" i="34"/>
  <c r="E43" i="34"/>
  <c r="E39" i="34"/>
  <c r="E61" i="34"/>
  <c r="E57" i="34"/>
  <c r="E53" i="34"/>
  <c r="E49" i="34"/>
  <c r="E45" i="34"/>
  <c r="E41" i="34"/>
  <c r="E37" i="34"/>
  <c r="E63" i="32"/>
  <c r="E61" i="32"/>
  <c r="E59" i="32"/>
  <c r="E57" i="32"/>
  <c r="E55" i="32"/>
  <c r="E53" i="32"/>
  <c r="E51" i="32"/>
  <c r="E49" i="32"/>
  <c r="E47" i="32"/>
  <c r="E45" i="32"/>
  <c r="E43" i="32"/>
  <c r="E41" i="32"/>
  <c r="E39" i="32"/>
  <c r="E37" i="32"/>
  <c r="E62" i="32"/>
  <c r="E60" i="32"/>
  <c r="E58" i="32"/>
  <c r="E56" i="32"/>
  <c r="E54" i="32"/>
  <c r="E52" i="32"/>
  <c r="E50" i="32"/>
  <c r="E48" i="32"/>
  <c r="E46" i="32"/>
  <c r="E44" i="32"/>
  <c r="E42" i="32"/>
  <c r="E40" i="32"/>
  <c r="E38" i="32"/>
  <c r="E36" i="32"/>
  <c r="E63" i="30"/>
  <c r="E61" i="30"/>
  <c r="E59" i="30"/>
  <c r="E57" i="30"/>
  <c r="E55" i="30"/>
  <c r="E53" i="30"/>
  <c r="E51" i="30"/>
  <c r="E49" i="30"/>
  <c r="E47" i="30"/>
  <c r="E45" i="30"/>
  <c r="E43" i="30"/>
  <c r="E41" i="30"/>
  <c r="E39" i="30"/>
  <c r="E37" i="30"/>
  <c r="E62" i="30"/>
  <c r="E60" i="30"/>
  <c r="E58" i="30"/>
  <c r="E56" i="30"/>
  <c r="E54" i="30"/>
  <c r="E52" i="30"/>
  <c r="E50" i="30"/>
  <c r="E48" i="30"/>
  <c r="E46" i="30"/>
  <c r="E44" i="30"/>
  <c r="E42" i="30"/>
  <c r="E40" i="30"/>
  <c r="E38" i="30"/>
  <c r="E36" i="30"/>
  <c r="E63" i="28"/>
  <c r="E61" i="28"/>
  <c r="E59" i="28"/>
  <c r="E57" i="28"/>
  <c r="E55" i="28"/>
  <c r="E53" i="28"/>
  <c r="E51" i="28"/>
  <c r="E49" i="28"/>
  <c r="E47" i="28"/>
  <c r="E45" i="28"/>
  <c r="E43" i="28"/>
  <c r="E41" i="28"/>
  <c r="E39" i="28"/>
  <c r="E37" i="28"/>
  <c r="E62" i="28"/>
  <c r="E60" i="28"/>
  <c r="E58" i="28"/>
  <c r="E56" i="28"/>
  <c r="E54" i="28"/>
  <c r="E52" i="28"/>
  <c r="E50" i="28"/>
  <c r="E48" i="28"/>
  <c r="E46" i="28"/>
  <c r="E44" i="28"/>
  <c r="E42" i="28"/>
  <c r="E40" i="28"/>
  <c r="E38" i="28"/>
  <c r="E36" i="28"/>
  <c r="E63" i="26"/>
  <c r="E61" i="26"/>
  <c r="E59" i="26"/>
  <c r="E57" i="26"/>
  <c r="E55" i="26"/>
  <c r="E53" i="26"/>
  <c r="E51" i="26"/>
  <c r="E49" i="26"/>
  <c r="E47" i="26"/>
  <c r="E45" i="26"/>
  <c r="E43" i="26"/>
  <c r="E41" i="26"/>
  <c r="E39" i="26"/>
  <c r="E37" i="26"/>
  <c r="E62" i="26"/>
  <c r="E60" i="26"/>
  <c r="E58" i="26"/>
  <c r="E56" i="26"/>
  <c r="E54" i="26"/>
  <c r="E52" i="26"/>
  <c r="E50" i="26"/>
  <c r="E48" i="26"/>
  <c r="E46" i="26"/>
  <c r="E44" i="26"/>
  <c r="E42" i="26"/>
  <c r="E40" i="26"/>
  <c r="E38" i="26"/>
  <c r="E36" i="26"/>
  <c r="E63" i="24"/>
  <c r="E61" i="24"/>
  <c r="E59" i="24"/>
  <c r="E57" i="24"/>
  <c r="E55" i="24"/>
  <c r="E53" i="24"/>
  <c r="E51" i="24"/>
  <c r="E49" i="24"/>
  <c r="E47" i="24"/>
  <c r="E45" i="24"/>
  <c r="E43" i="24"/>
  <c r="E41" i="24"/>
  <c r="E39" i="24"/>
  <c r="E37" i="24"/>
  <c r="E62" i="24"/>
  <c r="E60" i="24"/>
  <c r="E58" i="24"/>
  <c r="E56" i="24"/>
  <c r="E54" i="24"/>
  <c r="E52" i="24"/>
  <c r="E50" i="24"/>
  <c r="E48" i="24"/>
  <c r="E46" i="24"/>
  <c r="E44" i="24"/>
  <c r="E42" i="24"/>
  <c r="E40" i="24"/>
  <c r="E38" i="24"/>
  <c r="E36" i="24"/>
  <c r="E62" i="22"/>
  <c r="E60" i="22"/>
  <c r="E58" i="22"/>
  <c r="E56" i="22"/>
  <c r="E54" i="22"/>
  <c r="E52" i="22"/>
  <c r="E50" i="22"/>
  <c r="E48" i="22"/>
  <c r="E46" i="22"/>
  <c r="E44" i="22"/>
  <c r="E42" i="22"/>
  <c r="E40" i="22"/>
  <c r="E38" i="22"/>
  <c r="E36" i="22"/>
  <c r="E63" i="22"/>
  <c r="E61" i="22"/>
  <c r="E59" i="22"/>
  <c r="E57" i="22"/>
  <c r="E55" i="22"/>
  <c r="E53" i="22"/>
  <c r="E51" i="22"/>
  <c r="E49" i="22"/>
  <c r="E47" i="22"/>
  <c r="E45" i="22"/>
  <c r="E43" i="22"/>
  <c r="E41" i="22"/>
  <c r="E39" i="22"/>
  <c r="E37" i="22"/>
  <c r="E62" i="20"/>
  <c r="E60" i="20"/>
  <c r="E58" i="20"/>
  <c r="E56" i="20"/>
  <c r="E54" i="20"/>
  <c r="E52" i="20"/>
  <c r="E50" i="20"/>
  <c r="E48" i="20"/>
  <c r="E46" i="20"/>
  <c r="E44" i="20"/>
  <c r="E42" i="20"/>
  <c r="E40" i="20"/>
  <c r="E38" i="20"/>
  <c r="E36" i="20"/>
  <c r="E63" i="20"/>
  <c r="E61" i="20"/>
  <c r="E59" i="20"/>
  <c r="E57" i="20"/>
  <c r="E55" i="20"/>
  <c r="E53" i="20"/>
  <c r="E51" i="20"/>
  <c r="E49" i="20"/>
  <c r="E47" i="20"/>
  <c r="E45" i="20"/>
  <c r="E43" i="20"/>
  <c r="E41" i="20"/>
  <c r="E39" i="20"/>
  <c r="E37" i="20"/>
  <c r="E62" i="18"/>
  <c r="E60" i="18"/>
  <c r="E58" i="18"/>
  <c r="E56" i="18"/>
  <c r="E54" i="18"/>
  <c r="E52" i="18"/>
  <c r="E50" i="18"/>
  <c r="E48" i="18"/>
  <c r="E46" i="18"/>
  <c r="E44" i="18"/>
  <c r="E42" i="18"/>
  <c r="E40" i="18"/>
  <c r="E38" i="18"/>
  <c r="E36" i="18"/>
  <c r="E63" i="18"/>
  <c r="E61" i="18"/>
  <c r="E59" i="18"/>
  <c r="E57" i="18"/>
  <c r="E55" i="18"/>
  <c r="E53" i="18"/>
  <c r="E51" i="18"/>
  <c r="E49" i="18"/>
  <c r="E47" i="18"/>
  <c r="E45" i="18"/>
  <c r="E43" i="18"/>
  <c r="E41" i="18"/>
  <c r="E39" i="18"/>
  <c r="E37" i="18"/>
  <c r="E62" i="16"/>
  <c r="E60" i="16"/>
  <c r="E58" i="16"/>
  <c r="E56" i="16"/>
  <c r="E54" i="16"/>
  <c r="E52" i="16"/>
  <c r="E50" i="16"/>
  <c r="E48" i="16"/>
  <c r="E46" i="16"/>
  <c r="E44" i="16"/>
  <c r="E42" i="16"/>
  <c r="E40" i="16"/>
  <c r="E38" i="16"/>
  <c r="E36" i="16"/>
  <c r="E63" i="16"/>
  <c r="E61" i="16"/>
  <c r="E59" i="16"/>
  <c r="E57" i="16"/>
  <c r="E55" i="16"/>
  <c r="E53" i="16"/>
  <c r="E51" i="16"/>
  <c r="E49" i="16"/>
  <c r="E47" i="16"/>
  <c r="E45" i="16"/>
  <c r="E43" i="16"/>
  <c r="E41" i="16"/>
  <c r="E39" i="16"/>
  <c r="E37" i="16"/>
  <c r="E62" i="14"/>
  <c r="E60" i="14"/>
  <c r="E58" i="14"/>
  <c r="E56" i="14"/>
  <c r="E54" i="14"/>
  <c r="E52" i="14"/>
  <c r="E50" i="14"/>
  <c r="E48" i="14"/>
  <c r="E46" i="14"/>
  <c r="E44" i="14"/>
  <c r="E42" i="14"/>
  <c r="E40" i="14"/>
  <c r="E38" i="14"/>
  <c r="E36" i="14"/>
  <c r="E63" i="14"/>
  <c r="E61" i="14"/>
  <c r="E59" i="14"/>
  <c r="E57" i="14"/>
  <c r="E55" i="14"/>
  <c r="E53" i="14"/>
  <c r="E51" i="14"/>
  <c r="E49" i="14"/>
  <c r="E47" i="14"/>
  <c r="E45" i="14"/>
  <c r="E43" i="14"/>
  <c r="E41" i="14"/>
  <c r="E39" i="14"/>
  <c r="E37" i="14"/>
  <c r="E62" i="12"/>
  <c r="E60" i="12"/>
  <c r="E58" i="12"/>
  <c r="E56" i="12"/>
  <c r="E54" i="12"/>
  <c r="E52" i="12"/>
  <c r="E50" i="12"/>
  <c r="E48" i="12"/>
  <c r="E46" i="12"/>
  <c r="E44" i="12"/>
  <c r="E42" i="12"/>
  <c r="E40" i="12"/>
  <c r="E38" i="12"/>
  <c r="E36" i="12"/>
  <c r="E63" i="12"/>
  <c r="E61" i="12"/>
  <c r="E59" i="12"/>
  <c r="E57" i="12"/>
  <c r="E55" i="12"/>
  <c r="E53" i="12"/>
  <c r="E51" i="12"/>
  <c r="E49" i="12"/>
  <c r="E47" i="12"/>
  <c r="E45" i="12"/>
  <c r="E43" i="12"/>
  <c r="E41" i="12"/>
  <c r="E39" i="12"/>
  <c r="E37" i="12"/>
  <c r="E62" i="10"/>
  <c r="E60" i="10"/>
  <c r="E58" i="10"/>
  <c r="E56" i="10"/>
  <c r="E54" i="10"/>
  <c r="E52" i="10"/>
  <c r="E50" i="10"/>
  <c r="E48" i="10"/>
  <c r="E46" i="10"/>
  <c r="E44" i="10"/>
  <c r="E42" i="10"/>
  <c r="E40" i="10"/>
  <c r="E38" i="10"/>
  <c r="E36" i="10"/>
  <c r="E63" i="10"/>
  <c r="E61" i="10"/>
  <c r="E59" i="10"/>
  <c r="E57" i="10"/>
  <c r="E55" i="10"/>
  <c r="E53" i="10"/>
  <c r="E51" i="10"/>
  <c r="E49" i="10"/>
  <c r="E47" i="10"/>
  <c r="E45" i="10"/>
  <c r="E43" i="10"/>
  <c r="E41" i="10"/>
  <c r="E39" i="10"/>
  <c r="E37" i="10"/>
  <c r="E62" i="8"/>
  <c r="E60" i="8"/>
  <c r="E58" i="8"/>
  <c r="E56" i="8"/>
  <c r="E54" i="8"/>
  <c r="E52" i="8"/>
  <c r="E50" i="8"/>
  <c r="E48" i="8"/>
  <c r="E46" i="8"/>
  <c r="E44" i="8"/>
  <c r="E42" i="8"/>
  <c r="E40" i="8"/>
  <c r="E38" i="8"/>
  <c r="E36" i="8"/>
  <c r="E63" i="8"/>
  <c r="E61" i="8"/>
  <c r="E59" i="8"/>
  <c r="E57" i="8"/>
  <c r="E55" i="8"/>
  <c r="E53" i="8"/>
  <c r="E51" i="8"/>
  <c r="E49" i="8"/>
  <c r="E47" i="8"/>
  <c r="E45" i="8"/>
  <c r="E43" i="8"/>
  <c r="E41" i="8"/>
  <c r="E39" i="8"/>
  <c r="E37" i="8"/>
  <c r="E62" i="6"/>
  <c r="E60" i="6"/>
  <c r="E58" i="6"/>
  <c r="E56" i="6"/>
  <c r="E54" i="6"/>
  <c r="E52" i="6"/>
  <c r="E50" i="6"/>
  <c r="E48" i="6"/>
  <c r="E46" i="6"/>
  <c r="E44" i="6"/>
  <c r="E42" i="6"/>
  <c r="E40" i="6"/>
  <c r="E38" i="6"/>
  <c r="E36" i="6"/>
  <c r="E63" i="6"/>
  <c r="E61" i="6"/>
  <c r="E59" i="6"/>
  <c r="E57" i="6"/>
  <c r="E55" i="6"/>
  <c r="E53" i="6"/>
  <c r="E51" i="6"/>
  <c r="E49" i="6"/>
  <c r="E47" i="6"/>
  <c r="E45" i="6"/>
  <c r="E43" i="6"/>
  <c r="E41" i="6"/>
  <c r="E39" i="6"/>
  <c r="E37" i="6"/>
  <c r="E62" i="4"/>
  <c r="E60" i="4"/>
  <c r="E58" i="4"/>
  <c r="E56" i="4"/>
  <c r="E54" i="4"/>
  <c r="E52" i="4"/>
  <c r="E50" i="4"/>
  <c r="E48" i="4"/>
  <c r="E46" i="4"/>
  <c r="E44" i="4"/>
  <c r="E42" i="4"/>
  <c r="E40" i="4"/>
  <c r="E38" i="4"/>
  <c r="E36" i="4"/>
  <c r="E63" i="4"/>
  <c r="E61" i="4"/>
  <c r="E59" i="4"/>
  <c r="E57" i="4"/>
  <c r="E55" i="4"/>
  <c r="E53" i="4"/>
  <c r="E51" i="4"/>
  <c r="E49" i="4"/>
  <c r="E47" i="4"/>
  <c r="E45" i="4"/>
  <c r="E43" i="4"/>
  <c r="E41" i="4"/>
  <c r="E39" i="4"/>
  <c r="E37" i="4"/>
  <c r="E62" i="59"/>
  <c r="E60" i="59"/>
  <c r="E58" i="59"/>
  <c r="E56" i="59"/>
  <c r="E54" i="59"/>
  <c r="E52" i="59"/>
  <c r="E50" i="59"/>
  <c r="E48" i="59"/>
  <c r="E46" i="59"/>
  <c r="E44" i="59"/>
  <c r="E42" i="59"/>
  <c r="E40" i="59"/>
  <c r="E38" i="59"/>
  <c r="E36" i="59"/>
  <c r="E63" i="59"/>
  <c r="E61" i="59"/>
  <c r="E59" i="59"/>
  <c r="E57" i="59"/>
  <c r="E55" i="59"/>
  <c r="E53" i="59"/>
  <c r="E51" i="59"/>
  <c r="E49" i="59"/>
  <c r="E47" i="59"/>
  <c r="E45" i="59"/>
  <c r="E43" i="59"/>
  <c r="E41" i="59"/>
  <c r="E39" i="59"/>
  <c r="E37" i="59"/>
  <c r="E62" i="57"/>
  <c r="E60" i="57"/>
  <c r="E58" i="57"/>
  <c r="E56" i="57"/>
  <c r="E54" i="57"/>
  <c r="E52" i="57"/>
  <c r="E50" i="57"/>
  <c r="E63" i="57"/>
  <c r="E61" i="57"/>
  <c r="E59" i="57"/>
  <c r="E57" i="57"/>
  <c r="E55" i="57"/>
  <c r="E53" i="57"/>
  <c r="E51" i="57"/>
  <c r="E49" i="57"/>
  <c r="E47" i="57"/>
  <c r="E45" i="57"/>
  <c r="E43" i="57"/>
  <c r="E41" i="57"/>
  <c r="E39" i="57"/>
  <c r="E37" i="57"/>
  <c r="E48" i="57"/>
  <c r="E46" i="57"/>
  <c r="E44" i="57"/>
  <c r="E42" i="57"/>
  <c r="E40" i="57"/>
  <c r="E38" i="57"/>
  <c r="E36" i="57"/>
  <c r="E62" i="55"/>
  <c r="E60" i="55"/>
  <c r="E58" i="55"/>
  <c r="E56" i="55"/>
  <c r="E54" i="55"/>
  <c r="E52" i="55"/>
  <c r="E50" i="55"/>
  <c r="E48" i="55"/>
  <c r="E46" i="55"/>
  <c r="E44" i="55"/>
  <c r="E42" i="55"/>
  <c r="E40" i="55"/>
  <c r="E38" i="55"/>
  <c r="E36" i="55"/>
  <c r="E63" i="55"/>
  <c r="E59" i="55"/>
  <c r="E55" i="55"/>
  <c r="E51" i="55"/>
  <c r="E47" i="55"/>
  <c r="E43" i="55"/>
  <c r="E39" i="55"/>
  <c r="E61" i="55"/>
  <c r="E57" i="55"/>
  <c r="E53" i="55"/>
  <c r="E49" i="55"/>
  <c r="E45" i="55"/>
  <c r="E41" i="55"/>
  <c r="E37" i="55"/>
  <c r="E62" i="53"/>
  <c r="E60" i="53"/>
  <c r="E58" i="53"/>
  <c r="E56" i="53"/>
  <c r="E54" i="53"/>
  <c r="E52" i="53"/>
  <c r="E50" i="53"/>
  <c r="E48" i="53"/>
  <c r="E46" i="53"/>
  <c r="E44" i="53"/>
  <c r="E42" i="53"/>
  <c r="E40" i="53"/>
  <c r="E38" i="53"/>
  <c r="E36" i="53"/>
  <c r="E63" i="53"/>
  <c r="E59" i="53"/>
  <c r="E55" i="53"/>
  <c r="E51" i="53"/>
  <c r="E47" i="53"/>
  <c r="E43" i="53"/>
  <c r="E39" i="53"/>
  <c r="E61" i="53"/>
  <c r="E57" i="53"/>
  <c r="E53" i="53"/>
  <c r="E49" i="53"/>
  <c r="E45" i="53"/>
  <c r="E41" i="53"/>
  <c r="E37" i="53"/>
  <c r="E62" i="51"/>
  <c r="E60" i="51"/>
  <c r="E58" i="51"/>
  <c r="E56" i="51"/>
  <c r="E54" i="51"/>
  <c r="E52" i="51"/>
  <c r="E50" i="51"/>
  <c r="F50" i="51" s="1"/>
  <c r="E48" i="51"/>
  <c r="E46" i="51"/>
  <c r="E44" i="51"/>
  <c r="E42" i="51"/>
  <c r="E40" i="51"/>
  <c r="E38" i="51"/>
  <c r="E36" i="51"/>
  <c r="E63" i="51"/>
  <c r="E59" i="51"/>
  <c r="E55" i="51"/>
  <c r="E51" i="51"/>
  <c r="E47" i="51"/>
  <c r="E43" i="51"/>
  <c r="E39" i="51"/>
  <c r="E61" i="51"/>
  <c r="E57" i="51"/>
  <c r="E53" i="51"/>
  <c r="E49" i="51"/>
  <c r="E45" i="51"/>
  <c r="E41" i="51"/>
  <c r="E37" i="51"/>
  <c r="E62" i="49"/>
  <c r="E63" i="49"/>
  <c r="E60" i="49"/>
  <c r="E58" i="49"/>
  <c r="E56" i="49"/>
  <c r="E54" i="49"/>
  <c r="E52" i="49"/>
  <c r="E50" i="49"/>
  <c r="E48" i="49"/>
  <c r="E46" i="49"/>
  <c r="E44" i="49"/>
  <c r="E42" i="49"/>
  <c r="E40" i="49"/>
  <c r="E38" i="49"/>
  <c r="E36" i="49"/>
  <c r="E61" i="49"/>
  <c r="E59" i="49"/>
  <c r="E57" i="49"/>
  <c r="E55" i="49"/>
  <c r="E53" i="49"/>
  <c r="E51" i="49"/>
  <c r="E49" i="49"/>
  <c r="E47" i="49"/>
  <c r="E45" i="49"/>
  <c r="E43" i="49"/>
  <c r="E41" i="49"/>
  <c r="E39" i="49"/>
  <c r="E37" i="49"/>
  <c r="E62" i="47"/>
  <c r="E60" i="47"/>
  <c r="E58" i="47"/>
  <c r="E56" i="47"/>
  <c r="E54" i="47"/>
  <c r="E52" i="47"/>
  <c r="E50" i="47"/>
  <c r="E48" i="47"/>
  <c r="E46" i="47"/>
  <c r="E44" i="47"/>
  <c r="E42" i="47"/>
  <c r="E40" i="47"/>
  <c r="E38" i="47"/>
  <c r="E36" i="47"/>
  <c r="E63" i="47"/>
  <c r="E61" i="47"/>
  <c r="E59" i="47"/>
  <c r="E57" i="47"/>
  <c r="E55" i="47"/>
  <c r="E53" i="47"/>
  <c r="E51" i="47"/>
  <c r="E49" i="47"/>
  <c r="E47" i="47"/>
  <c r="E45" i="47"/>
  <c r="E43" i="47"/>
  <c r="E41" i="47"/>
  <c r="E39" i="47"/>
  <c r="E37" i="47"/>
  <c r="E63" i="45"/>
  <c r="E61" i="45"/>
  <c r="E59" i="45"/>
  <c r="E57" i="45"/>
  <c r="E55" i="45"/>
  <c r="E53" i="45"/>
  <c r="E51" i="45"/>
  <c r="E49" i="45"/>
  <c r="E47" i="45"/>
  <c r="E45" i="45"/>
  <c r="E43" i="45"/>
  <c r="E41" i="45"/>
  <c r="E39" i="45"/>
  <c r="E37" i="45"/>
  <c r="E60" i="45"/>
  <c r="E56" i="45"/>
  <c r="E52" i="45"/>
  <c r="E48" i="45"/>
  <c r="E44" i="45"/>
  <c r="E40" i="45"/>
  <c r="E36" i="45"/>
  <c r="E62" i="45"/>
  <c r="E58" i="45"/>
  <c r="E54" i="45"/>
  <c r="E50" i="45"/>
  <c r="E46" i="45"/>
  <c r="E42" i="45"/>
  <c r="E38" i="45"/>
  <c r="E62" i="43"/>
  <c r="E60" i="43"/>
  <c r="E58" i="43"/>
  <c r="E56" i="43"/>
  <c r="E54" i="43"/>
  <c r="E52" i="43"/>
  <c r="E50" i="43"/>
  <c r="E48" i="43"/>
  <c r="E46" i="43"/>
  <c r="E44" i="43"/>
  <c r="E42" i="43"/>
  <c r="E40" i="43"/>
  <c r="E38" i="43"/>
  <c r="E36" i="43"/>
  <c r="E63" i="43"/>
  <c r="E61" i="43"/>
  <c r="E59" i="43"/>
  <c r="E57" i="43"/>
  <c r="E55" i="43"/>
  <c r="E53" i="43"/>
  <c r="E51" i="43"/>
  <c r="E49" i="43"/>
  <c r="E47" i="43"/>
  <c r="E45" i="43"/>
  <c r="E43" i="43"/>
  <c r="E41" i="43"/>
  <c r="E39" i="43"/>
  <c r="E37" i="43"/>
  <c r="E62" i="41"/>
  <c r="E60" i="41"/>
  <c r="E58" i="41"/>
  <c r="E56" i="41"/>
  <c r="E54" i="41"/>
  <c r="E52" i="41"/>
  <c r="E50" i="41"/>
  <c r="E48" i="41"/>
  <c r="E46" i="41"/>
  <c r="E44" i="41"/>
  <c r="E42" i="41"/>
  <c r="E40" i="41"/>
  <c r="E38" i="41"/>
  <c r="E36" i="41"/>
  <c r="E63" i="41"/>
  <c r="E61" i="41"/>
  <c r="E59" i="41"/>
  <c r="E57" i="41"/>
  <c r="E55" i="41"/>
  <c r="E53" i="41"/>
  <c r="E51" i="41"/>
  <c r="E49" i="41"/>
  <c r="E47" i="41"/>
  <c r="E45" i="41"/>
  <c r="E43" i="41"/>
  <c r="E41" i="41"/>
  <c r="E39" i="41"/>
  <c r="E37" i="41"/>
  <c r="E62" i="39"/>
  <c r="E60" i="39"/>
  <c r="E58" i="39"/>
  <c r="E56" i="39"/>
  <c r="E54" i="39"/>
  <c r="E52" i="39"/>
  <c r="E50" i="39"/>
  <c r="E48" i="39"/>
  <c r="E46" i="39"/>
  <c r="E44" i="39"/>
  <c r="E42" i="39"/>
  <c r="E40" i="39"/>
  <c r="E38" i="39"/>
  <c r="E36" i="39"/>
  <c r="E63" i="39"/>
  <c r="E61" i="39"/>
  <c r="E59" i="39"/>
  <c r="E57" i="39"/>
  <c r="E55" i="39"/>
  <c r="E53" i="39"/>
  <c r="E51" i="39"/>
  <c r="E49" i="39"/>
  <c r="E47" i="39"/>
  <c r="E45" i="39"/>
  <c r="E43" i="39"/>
  <c r="E41" i="39"/>
  <c r="E39" i="39"/>
  <c r="E37" i="39"/>
  <c r="E62" i="37"/>
  <c r="E60" i="37"/>
  <c r="E58" i="37"/>
  <c r="E56" i="37"/>
  <c r="E54" i="37"/>
  <c r="E52" i="37"/>
  <c r="E50" i="37"/>
  <c r="E48" i="37"/>
  <c r="E46" i="37"/>
  <c r="E44" i="37"/>
  <c r="E42" i="37"/>
  <c r="E40" i="37"/>
  <c r="E38" i="37"/>
  <c r="E36" i="37"/>
  <c r="E63" i="37"/>
  <c r="E59" i="37"/>
  <c r="E55" i="37"/>
  <c r="E51" i="37"/>
  <c r="E47" i="37"/>
  <c r="E43" i="37"/>
  <c r="E39" i="37"/>
  <c r="E61" i="37"/>
  <c r="E57" i="37"/>
  <c r="E53" i="37"/>
  <c r="E49" i="37"/>
  <c r="E45" i="37"/>
  <c r="E41" i="37"/>
  <c r="E37" i="37"/>
  <c r="E62" i="35"/>
  <c r="E60" i="35"/>
  <c r="E58" i="35"/>
  <c r="E56" i="35"/>
  <c r="E54" i="35"/>
  <c r="E52" i="35"/>
  <c r="E50" i="35"/>
  <c r="E48" i="35"/>
  <c r="E46" i="35"/>
  <c r="E44" i="35"/>
  <c r="E42" i="35"/>
  <c r="E40" i="35"/>
  <c r="E38" i="35"/>
  <c r="E36" i="35"/>
  <c r="E63" i="35"/>
  <c r="E59" i="35"/>
  <c r="E55" i="35"/>
  <c r="E51" i="35"/>
  <c r="E47" i="35"/>
  <c r="E43" i="35"/>
  <c r="E39" i="35"/>
  <c r="E61" i="35"/>
  <c r="E57" i="35"/>
  <c r="E53" i="35"/>
  <c r="E49" i="35"/>
  <c r="E45" i="35"/>
  <c r="E41" i="35"/>
  <c r="E37" i="35"/>
  <c r="E62" i="33"/>
  <c r="E60" i="33"/>
  <c r="E58" i="33"/>
  <c r="E56" i="33"/>
  <c r="E63" i="33"/>
  <c r="E59" i="33"/>
  <c r="E55" i="33"/>
  <c r="E53" i="33"/>
  <c r="E51" i="33"/>
  <c r="E49" i="33"/>
  <c r="E47" i="33"/>
  <c r="E45" i="33"/>
  <c r="E43" i="33"/>
  <c r="E41" i="33"/>
  <c r="E39" i="33"/>
  <c r="E37" i="33"/>
  <c r="E61" i="33"/>
  <c r="E57" i="33"/>
  <c r="E54" i="33"/>
  <c r="E52" i="33"/>
  <c r="E50" i="33"/>
  <c r="E48" i="33"/>
  <c r="E46" i="33"/>
  <c r="E44" i="33"/>
  <c r="E42" i="33"/>
  <c r="E40" i="33"/>
  <c r="E38" i="33"/>
  <c r="E36" i="33"/>
  <c r="E63" i="31"/>
  <c r="E61" i="31"/>
  <c r="E59" i="31"/>
  <c r="E57" i="31"/>
  <c r="E55" i="31"/>
  <c r="E53" i="31"/>
  <c r="E51" i="31"/>
  <c r="E49" i="31"/>
  <c r="E47" i="31"/>
  <c r="E45" i="31"/>
  <c r="E43" i="31"/>
  <c r="E41" i="31"/>
  <c r="E39" i="31"/>
  <c r="E37" i="31"/>
  <c r="E62" i="31"/>
  <c r="E60" i="31"/>
  <c r="E58" i="31"/>
  <c r="E56" i="31"/>
  <c r="E54" i="31"/>
  <c r="E52" i="31"/>
  <c r="E50" i="31"/>
  <c r="E48" i="31"/>
  <c r="E46" i="31"/>
  <c r="E44" i="31"/>
  <c r="E42" i="31"/>
  <c r="E40" i="31"/>
  <c r="E38" i="31"/>
  <c r="E36" i="31"/>
  <c r="E63" i="29"/>
  <c r="E61" i="29"/>
  <c r="E59" i="29"/>
  <c r="E57" i="29"/>
  <c r="E55" i="29"/>
  <c r="E53" i="29"/>
  <c r="E51" i="29"/>
  <c r="E49" i="29"/>
  <c r="E47" i="29"/>
  <c r="E45" i="29"/>
  <c r="E43" i="29"/>
  <c r="E41" i="29"/>
  <c r="E39" i="29"/>
  <c r="E37" i="29"/>
  <c r="E62" i="29"/>
  <c r="E60" i="29"/>
  <c r="E58" i="29"/>
  <c r="E56" i="29"/>
  <c r="E54" i="29"/>
  <c r="E52" i="29"/>
  <c r="E50" i="29"/>
  <c r="E48" i="29"/>
  <c r="E46" i="29"/>
  <c r="E44" i="29"/>
  <c r="E42" i="29"/>
  <c r="E40" i="29"/>
  <c r="E38" i="29"/>
  <c r="E36" i="29"/>
  <c r="E63" i="27"/>
  <c r="E61" i="27"/>
  <c r="E59" i="27"/>
  <c r="E57" i="27"/>
  <c r="E55" i="27"/>
  <c r="E53" i="27"/>
  <c r="E51" i="27"/>
  <c r="E49" i="27"/>
  <c r="E47" i="27"/>
  <c r="E45" i="27"/>
  <c r="E43" i="27"/>
  <c r="E41" i="27"/>
  <c r="E39" i="27"/>
  <c r="E37" i="27"/>
  <c r="E62" i="27"/>
  <c r="E60" i="27"/>
  <c r="E58" i="27"/>
  <c r="E56" i="27"/>
  <c r="E54" i="27"/>
  <c r="E52" i="27"/>
  <c r="E50" i="27"/>
  <c r="E48" i="27"/>
  <c r="E46" i="27"/>
  <c r="E44" i="27"/>
  <c r="E42" i="27"/>
  <c r="E40" i="27"/>
  <c r="E38" i="27"/>
  <c r="E36" i="27"/>
  <c r="E63" i="25"/>
  <c r="E61" i="25"/>
  <c r="E59" i="25"/>
  <c r="E57" i="25"/>
  <c r="E55" i="25"/>
  <c r="E53" i="25"/>
  <c r="E51" i="25"/>
  <c r="E49" i="25"/>
  <c r="E47" i="25"/>
  <c r="E45" i="25"/>
  <c r="E43" i="25"/>
  <c r="E41" i="25"/>
  <c r="E39" i="25"/>
  <c r="E37" i="25"/>
  <c r="E62" i="25"/>
  <c r="E60" i="25"/>
  <c r="E58" i="25"/>
  <c r="E56" i="25"/>
  <c r="E54" i="25"/>
  <c r="E52" i="25"/>
  <c r="E50" i="25"/>
  <c r="E48" i="25"/>
  <c r="E46" i="25"/>
  <c r="E44" i="25"/>
  <c r="E42" i="25"/>
  <c r="E40" i="25"/>
  <c r="E38" i="25"/>
  <c r="E36" i="25"/>
  <c r="E63" i="23"/>
  <c r="E61" i="23"/>
  <c r="E59" i="23"/>
  <c r="E62" i="23"/>
  <c r="E60" i="23"/>
  <c r="E58" i="23"/>
  <c r="E56" i="23"/>
  <c r="E54" i="23"/>
  <c r="E52" i="23"/>
  <c r="E50" i="23"/>
  <c r="E48" i="23"/>
  <c r="E46" i="23"/>
  <c r="E44" i="23"/>
  <c r="E42" i="23"/>
  <c r="E40" i="23"/>
  <c r="E38" i="23"/>
  <c r="E36" i="23"/>
  <c r="E57" i="23"/>
  <c r="E55" i="23"/>
  <c r="E53" i="23"/>
  <c r="E51" i="23"/>
  <c r="E49" i="23"/>
  <c r="E47" i="23"/>
  <c r="E45" i="23"/>
  <c r="E43" i="23"/>
  <c r="E41" i="23"/>
  <c r="E39" i="23"/>
  <c r="E37" i="23"/>
  <c r="E62" i="21"/>
  <c r="E60" i="21"/>
  <c r="E58" i="21"/>
  <c r="E56" i="21"/>
  <c r="E54" i="21"/>
  <c r="E52" i="21"/>
  <c r="E50" i="21"/>
  <c r="E48" i="21"/>
  <c r="E46" i="21"/>
  <c r="E44" i="21"/>
  <c r="E42" i="21"/>
  <c r="E40" i="21"/>
  <c r="E38" i="21"/>
  <c r="E36" i="21"/>
  <c r="E63" i="21"/>
  <c r="E61" i="21"/>
  <c r="E59" i="21"/>
  <c r="E57" i="21"/>
  <c r="E55" i="21"/>
  <c r="E53" i="21"/>
  <c r="E51" i="21"/>
  <c r="E49" i="21"/>
  <c r="E47" i="21"/>
  <c r="E45" i="21"/>
  <c r="E43" i="21"/>
  <c r="E41" i="21"/>
  <c r="E39" i="21"/>
  <c r="E37" i="21"/>
  <c r="E62" i="19"/>
  <c r="E60" i="19"/>
  <c r="E58" i="19"/>
  <c r="E56" i="19"/>
  <c r="E54" i="19"/>
  <c r="E52" i="19"/>
  <c r="E50" i="19"/>
  <c r="E48" i="19"/>
  <c r="E46" i="19"/>
  <c r="E44" i="19"/>
  <c r="E42" i="19"/>
  <c r="E40" i="19"/>
  <c r="E38" i="19"/>
  <c r="E36" i="19"/>
  <c r="E63" i="19"/>
  <c r="E61" i="19"/>
  <c r="E59" i="19"/>
  <c r="E57" i="19"/>
  <c r="E55" i="19"/>
  <c r="E53" i="19"/>
  <c r="E51" i="19"/>
  <c r="E49" i="19"/>
  <c r="E47" i="19"/>
  <c r="E45" i="19"/>
  <c r="E43" i="19"/>
  <c r="E41" i="19"/>
  <c r="E39" i="19"/>
  <c r="E37" i="19"/>
  <c r="E62" i="17"/>
  <c r="E60" i="17"/>
  <c r="E58" i="17"/>
  <c r="E56" i="17"/>
  <c r="E54" i="17"/>
  <c r="E52" i="17"/>
  <c r="E50" i="17"/>
  <c r="E48" i="17"/>
  <c r="E46" i="17"/>
  <c r="E44" i="17"/>
  <c r="E42" i="17"/>
  <c r="E40" i="17"/>
  <c r="E38" i="17"/>
  <c r="E36" i="17"/>
  <c r="E63" i="17"/>
  <c r="E61" i="17"/>
  <c r="E59" i="17"/>
  <c r="E57" i="17"/>
  <c r="E55" i="17"/>
  <c r="E53" i="17"/>
  <c r="E51" i="17"/>
  <c r="E49" i="17"/>
  <c r="E47" i="17"/>
  <c r="E45" i="17"/>
  <c r="E43" i="17"/>
  <c r="E41" i="17"/>
  <c r="E39" i="17"/>
  <c r="E37" i="17"/>
  <c r="E62" i="15"/>
  <c r="E60" i="15"/>
  <c r="E58" i="15"/>
  <c r="E56" i="15"/>
  <c r="E54" i="15"/>
  <c r="E52" i="15"/>
  <c r="E50" i="15"/>
  <c r="E48" i="15"/>
  <c r="E46" i="15"/>
  <c r="E44" i="15"/>
  <c r="E42" i="15"/>
  <c r="E40" i="15"/>
  <c r="E38" i="15"/>
  <c r="E36" i="15"/>
  <c r="E63" i="15"/>
  <c r="E61" i="15"/>
  <c r="E59" i="15"/>
  <c r="E57" i="15"/>
  <c r="E55" i="15"/>
  <c r="E53" i="15"/>
  <c r="E51" i="15"/>
  <c r="E49" i="15"/>
  <c r="E47" i="15"/>
  <c r="E45" i="15"/>
  <c r="E43" i="15"/>
  <c r="E41" i="15"/>
  <c r="E39" i="15"/>
  <c r="E37" i="15"/>
  <c r="E62" i="13"/>
  <c r="E60" i="13"/>
  <c r="E58" i="13"/>
  <c r="E56" i="13"/>
  <c r="E54" i="13"/>
  <c r="E52" i="13"/>
  <c r="E50" i="13"/>
  <c r="E48" i="13"/>
  <c r="E46" i="13"/>
  <c r="E44" i="13"/>
  <c r="E42" i="13"/>
  <c r="E40" i="13"/>
  <c r="E38" i="13"/>
  <c r="E36" i="13"/>
  <c r="E63" i="13"/>
  <c r="E61" i="13"/>
  <c r="E59" i="13"/>
  <c r="E57" i="13"/>
  <c r="E55" i="13"/>
  <c r="E53" i="13"/>
  <c r="E51" i="13"/>
  <c r="E49" i="13"/>
  <c r="E47" i="13"/>
  <c r="E45" i="13"/>
  <c r="E43" i="13"/>
  <c r="E41" i="13"/>
  <c r="E39" i="13"/>
  <c r="E37" i="13"/>
  <c r="E62" i="11"/>
  <c r="E60" i="11"/>
  <c r="E58" i="11"/>
  <c r="E56" i="11"/>
  <c r="E54" i="11"/>
  <c r="E52" i="11"/>
  <c r="E50" i="11"/>
  <c r="E48" i="11"/>
  <c r="E46" i="11"/>
  <c r="E44" i="11"/>
  <c r="E42" i="11"/>
  <c r="E40" i="11"/>
  <c r="E38" i="11"/>
  <c r="E36" i="11"/>
  <c r="E63" i="11"/>
  <c r="E61" i="11"/>
  <c r="E59" i="11"/>
  <c r="E57" i="11"/>
  <c r="E55" i="11"/>
  <c r="E53" i="11"/>
  <c r="E51" i="11"/>
  <c r="E49" i="11"/>
  <c r="E47" i="11"/>
  <c r="E45" i="11"/>
  <c r="E43" i="11"/>
  <c r="E41" i="11"/>
  <c r="E39" i="11"/>
  <c r="E37" i="11"/>
  <c r="E62" i="9"/>
  <c r="E60" i="9"/>
  <c r="E58" i="9"/>
  <c r="E56" i="9"/>
  <c r="E54" i="9"/>
  <c r="E52" i="9"/>
  <c r="E50" i="9"/>
  <c r="E48" i="9"/>
  <c r="E46" i="9"/>
  <c r="E44" i="9"/>
  <c r="E42" i="9"/>
  <c r="E40" i="9"/>
  <c r="E38" i="9"/>
  <c r="E36" i="9"/>
  <c r="E63" i="9"/>
  <c r="E61" i="9"/>
  <c r="E59" i="9"/>
  <c r="E57" i="9"/>
  <c r="E55" i="9"/>
  <c r="E53" i="9"/>
  <c r="E51" i="9"/>
  <c r="E49" i="9"/>
  <c r="E47" i="9"/>
  <c r="E45" i="9"/>
  <c r="E43" i="9"/>
  <c r="E41" i="9"/>
  <c r="E39" i="9"/>
  <c r="E37" i="9"/>
  <c r="E62" i="7"/>
  <c r="E60" i="7"/>
  <c r="E58" i="7"/>
  <c r="E56" i="7"/>
  <c r="E54" i="7"/>
  <c r="E52" i="7"/>
  <c r="E50" i="7"/>
  <c r="E48" i="7"/>
  <c r="E46" i="7"/>
  <c r="E44" i="7"/>
  <c r="E42" i="7"/>
  <c r="E40" i="7"/>
  <c r="E38" i="7"/>
  <c r="E36" i="7"/>
  <c r="E63" i="7"/>
  <c r="E61" i="7"/>
  <c r="E59" i="7"/>
  <c r="E57" i="7"/>
  <c r="E55" i="7"/>
  <c r="E53" i="7"/>
  <c r="E51" i="7"/>
  <c r="E49" i="7"/>
  <c r="E47" i="7"/>
  <c r="E45" i="7"/>
  <c r="E43" i="7"/>
  <c r="E41" i="7"/>
  <c r="E39" i="7"/>
  <c r="E37" i="7"/>
  <c r="E62" i="5"/>
  <c r="E60" i="5"/>
  <c r="E58" i="5"/>
  <c r="E56" i="5"/>
  <c r="E54" i="5"/>
  <c r="E52" i="5"/>
  <c r="E50" i="5"/>
  <c r="E48" i="5"/>
  <c r="E46" i="5"/>
  <c r="E44" i="5"/>
  <c r="E42" i="5"/>
  <c r="E40" i="5"/>
  <c r="E38" i="5"/>
  <c r="E36" i="5"/>
  <c r="E63" i="5"/>
  <c r="E61" i="5"/>
  <c r="E59" i="5"/>
  <c r="E57" i="5"/>
  <c r="E55" i="5"/>
  <c r="E53" i="5"/>
  <c r="E51" i="5"/>
  <c r="E49" i="5"/>
  <c r="E47" i="5"/>
  <c r="E45" i="5"/>
  <c r="E43" i="5"/>
  <c r="E41" i="5"/>
  <c r="E39" i="5"/>
  <c r="E37" i="5"/>
  <c r="E62" i="3"/>
  <c r="E60" i="3"/>
  <c r="E58" i="3"/>
  <c r="E56" i="3"/>
  <c r="E54" i="3"/>
  <c r="E52" i="3"/>
  <c r="E50" i="3"/>
  <c r="E48" i="3"/>
  <c r="E46" i="3"/>
  <c r="E44" i="3"/>
  <c r="E42" i="3"/>
  <c r="E40" i="3"/>
  <c r="E38" i="3"/>
  <c r="E36" i="3"/>
  <c r="E63" i="3"/>
  <c r="E61" i="3"/>
  <c r="E59" i="3"/>
  <c r="E57" i="3"/>
  <c r="E55" i="3"/>
  <c r="E53" i="3"/>
  <c r="E51" i="3"/>
  <c r="E49" i="3"/>
  <c r="E47" i="3"/>
  <c r="E45" i="3"/>
  <c r="E43" i="3"/>
  <c r="E41" i="3"/>
  <c r="E39" i="3"/>
  <c r="E37" i="3"/>
  <c r="E62" i="1"/>
  <c r="E60" i="1"/>
  <c r="E58" i="1"/>
  <c r="E56" i="1"/>
  <c r="E54" i="1"/>
  <c r="E52" i="1"/>
  <c r="E50" i="1"/>
  <c r="E48" i="1"/>
  <c r="E46" i="1"/>
  <c r="E44" i="1"/>
  <c r="E42" i="1"/>
  <c r="E40" i="1"/>
  <c r="E38" i="1"/>
  <c r="E36" i="1"/>
  <c r="E63" i="1"/>
  <c r="E61" i="1"/>
  <c r="E59" i="1"/>
  <c r="E57" i="1"/>
  <c r="E55" i="1"/>
  <c r="E53" i="1"/>
  <c r="E51" i="1"/>
  <c r="E49" i="1"/>
  <c r="E47" i="1"/>
  <c r="E45" i="1"/>
  <c r="E43" i="1"/>
  <c r="E43" i="60" s="1"/>
  <c r="E41" i="1"/>
  <c r="E39" i="1"/>
  <c r="E39" i="60" s="1"/>
  <c r="E37" i="1"/>
  <c r="E104" i="55"/>
  <c r="C114" i="53"/>
  <c r="E103" i="51"/>
  <c r="C113" i="49"/>
  <c r="E113" i="45"/>
  <c r="E113" i="43"/>
  <c r="D115" i="41"/>
  <c r="C110" i="39"/>
  <c r="E114" i="35"/>
  <c r="D115" i="33"/>
  <c r="E98" i="31"/>
  <c r="C115" i="23"/>
  <c r="E115" i="21"/>
  <c r="E120" i="11"/>
  <c r="F120" i="11" s="1"/>
  <c r="C116" i="7"/>
  <c r="C116" i="5"/>
  <c r="E120" i="3"/>
  <c r="F120" i="3" s="1"/>
  <c r="C116" i="1"/>
  <c r="C116" i="56"/>
  <c r="D115" i="54"/>
  <c r="C116" i="52"/>
  <c r="D117" i="50"/>
  <c r="F117" i="50" s="1"/>
  <c r="C116" i="48"/>
  <c r="D117" i="46"/>
  <c r="F117" i="46" s="1"/>
  <c r="E120" i="44"/>
  <c r="F120" i="44" s="1"/>
  <c r="C114" i="42"/>
  <c r="D115" i="40"/>
  <c r="E111" i="38"/>
  <c r="C113" i="36"/>
  <c r="E84" i="32"/>
  <c r="C114" i="30"/>
  <c r="C116" i="22"/>
  <c r="E120" i="20"/>
  <c r="E120" i="18"/>
  <c r="F120" i="18" s="1"/>
  <c r="C116" i="14"/>
  <c r="E120" i="12"/>
  <c r="F120" i="12" s="1"/>
  <c r="C116" i="10"/>
  <c r="E120" i="8"/>
  <c r="F120" i="8" s="1"/>
  <c r="D117" i="6"/>
  <c r="F117" i="6" s="1"/>
  <c r="E120" i="4"/>
  <c r="F120" i="4" s="1"/>
  <c r="C113" i="59"/>
  <c r="E120" i="57"/>
  <c r="F120" i="57" s="1"/>
  <c r="E77" i="55"/>
  <c r="D50" i="49"/>
  <c r="D81" i="49" s="1"/>
  <c r="E77" i="42"/>
  <c r="E77" i="22"/>
  <c r="C112" i="55"/>
  <c r="E77" i="50"/>
  <c r="E111" i="42"/>
  <c r="C113" i="22"/>
  <c r="C112" i="50"/>
  <c r="E81" i="31"/>
  <c r="D42" i="51"/>
  <c r="D73" i="51" s="1"/>
  <c r="D50" i="51"/>
  <c r="D81" i="51" s="1"/>
  <c r="D58" i="51"/>
  <c r="D89" i="51" s="1"/>
  <c r="E84" i="51"/>
  <c r="E115" i="51"/>
  <c r="E67" i="48"/>
  <c r="E83" i="48"/>
  <c r="E102" i="48"/>
  <c r="D115" i="48"/>
  <c r="E70" i="40"/>
  <c r="D41" i="33"/>
  <c r="D72" i="33" s="1"/>
  <c r="D49" i="33"/>
  <c r="D80" i="33" s="1"/>
  <c r="D57" i="33"/>
  <c r="D88" i="33" s="1"/>
  <c r="E70" i="33"/>
  <c r="E86" i="33"/>
  <c r="E104" i="33"/>
  <c r="D117" i="32"/>
  <c r="F117" i="32" s="1"/>
  <c r="E93" i="30"/>
  <c r="E91" i="44"/>
  <c r="E93" i="55"/>
  <c r="D38" i="51"/>
  <c r="D46" i="51"/>
  <c r="D77" i="51" s="1"/>
  <c r="D54" i="51"/>
  <c r="D85" i="51" s="1"/>
  <c r="E68" i="51"/>
  <c r="E93" i="50"/>
  <c r="E75" i="48"/>
  <c r="E91" i="48"/>
  <c r="E111" i="48"/>
  <c r="E75" i="44"/>
  <c r="C112" i="44"/>
  <c r="E93" i="42"/>
  <c r="D48" i="40"/>
  <c r="D79" i="40" s="1"/>
  <c r="E104" i="40"/>
  <c r="D37" i="33"/>
  <c r="D68" i="33" s="1"/>
  <c r="D45" i="33"/>
  <c r="D76" i="33" s="1"/>
  <c r="D53" i="33"/>
  <c r="D84" i="33" s="1"/>
  <c r="D61" i="33"/>
  <c r="D92" i="33" s="1"/>
  <c r="E78" i="33"/>
  <c r="E94" i="33"/>
  <c r="C112" i="33"/>
  <c r="E113" i="31"/>
  <c r="E77" i="30"/>
  <c r="E111" i="30"/>
  <c r="E93" i="22"/>
  <c r="E115" i="47"/>
  <c r="E110" i="47"/>
  <c r="E86" i="47"/>
  <c r="E70" i="47"/>
  <c r="D56" i="47"/>
  <c r="D48" i="47"/>
  <c r="D79" i="47" s="1"/>
  <c r="D40" i="47"/>
  <c r="D44" i="47"/>
  <c r="D60" i="47"/>
  <c r="E94" i="47"/>
  <c r="E100" i="53"/>
  <c r="E69" i="55"/>
  <c r="E85" i="55"/>
  <c r="E81" i="53"/>
  <c r="E120" i="51"/>
  <c r="F120" i="51" s="1"/>
  <c r="E114" i="51"/>
  <c r="E110" i="51"/>
  <c r="E99" i="51"/>
  <c r="E88" i="51"/>
  <c r="E80" i="51"/>
  <c r="E72" i="51"/>
  <c r="D62" i="51"/>
  <c r="D93" i="51" s="1"/>
  <c r="D36" i="51"/>
  <c r="D67" i="51" s="1"/>
  <c r="D40" i="51"/>
  <c r="D71" i="51" s="1"/>
  <c r="D44" i="51"/>
  <c r="D48" i="51"/>
  <c r="D52" i="51"/>
  <c r="D56" i="51"/>
  <c r="D87" i="51" s="1"/>
  <c r="D60" i="51"/>
  <c r="E76" i="51"/>
  <c r="E92" i="51"/>
  <c r="E112" i="51"/>
  <c r="E90" i="49"/>
  <c r="D58" i="49"/>
  <c r="D89" i="49" s="1"/>
  <c r="D42" i="49"/>
  <c r="D73" i="49" s="1"/>
  <c r="E74" i="49"/>
  <c r="D36" i="47"/>
  <c r="D52" i="47"/>
  <c r="E78" i="47"/>
  <c r="E114" i="47"/>
  <c r="E69" i="50"/>
  <c r="E85" i="50"/>
  <c r="E104" i="50"/>
  <c r="E71" i="48"/>
  <c r="E79" i="48"/>
  <c r="E87" i="48"/>
  <c r="E98" i="48"/>
  <c r="D109" i="48"/>
  <c r="E113" i="48"/>
  <c r="E120" i="48"/>
  <c r="F120" i="48" s="1"/>
  <c r="E67" i="44"/>
  <c r="E83" i="44"/>
  <c r="E102" i="44"/>
  <c r="D117" i="44"/>
  <c r="F117" i="44" s="1"/>
  <c r="E69" i="42"/>
  <c r="E85" i="42"/>
  <c r="E104" i="42"/>
  <c r="D115" i="42"/>
  <c r="D40" i="40"/>
  <c r="D71" i="40" s="1"/>
  <c r="D56" i="40"/>
  <c r="E86" i="40"/>
  <c r="D36" i="35"/>
  <c r="D40" i="35"/>
  <c r="D9" i="35" s="1"/>
  <c r="D46" i="35"/>
  <c r="D54" i="35"/>
  <c r="D62" i="35"/>
  <c r="E80" i="35"/>
  <c r="E99" i="35"/>
  <c r="E120" i="32"/>
  <c r="F120" i="32" s="1"/>
  <c r="C112" i="32"/>
  <c r="E92" i="32"/>
  <c r="E76" i="32"/>
  <c r="E68" i="32"/>
  <c r="E102" i="32"/>
  <c r="D41" i="23"/>
  <c r="D57" i="23"/>
  <c r="E84" i="23"/>
  <c r="D40" i="21"/>
  <c r="D48" i="21"/>
  <c r="D56" i="21"/>
  <c r="E68" i="21"/>
  <c r="E84" i="21"/>
  <c r="E103" i="21"/>
  <c r="C114" i="17"/>
  <c r="E111" i="17"/>
  <c r="E93" i="17"/>
  <c r="E77" i="17"/>
  <c r="E69" i="17"/>
  <c r="E104" i="17"/>
  <c r="E120" i="35"/>
  <c r="F120" i="35" s="1"/>
  <c r="E115" i="35"/>
  <c r="E112" i="35"/>
  <c r="E103" i="35"/>
  <c r="E92" i="35"/>
  <c r="E84" i="35"/>
  <c r="E76" i="35"/>
  <c r="E68" i="35"/>
  <c r="D60" i="35"/>
  <c r="D29" i="35" s="1"/>
  <c r="D56" i="35"/>
  <c r="D25" i="35" s="1"/>
  <c r="D52" i="35"/>
  <c r="D48" i="35"/>
  <c r="D17" i="35" s="1"/>
  <c r="D44" i="35"/>
  <c r="D38" i="35"/>
  <c r="D42" i="35"/>
  <c r="D50" i="35"/>
  <c r="D58" i="35"/>
  <c r="E72" i="35"/>
  <c r="E88" i="35"/>
  <c r="E110" i="35"/>
  <c r="C116" i="23"/>
  <c r="C111" i="23"/>
  <c r="E92" i="23"/>
  <c r="E76" i="23"/>
  <c r="D61" i="23"/>
  <c r="D53" i="23"/>
  <c r="D45" i="23"/>
  <c r="D37" i="23"/>
  <c r="D49" i="23"/>
  <c r="E68" i="23"/>
  <c r="E103" i="23"/>
  <c r="E120" i="21"/>
  <c r="F120" i="21" s="1"/>
  <c r="E114" i="21"/>
  <c r="E110" i="21"/>
  <c r="E99" i="21"/>
  <c r="E88" i="21"/>
  <c r="E80" i="21"/>
  <c r="E72" i="21"/>
  <c r="D62" i="21"/>
  <c r="D58" i="21"/>
  <c r="D54" i="21"/>
  <c r="D50" i="21"/>
  <c r="D46" i="21"/>
  <c r="D42" i="21"/>
  <c r="D38" i="21"/>
  <c r="D36" i="21"/>
  <c r="D44" i="21"/>
  <c r="D52" i="21"/>
  <c r="D60" i="21"/>
  <c r="E76" i="21"/>
  <c r="E92" i="21"/>
  <c r="E112" i="21"/>
  <c r="E85" i="17"/>
  <c r="D115" i="17"/>
  <c r="D39" i="33"/>
  <c r="D70" i="33" s="1"/>
  <c r="F70" i="33" s="1"/>
  <c r="D43" i="33"/>
  <c r="D74" i="33" s="1"/>
  <c r="D47" i="33"/>
  <c r="D78" i="33" s="1"/>
  <c r="F78" i="33" s="1"/>
  <c r="D51" i="33"/>
  <c r="D82" i="33" s="1"/>
  <c r="D55" i="33"/>
  <c r="D86" i="33" s="1"/>
  <c r="D59" i="33"/>
  <c r="D90" i="33" s="1"/>
  <c r="D63" i="33"/>
  <c r="D94" i="33" s="1"/>
  <c r="E74" i="33"/>
  <c r="E82" i="33"/>
  <c r="E90" i="33"/>
  <c r="E101" i="33"/>
  <c r="C110" i="33"/>
  <c r="E69" i="30"/>
  <c r="E85" i="30"/>
  <c r="E104" i="30"/>
  <c r="D115" i="30"/>
  <c r="E69" i="22"/>
  <c r="E85" i="22"/>
  <c r="E109" i="22"/>
  <c r="D37" i="57"/>
  <c r="D39" i="57"/>
  <c r="D41" i="57"/>
  <c r="D43" i="57"/>
  <c r="D45" i="57"/>
  <c r="D47" i="57"/>
  <c r="D49" i="57"/>
  <c r="D51" i="57"/>
  <c r="D53" i="57"/>
  <c r="D55" i="57"/>
  <c r="D57" i="57"/>
  <c r="D59" i="57"/>
  <c r="D61" i="57"/>
  <c r="D63" i="57"/>
  <c r="E70" i="57"/>
  <c r="E78" i="57"/>
  <c r="E83" i="57"/>
  <c r="E90" i="57"/>
  <c r="D109" i="57"/>
  <c r="E113" i="57"/>
  <c r="C116" i="55"/>
  <c r="D117" i="55"/>
  <c r="F117" i="55" s="1"/>
  <c r="D115" i="55"/>
  <c r="E113" i="55"/>
  <c r="E111" i="55"/>
  <c r="D109" i="55"/>
  <c r="E102" i="55"/>
  <c r="E98" i="55"/>
  <c r="E91" i="55"/>
  <c r="E87" i="55"/>
  <c r="E83" i="55"/>
  <c r="E79" i="55"/>
  <c r="E75" i="55"/>
  <c r="E71" i="55"/>
  <c r="E67" i="55"/>
  <c r="E73" i="55"/>
  <c r="E81" i="55"/>
  <c r="E89" i="55"/>
  <c r="E100" i="55"/>
  <c r="C110" i="55"/>
  <c r="C114" i="55"/>
  <c r="E120" i="55"/>
  <c r="F120" i="55" s="1"/>
  <c r="D115" i="53"/>
  <c r="E111" i="53"/>
  <c r="E104" i="53"/>
  <c r="E93" i="53"/>
  <c r="E85" i="53"/>
  <c r="E77" i="53"/>
  <c r="E69" i="53"/>
  <c r="E73" i="53"/>
  <c r="E89" i="53"/>
  <c r="C110" i="53"/>
  <c r="D9" i="51"/>
  <c r="D25" i="51"/>
  <c r="C116" i="50"/>
  <c r="E120" i="50"/>
  <c r="F120" i="50" s="1"/>
  <c r="D115" i="50"/>
  <c r="E113" i="50"/>
  <c r="E111" i="50"/>
  <c r="D109" i="50"/>
  <c r="E102" i="50"/>
  <c r="E98" i="50"/>
  <c r="E91" i="50"/>
  <c r="E87" i="50"/>
  <c r="E83" i="50"/>
  <c r="E79" i="50"/>
  <c r="E75" i="50"/>
  <c r="E71" i="50"/>
  <c r="E67" i="50"/>
  <c r="E73" i="50"/>
  <c r="E81" i="50"/>
  <c r="E89" i="50"/>
  <c r="E100" i="50"/>
  <c r="C110" i="50"/>
  <c r="C114" i="50"/>
  <c r="E114" i="49"/>
  <c r="E110" i="49"/>
  <c r="E94" i="49"/>
  <c r="E86" i="49"/>
  <c r="E78" i="49"/>
  <c r="E70" i="49"/>
  <c r="D60" i="49"/>
  <c r="D56" i="49"/>
  <c r="D52" i="49"/>
  <c r="D48" i="49"/>
  <c r="D44" i="49"/>
  <c r="D40" i="49"/>
  <c r="D36" i="49"/>
  <c r="D38" i="49"/>
  <c r="D46" i="49"/>
  <c r="D77" i="49" s="1"/>
  <c r="D54" i="49"/>
  <c r="D85" i="49" s="1"/>
  <c r="D62" i="49"/>
  <c r="D93" i="49" s="1"/>
  <c r="E82" i="49"/>
  <c r="E101" i="49"/>
  <c r="E115" i="49"/>
  <c r="D17" i="47"/>
  <c r="D75" i="47"/>
  <c r="D13" i="47"/>
  <c r="D83" i="47"/>
  <c r="D21" i="47"/>
  <c r="D91" i="47"/>
  <c r="D29" i="47"/>
  <c r="E69" i="46"/>
  <c r="E77" i="46"/>
  <c r="E85" i="46"/>
  <c r="E93" i="46"/>
  <c r="E104" i="46"/>
  <c r="C112" i="46"/>
  <c r="E79" i="45"/>
  <c r="E98" i="45"/>
  <c r="D39" i="43"/>
  <c r="D70" i="43" s="1"/>
  <c r="D47" i="43"/>
  <c r="D55" i="43"/>
  <c r="D63" i="43"/>
  <c r="E80" i="43"/>
  <c r="E99" i="43"/>
  <c r="C114" i="40"/>
  <c r="C110" i="40"/>
  <c r="E101" i="40"/>
  <c r="E90" i="40"/>
  <c r="E82" i="40"/>
  <c r="E74" i="40"/>
  <c r="D62" i="40"/>
  <c r="D93" i="40" s="1"/>
  <c r="D58" i="40"/>
  <c r="D89" i="40" s="1"/>
  <c r="D54" i="40"/>
  <c r="D85" i="40" s="1"/>
  <c r="D50" i="40"/>
  <c r="D81" i="40" s="1"/>
  <c r="D46" i="40"/>
  <c r="D77" i="40" s="1"/>
  <c r="D42" i="40"/>
  <c r="D73" i="40" s="1"/>
  <c r="D38" i="40"/>
  <c r="D69" i="40" s="1"/>
  <c r="D36" i="40"/>
  <c r="D67" i="40" s="1"/>
  <c r="D44" i="40"/>
  <c r="D75" i="40" s="1"/>
  <c r="D52" i="40"/>
  <c r="D60" i="40"/>
  <c r="E78" i="40"/>
  <c r="E94" i="40"/>
  <c r="E111" i="40"/>
  <c r="E79" i="36"/>
  <c r="E98" i="36"/>
  <c r="C116" i="57"/>
  <c r="D117" i="57"/>
  <c r="F117" i="57" s="1"/>
  <c r="C114" i="57"/>
  <c r="C112" i="57"/>
  <c r="C110" i="57"/>
  <c r="E102" i="57"/>
  <c r="E91" i="57"/>
  <c r="E86" i="57"/>
  <c r="E82" i="57"/>
  <c r="E79" i="57"/>
  <c r="E75" i="57"/>
  <c r="D36" i="57"/>
  <c r="D5" i="57" s="1"/>
  <c r="D38" i="57"/>
  <c r="D40" i="57"/>
  <c r="D9" i="57" s="1"/>
  <c r="D42" i="57"/>
  <c r="D73" i="57" s="1"/>
  <c r="D44" i="57"/>
  <c r="D13" i="57" s="1"/>
  <c r="D46" i="57"/>
  <c r="D48" i="57"/>
  <c r="D17" i="57" s="1"/>
  <c r="D50" i="57"/>
  <c r="D81" i="57" s="1"/>
  <c r="D52" i="57"/>
  <c r="D21" i="57" s="1"/>
  <c r="D54" i="57"/>
  <c r="D56" i="57"/>
  <c r="D25" i="57" s="1"/>
  <c r="D58" i="57"/>
  <c r="D89" i="57" s="1"/>
  <c r="D60" i="57"/>
  <c r="D29" i="57" s="1"/>
  <c r="D62" i="57"/>
  <c r="E67" i="57"/>
  <c r="E71" i="57"/>
  <c r="E74" i="57"/>
  <c r="E87" i="57"/>
  <c r="E94" i="57"/>
  <c r="E111" i="57"/>
  <c r="D115" i="57"/>
  <c r="D75" i="51"/>
  <c r="D13" i="51"/>
  <c r="D83" i="51"/>
  <c r="D21" i="51"/>
  <c r="D91" i="51"/>
  <c r="D29" i="51"/>
  <c r="C116" i="46"/>
  <c r="E120" i="46"/>
  <c r="F120" i="46" s="1"/>
  <c r="D115" i="46"/>
  <c r="E113" i="46"/>
  <c r="E111" i="46"/>
  <c r="D109" i="46"/>
  <c r="E102" i="46"/>
  <c r="E98" i="46"/>
  <c r="E91" i="46"/>
  <c r="E87" i="46"/>
  <c r="E83" i="46"/>
  <c r="E79" i="46"/>
  <c r="E75" i="46"/>
  <c r="E71" i="46"/>
  <c r="E67" i="46"/>
  <c r="E73" i="46"/>
  <c r="E81" i="46"/>
  <c r="E89" i="46"/>
  <c r="E100" i="46"/>
  <c r="C110" i="46"/>
  <c r="C114" i="46"/>
  <c r="D117" i="45"/>
  <c r="F117" i="45" s="1"/>
  <c r="C112" i="45"/>
  <c r="E102" i="45"/>
  <c r="E91" i="45"/>
  <c r="E83" i="45"/>
  <c r="E75" i="45"/>
  <c r="E67" i="45"/>
  <c r="E71" i="45"/>
  <c r="E87" i="45"/>
  <c r="D109" i="45"/>
  <c r="E120" i="45"/>
  <c r="F120" i="45" s="1"/>
  <c r="D117" i="43"/>
  <c r="F117" i="43" s="1"/>
  <c r="C112" i="43"/>
  <c r="E103" i="43"/>
  <c r="E92" i="43"/>
  <c r="E84" i="43"/>
  <c r="E76" i="43"/>
  <c r="E68" i="43"/>
  <c r="D61" i="43"/>
  <c r="D57" i="43"/>
  <c r="D53" i="43"/>
  <c r="D49" i="43"/>
  <c r="D45" i="43"/>
  <c r="D76" i="43" s="1"/>
  <c r="F76" i="43" s="1"/>
  <c r="D41" i="43"/>
  <c r="D72" i="43" s="1"/>
  <c r="D37" i="43"/>
  <c r="D68" i="43" s="1"/>
  <c r="D43" i="43"/>
  <c r="D74" i="43" s="1"/>
  <c r="D51" i="43"/>
  <c r="D59" i="43"/>
  <c r="E72" i="43"/>
  <c r="E88" i="43"/>
  <c r="D109" i="43"/>
  <c r="E120" i="43"/>
  <c r="F120" i="43" s="1"/>
  <c r="E114" i="36"/>
  <c r="E110" i="36"/>
  <c r="E100" i="36"/>
  <c r="E92" i="36"/>
  <c r="E84" i="36"/>
  <c r="E76" i="36"/>
  <c r="E68" i="36"/>
  <c r="E71" i="36"/>
  <c r="E87" i="36"/>
  <c r="E103" i="36"/>
  <c r="E115" i="36"/>
  <c r="E120" i="34"/>
  <c r="F120" i="34" s="1"/>
  <c r="E115" i="34"/>
  <c r="E114" i="34"/>
  <c r="E112" i="34"/>
  <c r="E110" i="34"/>
  <c r="E103" i="34"/>
  <c r="E99" i="34"/>
  <c r="E92" i="34"/>
  <c r="E88" i="34"/>
  <c r="E84" i="34"/>
  <c r="E80" i="34"/>
  <c r="E76" i="34"/>
  <c r="E72" i="34"/>
  <c r="E68" i="34"/>
  <c r="D62" i="34"/>
  <c r="D60" i="34"/>
  <c r="D58" i="34"/>
  <c r="D89" i="34" s="1"/>
  <c r="D56" i="34"/>
  <c r="D87" i="34" s="1"/>
  <c r="D54" i="34"/>
  <c r="D85" i="34" s="1"/>
  <c r="D52" i="34"/>
  <c r="D83" i="34" s="1"/>
  <c r="D50" i="34"/>
  <c r="D81" i="34" s="1"/>
  <c r="D48" i="34"/>
  <c r="D79" i="34" s="1"/>
  <c r="D46" i="34"/>
  <c r="D77" i="34" s="1"/>
  <c r="D44" i="34"/>
  <c r="D75" i="34" s="1"/>
  <c r="D42" i="34"/>
  <c r="D73" i="34" s="1"/>
  <c r="D40" i="34"/>
  <c r="D71" i="34" s="1"/>
  <c r="D38" i="34"/>
  <c r="D69" i="34" s="1"/>
  <c r="D36" i="34"/>
  <c r="D67" i="34" s="1"/>
  <c r="D39" i="34"/>
  <c r="D43" i="34"/>
  <c r="D47" i="34"/>
  <c r="D51" i="34"/>
  <c r="D55" i="34"/>
  <c r="D59" i="34"/>
  <c r="D63" i="34"/>
  <c r="E74" i="34"/>
  <c r="E82" i="34"/>
  <c r="E90" i="34"/>
  <c r="E101" i="34"/>
  <c r="C111" i="34"/>
  <c r="C115" i="34"/>
  <c r="D117" i="24"/>
  <c r="F117" i="24" s="1"/>
  <c r="C112" i="24"/>
  <c r="E102" i="24"/>
  <c r="E91" i="24"/>
  <c r="E83" i="24"/>
  <c r="E75" i="24"/>
  <c r="E67" i="24"/>
  <c r="E120" i="24"/>
  <c r="F120" i="24" s="1"/>
  <c r="D109" i="24"/>
  <c r="E87" i="24"/>
  <c r="E71" i="24"/>
  <c r="E98" i="24"/>
  <c r="D37" i="51"/>
  <c r="D39" i="51"/>
  <c r="D41" i="51"/>
  <c r="D43" i="51"/>
  <c r="D45" i="51"/>
  <c r="D47" i="51"/>
  <c r="D49" i="51"/>
  <c r="D51" i="51"/>
  <c r="D53" i="51"/>
  <c r="D55" i="51"/>
  <c r="D57" i="51"/>
  <c r="D59" i="51"/>
  <c r="D61" i="51"/>
  <c r="D63" i="51"/>
  <c r="E70" i="51"/>
  <c r="E74" i="51"/>
  <c r="E78" i="51"/>
  <c r="E82" i="51"/>
  <c r="E86" i="51"/>
  <c r="E90" i="51"/>
  <c r="E94" i="51"/>
  <c r="E101" i="51"/>
  <c r="E109" i="51"/>
  <c r="C111" i="51"/>
  <c r="C113" i="51"/>
  <c r="C115" i="51"/>
  <c r="C116" i="51"/>
  <c r="E69" i="48"/>
  <c r="E73" i="48"/>
  <c r="E77" i="48"/>
  <c r="E81" i="48"/>
  <c r="E85" i="48"/>
  <c r="E89" i="48"/>
  <c r="E93" i="48"/>
  <c r="E100" i="48"/>
  <c r="E104" i="48"/>
  <c r="C110" i="48"/>
  <c r="C112" i="48"/>
  <c r="C114" i="48"/>
  <c r="D117" i="48"/>
  <c r="F117" i="48" s="1"/>
  <c r="D38" i="47"/>
  <c r="D42" i="47"/>
  <c r="D73" i="47" s="1"/>
  <c r="D46" i="47"/>
  <c r="D77" i="47" s="1"/>
  <c r="D50" i="47"/>
  <c r="D81" i="47" s="1"/>
  <c r="D54" i="47"/>
  <c r="D85" i="47" s="1"/>
  <c r="D58" i="47"/>
  <c r="D89" i="47" s="1"/>
  <c r="D62" i="47"/>
  <c r="D93" i="47" s="1"/>
  <c r="E74" i="47"/>
  <c r="E82" i="47"/>
  <c r="E90" i="47"/>
  <c r="E101" i="47"/>
  <c r="C113" i="47"/>
  <c r="E71" i="44"/>
  <c r="E79" i="44"/>
  <c r="E87" i="44"/>
  <c r="E98" i="44"/>
  <c r="D109" i="44"/>
  <c r="E113" i="44"/>
  <c r="E73" i="42"/>
  <c r="E81" i="42"/>
  <c r="E89" i="42"/>
  <c r="E100" i="42"/>
  <c r="C110" i="42"/>
  <c r="D37" i="35"/>
  <c r="D68" i="35" s="1"/>
  <c r="F68" i="35" s="1"/>
  <c r="D39" i="35"/>
  <c r="D70" i="35" s="1"/>
  <c r="D41" i="35"/>
  <c r="D72" i="35" s="1"/>
  <c r="F72" i="35" s="1"/>
  <c r="D43" i="35"/>
  <c r="D74" i="35" s="1"/>
  <c r="D45" i="35"/>
  <c r="D76" i="35" s="1"/>
  <c r="F76" i="35" s="1"/>
  <c r="D47" i="35"/>
  <c r="D78" i="35" s="1"/>
  <c r="D49" i="35"/>
  <c r="D80" i="35" s="1"/>
  <c r="F80" i="35" s="1"/>
  <c r="D51" i="35"/>
  <c r="D82" i="35" s="1"/>
  <c r="D53" i="35"/>
  <c r="D84" i="35" s="1"/>
  <c r="F84" i="35" s="1"/>
  <c r="D55" i="35"/>
  <c r="D86" i="35" s="1"/>
  <c r="D57" i="35"/>
  <c r="D59" i="35"/>
  <c r="D61" i="35"/>
  <c r="D63" i="35"/>
  <c r="E70" i="35"/>
  <c r="E74" i="35"/>
  <c r="E78" i="35"/>
  <c r="E82" i="35"/>
  <c r="E86" i="35"/>
  <c r="E90" i="35"/>
  <c r="E94" i="35"/>
  <c r="E101" i="35"/>
  <c r="E109" i="35"/>
  <c r="C111" i="35"/>
  <c r="C113" i="35"/>
  <c r="C115" i="35"/>
  <c r="C116" i="35"/>
  <c r="D37" i="34"/>
  <c r="D41" i="34"/>
  <c r="D10" i="34" s="1"/>
  <c r="D45" i="34"/>
  <c r="D49" i="34"/>
  <c r="D18" i="34" s="1"/>
  <c r="D53" i="34"/>
  <c r="D57" i="34"/>
  <c r="D26" i="34" s="1"/>
  <c r="D61" i="34"/>
  <c r="E70" i="34"/>
  <c r="E78" i="34"/>
  <c r="E86" i="34"/>
  <c r="E94" i="34"/>
  <c r="E109" i="34"/>
  <c r="C113" i="34"/>
  <c r="C116" i="34"/>
  <c r="E79" i="24"/>
  <c r="E113" i="24"/>
  <c r="C116" i="33"/>
  <c r="D117" i="33"/>
  <c r="F117" i="33" s="1"/>
  <c r="C114" i="33"/>
  <c r="D36" i="33"/>
  <c r="D5" i="33" s="1"/>
  <c r="D38" i="33"/>
  <c r="D40" i="33"/>
  <c r="D9" i="33" s="1"/>
  <c r="D42" i="33"/>
  <c r="D44" i="33"/>
  <c r="D13" i="33" s="1"/>
  <c r="D46" i="33"/>
  <c r="D48" i="33"/>
  <c r="D17" i="33" s="1"/>
  <c r="D50" i="33"/>
  <c r="D52" i="33"/>
  <c r="D21" i="33" s="1"/>
  <c r="D54" i="33"/>
  <c r="D56" i="33"/>
  <c r="D25" i="33" s="1"/>
  <c r="D58" i="33"/>
  <c r="D60" i="33"/>
  <c r="D29" i="33" s="1"/>
  <c r="D62" i="33"/>
  <c r="E68" i="33"/>
  <c r="F68" i="33" s="1"/>
  <c r="E72" i="33"/>
  <c r="F72" i="33" s="1"/>
  <c r="E76" i="33"/>
  <c r="F76" i="33" s="1"/>
  <c r="E80" i="33"/>
  <c r="F80" i="33" s="1"/>
  <c r="E84" i="33"/>
  <c r="F84" i="33" s="1"/>
  <c r="E88" i="33"/>
  <c r="F88" i="33" s="1"/>
  <c r="E92" i="33"/>
  <c r="F92" i="33" s="1"/>
  <c r="E99" i="33"/>
  <c r="E103" i="33"/>
  <c r="D109" i="33"/>
  <c r="D118" i="33" s="1"/>
  <c r="E111" i="33"/>
  <c r="E113" i="33"/>
  <c r="E120" i="33"/>
  <c r="F120" i="33" s="1"/>
  <c r="D117" i="31"/>
  <c r="F117" i="31" s="1"/>
  <c r="C112" i="31"/>
  <c r="E102" i="31"/>
  <c r="E92" i="31"/>
  <c r="E84" i="31"/>
  <c r="E76" i="31"/>
  <c r="E68" i="31"/>
  <c r="E73" i="31"/>
  <c r="E89" i="31"/>
  <c r="D109" i="31"/>
  <c r="E120" i="31"/>
  <c r="F120" i="31" s="1"/>
  <c r="E120" i="22"/>
  <c r="F120" i="22" s="1"/>
  <c r="E115" i="22"/>
  <c r="E114" i="22"/>
  <c r="E112" i="22"/>
  <c r="E110" i="22"/>
  <c r="E102" i="22"/>
  <c r="E98" i="22"/>
  <c r="E91" i="22"/>
  <c r="E87" i="22"/>
  <c r="E83" i="22"/>
  <c r="E79" i="22"/>
  <c r="E75" i="22"/>
  <c r="E71" i="22"/>
  <c r="E67" i="22"/>
  <c r="E73" i="22"/>
  <c r="E81" i="22"/>
  <c r="E89" i="22"/>
  <c r="E100" i="22"/>
  <c r="C111" i="22"/>
  <c r="C115" i="22"/>
  <c r="D69" i="21"/>
  <c r="D7" i="21"/>
  <c r="D73" i="21"/>
  <c r="D11" i="21"/>
  <c r="D77" i="21"/>
  <c r="D15" i="21"/>
  <c r="D81" i="21"/>
  <c r="D19" i="21"/>
  <c r="D85" i="21"/>
  <c r="D23" i="21"/>
  <c r="D89" i="21"/>
  <c r="D27" i="21"/>
  <c r="D93" i="21"/>
  <c r="D31" i="21"/>
  <c r="E120" i="15"/>
  <c r="F120" i="15" s="1"/>
  <c r="E115" i="15"/>
  <c r="E114" i="15"/>
  <c r="E112" i="15"/>
  <c r="E110" i="15"/>
  <c r="E103" i="15"/>
  <c r="E99" i="15"/>
  <c r="E92" i="15"/>
  <c r="E88" i="15"/>
  <c r="E84" i="15"/>
  <c r="E80" i="15"/>
  <c r="E76" i="15"/>
  <c r="E72" i="15"/>
  <c r="E68" i="15"/>
  <c r="D62" i="15"/>
  <c r="D60" i="15"/>
  <c r="D58" i="15"/>
  <c r="D56" i="15"/>
  <c r="D54" i="15"/>
  <c r="D52" i="15"/>
  <c r="D36" i="15"/>
  <c r="D38" i="15"/>
  <c r="D40" i="15"/>
  <c r="D42" i="15"/>
  <c r="D44" i="15"/>
  <c r="D46" i="15"/>
  <c r="D48" i="15"/>
  <c r="D50" i="15"/>
  <c r="D53" i="15"/>
  <c r="D57" i="15"/>
  <c r="D61" i="15"/>
  <c r="E70" i="15"/>
  <c r="E78" i="15"/>
  <c r="E86" i="15"/>
  <c r="E94" i="15"/>
  <c r="E109" i="15"/>
  <c r="C113" i="15"/>
  <c r="C116" i="15"/>
  <c r="E71" i="32"/>
  <c r="E79" i="32"/>
  <c r="E87" i="32"/>
  <c r="E98" i="32"/>
  <c r="D109" i="32"/>
  <c r="E113" i="32"/>
  <c r="E72" i="30"/>
  <c r="E80" i="30"/>
  <c r="E88" i="30"/>
  <c r="E100" i="30"/>
  <c r="C110" i="30"/>
  <c r="D39" i="23"/>
  <c r="D43" i="23"/>
  <c r="D47" i="23"/>
  <c r="D51" i="23"/>
  <c r="D55" i="23"/>
  <c r="D59" i="23"/>
  <c r="D63" i="23"/>
  <c r="E72" i="23"/>
  <c r="E80" i="23"/>
  <c r="E88" i="23"/>
  <c r="E99" i="23"/>
  <c r="E109" i="23"/>
  <c r="E112" i="23"/>
  <c r="D37" i="21"/>
  <c r="D39" i="21"/>
  <c r="D41" i="21"/>
  <c r="D43" i="21"/>
  <c r="D45" i="21"/>
  <c r="D47" i="21"/>
  <c r="D49" i="21"/>
  <c r="D51" i="21"/>
  <c r="D53" i="21"/>
  <c r="D55" i="21"/>
  <c r="D57" i="21"/>
  <c r="D59" i="21"/>
  <c r="D61" i="21"/>
  <c r="D63" i="21"/>
  <c r="E70" i="21"/>
  <c r="E74" i="21"/>
  <c r="E78" i="21"/>
  <c r="E82" i="21"/>
  <c r="E86" i="21"/>
  <c r="E90" i="21"/>
  <c r="E94" i="21"/>
  <c r="E101" i="21"/>
  <c r="E109" i="21"/>
  <c r="C111" i="21"/>
  <c r="C113" i="21"/>
  <c r="C115" i="21"/>
  <c r="C116" i="21"/>
  <c r="E73" i="17"/>
  <c r="E81" i="17"/>
  <c r="E89" i="17"/>
  <c r="E100" i="17"/>
  <c r="C110" i="17"/>
  <c r="D37" i="15"/>
  <c r="D39" i="15"/>
  <c r="D41" i="15"/>
  <c r="D43" i="15"/>
  <c r="D45" i="15"/>
  <c r="D47" i="15"/>
  <c r="D49" i="15"/>
  <c r="D51" i="15"/>
  <c r="D55" i="15"/>
  <c r="D59" i="15"/>
  <c r="D63" i="15"/>
  <c r="E74" i="15"/>
  <c r="E82" i="15"/>
  <c r="E90" i="15"/>
  <c r="E101" i="15"/>
  <c r="C111" i="15"/>
  <c r="C115" i="15"/>
  <c r="E69" i="6"/>
  <c r="E73" i="6"/>
  <c r="E79" i="6"/>
  <c r="E87" i="6"/>
  <c r="E98" i="6"/>
  <c r="D109" i="6"/>
  <c r="E113" i="6"/>
  <c r="E120" i="6"/>
  <c r="F120" i="6" s="1"/>
  <c r="D37" i="4"/>
  <c r="D39" i="4"/>
  <c r="D41" i="4"/>
  <c r="D43" i="4"/>
  <c r="D45" i="4"/>
  <c r="D47" i="4"/>
  <c r="D49" i="4"/>
  <c r="D51" i="4"/>
  <c r="D53" i="4"/>
  <c r="D55" i="4"/>
  <c r="D57" i="4"/>
  <c r="D59" i="4"/>
  <c r="D61" i="4"/>
  <c r="D63" i="4"/>
  <c r="E70" i="4"/>
  <c r="E74" i="4"/>
  <c r="E78" i="4"/>
  <c r="E82" i="4"/>
  <c r="E86" i="4"/>
  <c r="E90" i="4"/>
  <c r="E94" i="4"/>
  <c r="E101" i="4"/>
  <c r="E109" i="4"/>
  <c r="C111" i="4"/>
  <c r="C113" i="4"/>
  <c r="C115" i="4"/>
  <c r="C116" i="4"/>
  <c r="E67" i="6"/>
  <c r="E71" i="6"/>
  <c r="E75" i="6"/>
  <c r="E83" i="6"/>
  <c r="E91" i="6"/>
  <c r="E102" i="6"/>
  <c r="C112" i="6"/>
  <c r="D36" i="4"/>
  <c r="D5" i="4" s="1"/>
  <c r="D38" i="4"/>
  <c r="D7" i="4" s="1"/>
  <c r="D40" i="4"/>
  <c r="D9" i="4" s="1"/>
  <c r="D42" i="4"/>
  <c r="D11" i="4" s="1"/>
  <c r="D44" i="4"/>
  <c r="D13" i="4" s="1"/>
  <c r="D46" i="4"/>
  <c r="D15" i="4" s="1"/>
  <c r="D48" i="4"/>
  <c r="D17" i="4" s="1"/>
  <c r="D50" i="4"/>
  <c r="D19" i="4" s="1"/>
  <c r="D52" i="4"/>
  <c r="D21" i="4" s="1"/>
  <c r="D54" i="4"/>
  <c r="D23" i="4" s="1"/>
  <c r="D56" i="4"/>
  <c r="D25" i="4" s="1"/>
  <c r="D58" i="4"/>
  <c r="D27" i="4" s="1"/>
  <c r="D60" i="4"/>
  <c r="D29" i="4" s="1"/>
  <c r="D62" i="4"/>
  <c r="D31" i="4" s="1"/>
  <c r="E68" i="4"/>
  <c r="E72" i="4"/>
  <c r="E76" i="4"/>
  <c r="E80" i="4"/>
  <c r="E84" i="4"/>
  <c r="E88" i="4"/>
  <c r="E92" i="4"/>
  <c r="E99" i="4"/>
  <c r="E103" i="4"/>
  <c r="E110" i="4"/>
  <c r="E112" i="4"/>
  <c r="E114" i="4"/>
  <c r="E115" i="4"/>
  <c r="D38" i="56"/>
  <c r="D42" i="56"/>
  <c r="D44" i="56"/>
  <c r="D48" i="56"/>
  <c r="D52" i="56"/>
  <c r="D54" i="56"/>
  <c r="D58" i="56"/>
  <c r="D62" i="56"/>
  <c r="E70" i="56"/>
  <c r="E86" i="56"/>
  <c r="E67" i="52"/>
  <c r="E71" i="52"/>
  <c r="E83" i="52"/>
  <c r="E87" i="52"/>
  <c r="C113" i="52"/>
  <c r="E115" i="52"/>
  <c r="D69" i="51"/>
  <c r="D7" i="51"/>
  <c r="D67" i="49"/>
  <c r="D5" i="49"/>
  <c r="D71" i="49"/>
  <c r="D9" i="49"/>
  <c r="E64" i="46"/>
  <c r="M18" i="63" s="1"/>
  <c r="D64" i="57"/>
  <c r="D67" i="57"/>
  <c r="D7" i="57"/>
  <c r="D71" i="57"/>
  <c r="F71" i="57" s="1"/>
  <c r="D11" i="57"/>
  <c r="D75" i="57"/>
  <c r="F75" i="57" s="1"/>
  <c r="D15" i="57"/>
  <c r="D79" i="57"/>
  <c r="F79" i="57" s="1"/>
  <c r="D19" i="57"/>
  <c r="D83" i="57"/>
  <c r="F83" i="57" s="1"/>
  <c r="D23" i="57"/>
  <c r="D87" i="57"/>
  <c r="F87" i="57" s="1"/>
  <c r="D27" i="57"/>
  <c r="D91" i="57"/>
  <c r="F91" i="57" s="1"/>
  <c r="D31" i="57"/>
  <c r="D69" i="57"/>
  <c r="D77" i="57"/>
  <c r="D85" i="57"/>
  <c r="D93" i="57"/>
  <c r="D37" i="56"/>
  <c r="D39" i="56"/>
  <c r="D41" i="56"/>
  <c r="D43" i="56"/>
  <c r="D45" i="56"/>
  <c r="D47" i="56"/>
  <c r="D49" i="56"/>
  <c r="D51" i="56"/>
  <c r="D53" i="56"/>
  <c r="D55" i="56"/>
  <c r="D57" i="56"/>
  <c r="D59" i="56"/>
  <c r="D61" i="56"/>
  <c r="D63" i="56"/>
  <c r="E68" i="56"/>
  <c r="E72" i="56"/>
  <c r="E76" i="56"/>
  <c r="E80" i="56"/>
  <c r="E84" i="56"/>
  <c r="E88" i="56"/>
  <c r="E92" i="56"/>
  <c r="E99" i="56"/>
  <c r="E103" i="56"/>
  <c r="E109" i="56"/>
  <c r="C111" i="56"/>
  <c r="E112" i="56"/>
  <c r="C115" i="56"/>
  <c r="E69" i="54"/>
  <c r="E73" i="54"/>
  <c r="E77" i="54"/>
  <c r="E81" i="54"/>
  <c r="E85" i="54"/>
  <c r="E89" i="54"/>
  <c r="E93" i="54"/>
  <c r="E100" i="54"/>
  <c r="E104" i="54"/>
  <c r="C110" i="54"/>
  <c r="E111" i="54"/>
  <c r="C114" i="54"/>
  <c r="C116" i="53"/>
  <c r="E115" i="53"/>
  <c r="C115" i="53"/>
  <c r="E114" i="53"/>
  <c r="F114" i="53" s="1"/>
  <c r="C113" i="53"/>
  <c r="E112" i="53"/>
  <c r="C111" i="53"/>
  <c r="F111" i="53" s="1"/>
  <c r="E110" i="53"/>
  <c r="F110" i="53" s="1"/>
  <c r="E109" i="53"/>
  <c r="E103" i="53"/>
  <c r="E101" i="53"/>
  <c r="E99" i="53"/>
  <c r="E94" i="53"/>
  <c r="E92" i="53"/>
  <c r="E90" i="53"/>
  <c r="E88" i="53"/>
  <c r="E86" i="53"/>
  <c r="E84" i="53"/>
  <c r="E82" i="53"/>
  <c r="E80" i="53"/>
  <c r="E78" i="53"/>
  <c r="E76" i="53"/>
  <c r="E74" i="53"/>
  <c r="E72" i="53"/>
  <c r="E70" i="53"/>
  <c r="E68" i="53"/>
  <c r="D63" i="53"/>
  <c r="D62" i="53"/>
  <c r="D61" i="53"/>
  <c r="D60" i="53"/>
  <c r="D59" i="53"/>
  <c r="D58" i="53"/>
  <c r="D57" i="53"/>
  <c r="D56" i="53"/>
  <c r="D55" i="53"/>
  <c r="D54" i="53"/>
  <c r="D53" i="53"/>
  <c r="D52" i="53"/>
  <c r="D51" i="53"/>
  <c r="D50" i="53"/>
  <c r="D49" i="53"/>
  <c r="D48" i="53"/>
  <c r="D47" i="53"/>
  <c r="D46" i="53"/>
  <c r="D45" i="53"/>
  <c r="D44" i="53"/>
  <c r="D43" i="53"/>
  <c r="D42" i="53"/>
  <c r="D41" i="53"/>
  <c r="D40" i="53"/>
  <c r="D39" i="53"/>
  <c r="F39" i="53" s="1"/>
  <c r="D38" i="53"/>
  <c r="D37" i="53"/>
  <c r="F37" i="53" s="1"/>
  <c r="D36" i="53"/>
  <c r="E67" i="53"/>
  <c r="E71" i="53"/>
  <c r="E75" i="53"/>
  <c r="E79" i="53"/>
  <c r="E83" i="53"/>
  <c r="E87" i="53"/>
  <c r="E91" i="53"/>
  <c r="E98" i="53"/>
  <c r="E102" i="53"/>
  <c r="D109" i="53"/>
  <c r="D118" i="53" s="1"/>
  <c r="C112" i="53"/>
  <c r="F112" i="53" s="1"/>
  <c r="E113" i="53"/>
  <c r="D117" i="53"/>
  <c r="F117" i="53" s="1"/>
  <c r="E120" i="53"/>
  <c r="F120" i="53" s="1"/>
  <c r="E69" i="52"/>
  <c r="E73" i="52"/>
  <c r="E77" i="52"/>
  <c r="E81" i="52"/>
  <c r="E85" i="52"/>
  <c r="E89" i="52"/>
  <c r="E93" i="52"/>
  <c r="E100" i="52"/>
  <c r="E109" i="52"/>
  <c r="C111" i="52"/>
  <c r="E112" i="52"/>
  <c r="C115" i="52"/>
  <c r="D5" i="51"/>
  <c r="D11" i="51"/>
  <c r="D15" i="51"/>
  <c r="D19" i="51"/>
  <c r="D23" i="51"/>
  <c r="D27" i="51"/>
  <c r="D31" i="51"/>
  <c r="D10" i="51"/>
  <c r="D12" i="51"/>
  <c r="D14" i="51"/>
  <c r="D16" i="51"/>
  <c r="D18" i="51"/>
  <c r="D20" i="51"/>
  <c r="D22" i="51"/>
  <c r="D24" i="51"/>
  <c r="D26" i="51"/>
  <c r="D28" i="51"/>
  <c r="D30" i="51"/>
  <c r="D32" i="51"/>
  <c r="E120" i="49"/>
  <c r="F120" i="49" s="1"/>
  <c r="D117" i="49"/>
  <c r="F117" i="49" s="1"/>
  <c r="D115" i="49"/>
  <c r="C114" i="49"/>
  <c r="F114" i="49" s="1"/>
  <c r="E113" i="49"/>
  <c r="F113" i="49" s="1"/>
  <c r="C112" i="49"/>
  <c r="E111" i="49"/>
  <c r="C110" i="49"/>
  <c r="F110" i="49" s="1"/>
  <c r="D109" i="49"/>
  <c r="D118" i="49" s="1"/>
  <c r="E104" i="49"/>
  <c r="E102" i="49"/>
  <c r="E100" i="49"/>
  <c r="E98" i="49"/>
  <c r="E93" i="49"/>
  <c r="E91" i="49"/>
  <c r="E89" i="49"/>
  <c r="E87" i="49"/>
  <c r="E85" i="49"/>
  <c r="E83" i="49"/>
  <c r="E81" i="49"/>
  <c r="E79" i="49"/>
  <c r="E77" i="49"/>
  <c r="E75" i="49"/>
  <c r="E73" i="49"/>
  <c r="E71" i="49"/>
  <c r="E69" i="49"/>
  <c r="E67" i="49"/>
  <c r="D11" i="49"/>
  <c r="D15" i="49"/>
  <c r="D19" i="49"/>
  <c r="D23" i="49"/>
  <c r="D27" i="49"/>
  <c r="D31" i="49"/>
  <c r="D37" i="49"/>
  <c r="F37" i="49" s="1"/>
  <c r="D39" i="49"/>
  <c r="D41" i="49"/>
  <c r="F41" i="49" s="1"/>
  <c r="D43" i="49"/>
  <c r="D45" i="49"/>
  <c r="D47" i="49"/>
  <c r="D49" i="49"/>
  <c r="D51" i="49"/>
  <c r="D53" i="49"/>
  <c r="D55" i="49"/>
  <c r="D57" i="49"/>
  <c r="D59" i="49"/>
  <c r="D61" i="49"/>
  <c r="D63" i="49"/>
  <c r="E68" i="49"/>
  <c r="E72" i="49"/>
  <c r="E76" i="49"/>
  <c r="E80" i="49"/>
  <c r="E84" i="49"/>
  <c r="E88" i="49"/>
  <c r="E92" i="49"/>
  <c r="E99" i="49"/>
  <c r="E103" i="49"/>
  <c r="E109" i="49"/>
  <c r="C111" i="49"/>
  <c r="F111" i="49" s="1"/>
  <c r="E112" i="49"/>
  <c r="C115" i="49"/>
  <c r="F115" i="49" s="1"/>
  <c r="C116" i="49"/>
  <c r="E120" i="47"/>
  <c r="F120" i="47" s="1"/>
  <c r="D117" i="47"/>
  <c r="F117" i="47" s="1"/>
  <c r="D115" i="47"/>
  <c r="C114" i="47"/>
  <c r="F114" i="47" s="1"/>
  <c r="E113" i="47"/>
  <c r="F113" i="47" s="1"/>
  <c r="C112" i="47"/>
  <c r="E111" i="47"/>
  <c r="C110" i="47"/>
  <c r="F110" i="47" s="1"/>
  <c r="D109" i="47"/>
  <c r="D118" i="47" s="1"/>
  <c r="E104" i="47"/>
  <c r="E102" i="47"/>
  <c r="E100" i="47"/>
  <c r="E98" i="47"/>
  <c r="E93" i="47"/>
  <c r="F93" i="47" s="1"/>
  <c r="E91" i="47"/>
  <c r="E89" i="47"/>
  <c r="F89" i="47" s="1"/>
  <c r="E87" i="47"/>
  <c r="E85" i="47"/>
  <c r="F85" i="47" s="1"/>
  <c r="E83" i="47"/>
  <c r="E81" i="47"/>
  <c r="F81" i="47" s="1"/>
  <c r="E79" i="47"/>
  <c r="E77" i="47"/>
  <c r="F77" i="47" s="1"/>
  <c r="E75" i="47"/>
  <c r="E73" i="47"/>
  <c r="F73" i="47" s="1"/>
  <c r="E71" i="47"/>
  <c r="E69" i="47"/>
  <c r="E67" i="47"/>
  <c r="D11" i="47"/>
  <c r="D15" i="47"/>
  <c r="D19" i="47"/>
  <c r="D23" i="47"/>
  <c r="D27" i="47"/>
  <c r="D31" i="47"/>
  <c r="D37" i="47"/>
  <c r="F37" i="47" s="1"/>
  <c r="D39" i="47"/>
  <c r="D41" i="47"/>
  <c r="F41" i="47" s="1"/>
  <c r="D43" i="47"/>
  <c r="D45" i="47"/>
  <c r="D47" i="47"/>
  <c r="D49" i="47"/>
  <c r="D51" i="47"/>
  <c r="D53" i="47"/>
  <c r="D55" i="47"/>
  <c r="D57" i="47"/>
  <c r="D59" i="47"/>
  <c r="D61" i="47"/>
  <c r="D63" i="47"/>
  <c r="E68" i="47"/>
  <c r="E72" i="47"/>
  <c r="E76" i="47"/>
  <c r="E80" i="47"/>
  <c r="E84" i="47"/>
  <c r="E88" i="47"/>
  <c r="E92" i="47"/>
  <c r="E99" i="47"/>
  <c r="E103" i="47"/>
  <c r="E109" i="47"/>
  <c r="C111" i="47"/>
  <c r="E112" i="47"/>
  <c r="C115" i="47"/>
  <c r="C116" i="47"/>
  <c r="C116" i="45"/>
  <c r="E115" i="45"/>
  <c r="C115" i="45"/>
  <c r="E114" i="45"/>
  <c r="C113" i="45"/>
  <c r="F113" i="45" s="1"/>
  <c r="E112" i="45"/>
  <c r="F112" i="45" s="1"/>
  <c r="C111" i="45"/>
  <c r="E110" i="45"/>
  <c r="E109" i="45"/>
  <c r="E103" i="45"/>
  <c r="E101" i="45"/>
  <c r="E99" i="45"/>
  <c r="E94" i="45"/>
  <c r="E92" i="45"/>
  <c r="E90" i="45"/>
  <c r="E88" i="45"/>
  <c r="E86" i="45"/>
  <c r="E84" i="45"/>
  <c r="E82" i="45"/>
  <c r="E80" i="45"/>
  <c r="E78" i="45"/>
  <c r="E76" i="45"/>
  <c r="E74" i="45"/>
  <c r="E72" i="45"/>
  <c r="E70" i="45"/>
  <c r="E68" i="45"/>
  <c r="D63" i="45"/>
  <c r="D62" i="45"/>
  <c r="D61" i="45"/>
  <c r="D60" i="45"/>
  <c r="D59" i="45"/>
  <c r="D58" i="45"/>
  <c r="D57" i="45"/>
  <c r="D56" i="45"/>
  <c r="D55" i="45"/>
  <c r="D54" i="45"/>
  <c r="D53" i="45"/>
  <c r="D52" i="45"/>
  <c r="D51" i="45"/>
  <c r="D50" i="45"/>
  <c r="D49" i="45"/>
  <c r="D48" i="45"/>
  <c r="D47" i="45"/>
  <c r="D46" i="45"/>
  <c r="D45" i="45"/>
  <c r="D44" i="45"/>
  <c r="D43" i="45"/>
  <c r="D42" i="45"/>
  <c r="D41" i="45"/>
  <c r="D40" i="45"/>
  <c r="D39" i="45"/>
  <c r="D38" i="45"/>
  <c r="D37" i="45"/>
  <c r="D36" i="45"/>
  <c r="E69" i="45"/>
  <c r="E73" i="45"/>
  <c r="E77" i="45"/>
  <c r="E81" i="45"/>
  <c r="E85" i="45"/>
  <c r="E89" i="45"/>
  <c r="E93" i="45"/>
  <c r="E100" i="45"/>
  <c r="E104" i="45"/>
  <c r="C110" i="45"/>
  <c r="F110" i="45" s="1"/>
  <c r="E111" i="45"/>
  <c r="C114" i="45"/>
  <c r="F114" i="45" s="1"/>
  <c r="D115" i="45"/>
  <c r="D118" i="45" s="1"/>
  <c r="C116" i="44"/>
  <c r="E115" i="44"/>
  <c r="C115" i="44"/>
  <c r="E114" i="44"/>
  <c r="C113" i="44"/>
  <c r="F113" i="44" s="1"/>
  <c r="E112" i="44"/>
  <c r="F112" i="44" s="1"/>
  <c r="C111" i="44"/>
  <c r="E110" i="44"/>
  <c r="E109" i="44"/>
  <c r="E103" i="44"/>
  <c r="E101" i="44"/>
  <c r="E99" i="44"/>
  <c r="E94" i="44"/>
  <c r="E92" i="44"/>
  <c r="E90" i="44"/>
  <c r="E88" i="44"/>
  <c r="E86" i="44"/>
  <c r="E84" i="44"/>
  <c r="E82" i="44"/>
  <c r="E80" i="44"/>
  <c r="E78" i="44"/>
  <c r="E76" i="44"/>
  <c r="E74" i="44"/>
  <c r="E72" i="44"/>
  <c r="E70" i="44"/>
  <c r="E68" i="44"/>
  <c r="D63" i="44"/>
  <c r="D62" i="44"/>
  <c r="D61" i="44"/>
  <c r="D60" i="44"/>
  <c r="D59" i="44"/>
  <c r="D58" i="44"/>
  <c r="D57" i="44"/>
  <c r="D56" i="44"/>
  <c r="D55" i="44"/>
  <c r="D54" i="44"/>
  <c r="D53" i="44"/>
  <c r="D52" i="44"/>
  <c r="D51" i="44"/>
  <c r="D50" i="44"/>
  <c r="D49" i="44"/>
  <c r="D48" i="44"/>
  <c r="D47" i="44"/>
  <c r="D46" i="44"/>
  <c r="D45" i="44"/>
  <c r="D44" i="44"/>
  <c r="D43" i="44"/>
  <c r="D42" i="44"/>
  <c r="F42" i="44" s="1"/>
  <c r="D41" i="44"/>
  <c r="D40" i="44"/>
  <c r="F40" i="44" s="1"/>
  <c r="D39" i="44"/>
  <c r="D38" i="44"/>
  <c r="F38" i="44" s="1"/>
  <c r="D37" i="44"/>
  <c r="D36" i="44"/>
  <c r="E69" i="44"/>
  <c r="E73" i="44"/>
  <c r="E77" i="44"/>
  <c r="E81" i="44"/>
  <c r="E85" i="44"/>
  <c r="E89" i="44"/>
  <c r="E93" i="44"/>
  <c r="E100" i="44"/>
  <c r="E104" i="44"/>
  <c r="C110" i="44"/>
  <c r="F110" i="44" s="1"/>
  <c r="E111" i="44"/>
  <c r="C114" i="44"/>
  <c r="F114" i="44" s="1"/>
  <c r="D115" i="44"/>
  <c r="D118" i="44" s="1"/>
  <c r="C116" i="43"/>
  <c r="E115" i="43"/>
  <c r="C115" i="43"/>
  <c r="E114" i="43"/>
  <c r="C113" i="43"/>
  <c r="F113" i="43" s="1"/>
  <c r="E112" i="43"/>
  <c r="F112" i="43" s="1"/>
  <c r="C111" i="43"/>
  <c r="E110" i="43"/>
  <c r="E109" i="43"/>
  <c r="E102" i="43"/>
  <c r="E100" i="43"/>
  <c r="E98" i="43"/>
  <c r="E93" i="43"/>
  <c r="E91" i="43"/>
  <c r="E89" i="43"/>
  <c r="E87" i="43"/>
  <c r="E85" i="43"/>
  <c r="E83" i="43"/>
  <c r="E81" i="43"/>
  <c r="E79" i="43"/>
  <c r="E77" i="43"/>
  <c r="E75" i="43"/>
  <c r="E73" i="43"/>
  <c r="E71" i="43"/>
  <c r="E69" i="43"/>
  <c r="E67" i="43"/>
  <c r="D36" i="43"/>
  <c r="D38" i="43"/>
  <c r="D40" i="43"/>
  <c r="D42" i="43"/>
  <c r="D44" i="43"/>
  <c r="D46" i="43"/>
  <c r="D48" i="43"/>
  <c r="D50" i="43"/>
  <c r="D52" i="43"/>
  <c r="D54" i="43"/>
  <c r="D56" i="43"/>
  <c r="D58" i="43"/>
  <c r="D60" i="43"/>
  <c r="D62" i="43"/>
  <c r="E70" i="43"/>
  <c r="E74" i="43"/>
  <c r="E78" i="43"/>
  <c r="E82" i="43"/>
  <c r="E86" i="43"/>
  <c r="E90" i="43"/>
  <c r="E94" i="43"/>
  <c r="E101" i="43"/>
  <c r="E104" i="43"/>
  <c r="C110" i="43"/>
  <c r="F110" i="43" s="1"/>
  <c r="E111" i="43"/>
  <c r="C114" i="43"/>
  <c r="F114" i="43" s="1"/>
  <c r="D115" i="43"/>
  <c r="D118" i="43" s="1"/>
  <c r="C116" i="42"/>
  <c r="E115" i="42"/>
  <c r="C115" i="42"/>
  <c r="E114" i="42"/>
  <c r="F114" i="42" s="1"/>
  <c r="C113" i="42"/>
  <c r="E112" i="42"/>
  <c r="C111" i="42"/>
  <c r="F111" i="42" s="1"/>
  <c r="E110" i="42"/>
  <c r="F110" i="42" s="1"/>
  <c r="E109" i="42"/>
  <c r="E103" i="42"/>
  <c r="E101" i="42"/>
  <c r="E99" i="42"/>
  <c r="E94" i="42"/>
  <c r="E92" i="42"/>
  <c r="E90" i="42"/>
  <c r="E88" i="42"/>
  <c r="E86" i="42"/>
  <c r="E84" i="42"/>
  <c r="E82" i="42"/>
  <c r="E80" i="42"/>
  <c r="E78" i="42"/>
  <c r="E76" i="42"/>
  <c r="E74" i="42"/>
  <c r="E72" i="42"/>
  <c r="E70" i="42"/>
  <c r="E68" i="42"/>
  <c r="D63" i="42"/>
  <c r="D62" i="42"/>
  <c r="D61" i="42"/>
  <c r="D60" i="42"/>
  <c r="D59" i="42"/>
  <c r="D58" i="42"/>
  <c r="D57" i="42"/>
  <c r="D56" i="42"/>
  <c r="D55" i="42"/>
  <c r="D54" i="42"/>
  <c r="D53" i="42"/>
  <c r="D52" i="42"/>
  <c r="D51" i="42"/>
  <c r="D50" i="42"/>
  <c r="D49" i="42"/>
  <c r="D48" i="42"/>
  <c r="D47" i="42"/>
  <c r="D46" i="42"/>
  <c r="D77" i="42" s="1"/>
  <c r="F77" i="42" s="1"/>
  <c r="D45" i="42"/>
  <c r="D44" i="42"/>
  <c r="D75" i="42" s="1"/>
  <c r="D43" i="42"/>
  <c r="D42" i="42"/>
  <c r="D73" i="42" s="1"/>
  <c r="F73" i="42" s="1"/>
  <c r="D41" i="42"/>
  <c r="D40" i="42"/>
  <c r="D71" i="42" s="1"/>
  <c r="D39" i="42"/>
  <c r="D38" i="42"/>
  <c r="D69" i="42" s="1"/>
  <c r="F69" i="42" s="1"/>
  <c r="D37" i="42"/>
  <c r="D36" i="42"/>
  <c r="D67" i="42" s="1"/>
  <c r="E67" i="42"/>
  <c r="E71" i="42"/>
  <c r="E75" i="42"/>
  <c r="E79" i="42"/>
  <c r="E83" i="42"/>
  <c r="E87" i="42"/>
  <c r="E91" i="42"/>
  <c r="E98" i="42"/>
  <c r="E102" i="42"/>
  <c r="D109" i="42"/>
  <c r="D118" i="42" s="1"/>
  <c r="C112" i="42"/>
  <c r="F112" i="42" s="1"/>
  <c r="E113" i="42"/>
  <c r="D117" i="42"/>
  <c r="F117" i="42" s="1"/>
  <c r="E120" i="42"/>
  <c r="F120" i="42" s="1"/>
  <c r="E69" i="41"/>
  <c r="E73" i="41"/>
  <c r="E77" i="41"/>
  <c r="E81" i="41"/>
  <c r="E85" i="41"/>
  <c r="E89" i="41"/>
  <c r="E93" i="41"/>
  <c r="E100" i="41"/>
  <c r="E104" i="41"/>
  <c r="C110" i="41"/>
  <c r="E111" i="41"/>
  <c r="C114" i="41"/>
  <c r="C116" i="40"/>
  <c r="E115" i="40"/>
  <c r="C115" i="40"/>
  <c r="E114" i="40"/>
  <c r="F114" i="40" s="1"/>
  <c r="C113" i="40"/>
  <c r="E112" i="40"/>
  <c r="C111" i="40"/>
  <c r="F111" i="40" s="1"/>
  <c r="E110" i="40"/>
  <c r="F110" i="40" s="1"/>
  <c r="E109" i="40"/>
  <c r="E102" i="40"/>
  <c r="E100" i="40"/>
  <c r="E98" i="40"/>
  <c r="E93" i="40"/>
  <c r="E91" i="40"/>
  <c r="E89" i="40"/>
  <c r="E87" i="40"/>
  <c r="E85" i="40"/>
  <c r="E83" i="40"/>
  <c r="E81" i="40"/>
  <c r="E79" i="40"/>
  <c r="E77" i="40"/>
  <c r="E75" i="40"/>
  <c r="E73" i="40"/>
  <c r="E71" i="40"/>
  <c r="E69" i="40"/>
  <c r="E67" i="40"/>
  <c r="D19" i="40"/>
  <c r="D23" i="40"/>
  <c r="D27" i="40"/>
  <c r="D31" i="40"/>
  <c r="D37" i="40"/>
  <c r="D39" i="40"/>
  <c r="D41" i="40"/>
  <c r="D43" i="40"/>
  <c r="D45" i="40"/>
  <c r="D47" i="40"/>
  <c r="D49" i="40"/>
  <c r="D51" i="40"/>
  <c r="D53" i="40"/>
  <c r="D55" i="40"/>
  <c r="D57" i="40"/>
  <c r="D59" i="40"/>
  <c r="D61" i="40"/>
  <c r="D63" i="40"/>
  <c r="E68" i="40"/>
  <c r="E72" i="40"/>
  <c r="E76" i="40"/>
  <c r="E80" i="40"/>
  <c r="E84" i="40"/>
  <c r="E88" i="40"/>
  <c r="E92" i="40"/>
  <c r="E99" i="40"/>
  <c r="E103" i="40"/>
  <c r="D109" i="40"/>
  <c r="D118" i="40" s="1"/>
  <c r="C112" i="40"/>
  <c r="E113" i="40"/>
  <c r="D117" i="40"/>
  <c r="F117" i="40" s="1"/>
  <c r="E120" i="40"/>
  <c r="F120" i="40" s="1"/>
  <c r="E73" i="39"/>
  <c r="E81" i="39"/>
  <c r="E89" i="39"/>
  <c r="E100" i="39"/>
  <c r="E120" i="56"/>
  <c r="F120" i="56" s="1"/>
  <c r="D117" i="56"/>
  <c r="F117" i="56" s="1"/>
  <c r="D115" i="56"/>
  <c r="C114" i="56"/>
  <c r="E113" i="56"/>
  <c r="C112" i="56"/>
  <c r="F112" i="56" s="1"/>
  <c r="E111" i="56"/>
  <c r="C110" i="56"/>
  <c r="D109" i="56"/>
  <c r="D118" i="56" s="1"/>
  <c r="E104" i="56"/>
  <c r="E102" i="56"/>
  <c r="E100" i="56"/>
  <c r="E98" i="56"/>
  <c r="E93" i="56"/>
  <c r="E91" i="56"/>
  <c r="E89" i="56"/>
  <c r="E87" i="56"/>
  <c r="E85" i="56"/>
  <c r="E83" i="56"/>
  <c r="E81" i="56"/>
  <c r="E79" i="56"/>
  <c r="E77" i="56"/>
  <c r="E75" i="56"/>
  <c r="E73" i="56"/>
  <c r="E71" i="56"/>
  <c r="E69" i="56"/>
  <c r="E67" i="56"/>
  <c r="D36" i="56"/>
  <c r="D40" i="56"/>
  <c r="D46" i="56"/>
  <c r="D50" i="56"/>
  <c r="D56" i="56"/>
  <c r="D60" i="56"/>
  <c r="E74" i="56"/>
  <c r="E78" i="56"/>
  <c r="E82" i="56"/>
  <c r="E90" i="56"/>
  <c r="E94" i="56"/>
  <c r="E101" i="56"/>
  <c r="E110" i="56"/>
  <c r="C113" i="56"/>
  <c r="F113" i="56" s="1"/>
  <c r="E114" i="56"/>
  <c r="E115" i="56"/>
  <c r="C116" i="54"/>
  <c r="E115" i="54"/>
  <c r="C115" i="54"/>
  <c r="E114" i="54"/>
  <c r="C113" i="54"/>
  <c r="E112" i="54"/>
  <c r="C111" i="54"/>
  <c r="F111" i="54" s="1"/>
  <c r="E110" i="54"/>
  <c r="E109" i="54"/>
  <c r="E103" i="54"/>
  <c r="E101" i="54"/>
  <c r="E99" i="54"/>
  <c r="E94" i="54"/>
  <c r="E92" i="54"/>
  <c r="E90" i="54"/>
  <c r="E88" i="54"/>
  <c r="E86" i="54"/>
  <c r="E84" i="54"/>
  <c r="E82" i="54"/>
  <c r="E80" i="54"/>
  <c r="E78" i="54"/>
  <c r="E76" i="54"/>
  <c r="E74" i="54"/>
  <c r="E72" i="54"/>
  <c r="E70" i="54"/>
  <c r="E68" i="54"/>
  <c r="D63" i="54"/>
  <c r="D62" i="54"/>
  <c r="D61" i="54"/>
  <c r="D60" i="54"/>
  <c r="D59" i="54"/>
  <c r="D58" i="54"/>
  <c r="D57" i="54"/>
  <c r="D56" i="54"/>
  <c r="D55" i="54"/>
  <c r="D54" i="54"/>
  <c r="D53" i="54"/>
  <c r="D52" i="54"/>
  <c r="D51" i="54"/>
  <c r="D50" i="54"/>
  <c r="D49" i="54"/>
  <c r="D48" i="54"/>
  <c r="D47" i="54"/>
  <c r="D46" i="54"/>
  <c r="D45" i="54"/>
  <c r="D44" i="54"/>
  <c r="D43" i="54"/>
  <c r="D42" i="54"/>
  <c r="D41" i="54"/>
  <c r="D40" i="54"/>
  <c r="D39" i="54"/>
  <c r="D38" i="54"/>
  <c r="D37" i="54"/>
  <c r="D36" i="54"/>
  <c r="E67" i="54"/>
  <c r="E71" i="54"/>
  <c r="E75" i="54"/>
  <c r="E79" i="54"/>
  <c r="E83" i="54"/>
  <c r="E87" i="54"/>
  <c r="E91" i="54"/>
  <c r="E98" i="54"/>
  <c r="E102" i="54"/>
  <c r="D109" i="54"/>
  <c r="D118" i="54" s="1"/>
  <c r="C112" i="54"/>
  <c r="E113" i="54"/>
  <c r="D117" i="54"/>
  <c r="F117" i="54" s="1"/>
  <c r="E120" i="54"/>
  <c r="F120" i="54" s="1"/>
  <c r="E120" i="52"/>
  <c r="F120" i="52" s="1"/>
  <c r="D117" i="52"/>
  <c r="F117" i="52" s="1"/>
  <c r="D115" i="52"/>
  <c r="C114" i="52"/>
  <c r="E113" i="52"/>
  <c r="C112" i="52"/>
  <c r="F112" i="52" s="1"/>
  <c r="E111" i="52"/>
  <c r="C110" i="52"/>
  <c r="D109" i="52"/>
  <c r="D118" i="52" s="1"/>
  <c r="E104" i="52"/>
  <c r="E103" i="52"/>
  <c r="E101" i="52"/>
  <c r="E99" i="52"/>
  <c r="E94" i="52"/>
  <c r="E92" i="52"/>
  <c r="E90" i="52"/>
  <c r="E88" i="52"/>
  <c r="E86" i="52"/>
  <c r="E84" i="52"/>
  <c r="E82" i="52"/>
  <c r="E80" i="52"/>
  <c r="E78" i="52"/>
  <c r="E76" i="52"/>
  <c r="E74" i="52"/>
  <c r="E72" i="52"/>
  <c r="E70" i="52"/>
  <c r="E68" i="52"/>
  <c r="D63" i="52"/>
  <c r="D62" i="52"/>
  <c r="D61" i="52"/>
  <c r="D60" i="52"/>
  <c r="D59" i="52"/>
  <c r="D58" i="52"/>
  <c r="D57" i="52"/>
  <c r="D56" i="52"/>
  <c r="D55" i="52"/>
  <c r="D54" i="52"/>
  <c r="D53" i="52"/>
  <c r="D52" i="52"/>
  <c r="D51" i="52"/>
  <c r="D50" i="52"/>
  <c r="D49" i="52"/>
  <c r="D48" i="52"/>
  <c r="D47" i="52"/>
  <c r="D46" i="52"/>
  <c r="D45" i="52"/>
  <c r="D44" i="52"/>
  <c r="D43" i="52"/>
  <c r="D42" i="52"/>
  <c r="D41" i="52"/>
  <c r="D40" i="52"/>
  <c r="D39" i="52"/>
  <c r="D38" i="52"/>
  <c r="F38" i="52" s="1"/>
  <c r="D37" i="52"/>
  <c r="D36" i="52"/>
  <c r="E75" i="52"/>
  <c r="E79" i="52"/>
  <c r="E91" i="52"/>
  <c r="E98" i="52"/>
  <c r="E102" i="52"/>
  <c r="E110" i="52"/>
  <c r="E114" i="52"/>
  <c r="F73" i="49"/>
  <c r="F77" i="49"/>
  <c r="F81" i="49"/>
  <c r="F85" i="49"/>
  <c r="F89" i="49"/>
  <c r="F93" i="49"/>
  <c r="D67" i="47"/>
  <c r="D5" i="47"/>
  <c r="D71" i="47"/>
  <c r="F71" i="47" s="1"/>
  <c r="D9" i="47"/>
  <c r="F75" i="47"/>
  <c r="F79" i="47"/>
  <c r="F83" i="47"/>
  <c r="F91" i="47"/>
  <c r="E64" i="45"/>
  <c r="E95" i="45"/>
  <c r="C109" i="45" s="1"/>
  <c r="E64" i="44"/>
  <c r="E95" i="44"/>
  <c r="C109" i="44" s="1"/>
  <c r="F70" i="43"/>
  <c r="D78" i="43"/>
  <c r="F78" i="43" s="1"/>
  <c r="D16" i="43"/>
  <c r="D80" i="43"/>
  <c r="F80" i="43" s="1"/>
  <c r="D18" i="43"/>
  <c r="D82" i="43"/>
  <c r="F82" i="43" s="1"/>
  <c r="D20" i="43"/>
  <c r="D84" i="43"/>
  <c r="F84" i="43" s="1"/>
  <c r="D22" i="43"/>
  <c r="D86" i="43"/>
  <c r="F86" i="43" s="1"/>
  <c r="D24" i="43"/>
  <c r="D88" i="43"/>
  <c r="F88" i="43" s="1"/>
  <c r="D26" i="43"/>
  <c r="D90" i="43"/>
  <c r="F90" i="43" s="1"/>
  <c r="D28" i="43"/>
  <c r="D92" i="43"/>
  <c r="F92" i="43" s="1"/>
  <c r="D30" i="43"/>
  <c r="D94" i="43"/>
  <c r="F94" i="43" s="1"/>
  <c r="D32" i="43"/>
  <c r="C116" i="41"/>
  <c r="E115" i="41"/>
  <c r="C115" i="41"/>
  <c r="E114" i="41"/>
  <c r="C113" i="41"/>
  <c r="E112" i="41"/>
  <c r="C111" i="41"/>
  <c r="F111" i="41" s="1"/>
  <c r="E110" i="41"/>
  <c r="E109" i="41"/>
  <c r="E103" i="41"/>
  <c r="F103" i="41" s="1"/>
  <c r="E101" i="41"/>
  <c r="E99" i="41"/>
  <c r="E94" i="41"/>
  <c r="E92" i="41"/>
  <c r="E90" i="41"/>
  <c r="E88" i="41"/>
  <c r="E86" i="41"/>
  <c r="E84" i="41"/>
  <c r="E82" i="41"/>
  <c r="E80" i="41"/>
  <c r="E78" i="41"/>
  <c r="E76" i="41"/>
  <c r="E74" i="41"/>
  <c r="E72" i="41"/>
  <c r="E70" i="41"/>
  <c r="E68" i="41"/>
  <c r="D63" i="41"/>
  <c r="D62" i="41"/>
  <c r="D61" i="41"/>
  <c r="D60" i="41"/>
  <c r="D59" i="41"/>
  <c r="D58" i="41"/>
  <c r="D57" i="41"/>
  <c r="D56" i="41"/>
  <c r="D55" i="41"/>
  <c r="D54" i="41"/>
  <c r="D53" i="41"/>
  <c r="D52" i="41"/>
  <c r="D51" i="41"/>
  <c r="D50" i="41"/>
  <c r="D49" i="41"/>
  <c r="D48" i="41"/>
  <c r="D47" i="41"/>
  <c r="D78" i="41" s="1"/>
  <c r="F78" i="41" s="1"/>
  <c r="D46" i="41"/>
  <c r="D45" i="41"/>
  <c r="D76" i="41" s="1"/>
  <c r="D44" i="41"/>
  <c r="D43" i="41"/>
  <c r="D74" i="41" s="1"/>
  <c r="F74" i="41" s="1"/>
  <c r="D42" i="41"/>
  <c r="D41" i="41"/>
  <c r="D72" i="41" s="1"/>
  <c r="D40" i="41"/>
  <c r="D39" i="41"/>
  <c r="D70" i="41" s="1"/>
  <c r="F70" i="41" s="1"/>
  <c r="D38" i="41"/>
  <c r="D37" i="41"/>
  <c r="D68" i="41" s="1"/>
  <c r="D36" i="41"/>
  <c r="E67" i="41"/>
  <c r="E71" i="41"/>
  <c r="E75" i="41"/>
  <c r="E79" i="41"/>
  <c r="E83" i="41"/>
  <c r="E87" i="41"/>
  <c r="E91" i="41"/>
  <c r="E98" i="41"/>
  <c r="E102" i="41"/>
  <c r="D109" i="41"/>
  <c r="D118" i="41" s="1"/>
  <c r="C112" i="41"/>
  <c r="E113" i="41"/>
  <c r="D117" i="41"/>
  <c r="F117" i="41" s="1"/>
  <c r="E120" i="41"/>
  <c r="F120" i="41" s="1"/>
  <c r="F69" i="40"/>
  <c r="F71" i="40"/>
  <c r="F73" i="40"/>
  <c r="F75" i="40"/>
  <c r="F77" i="40"/>
  <c r="F79" i="40"/>
  <c r="F81" i="40"/>
  <c r="F85" i="40"/>
  <c r="F89" i="40"/>
  <c r="F93" i="40"/>
  <c r="C116" i="39"/>
  <c r="E115" i="39"/>
  <c r="C115" i="39"/>
  <c r="E114" i="39"/>
  <c r="C113" i="39"/>
  <c r="E112" i="39"/>
  <c r="C111" i="39"/>
  <c r="E110" i="39"/>
  <c r="F110" i="39" s="1"/>
  <c r="E109" i="39"/>
  <c r="E103" i="39"/>
  <c r="E101" i="39"/>
  <c r="E99" i="39"/>
  <c r="E94" i="39"/>
  <c r="E92" i="39"/>
  <c r="E90" i="39"/>
  <c r="E88" i="39"/>
  <c r="E86" i="39"/>
  <c r="E84" i="39"/>
  <c r="E82" i="39"/>
  <c r="E80" i="39"/>
  <c r="E78" i="39"/>
  <c r="E76" i="39"/>
  <c r="E74" i="39"/>
  <c r="E72" i="39"/>
  <c r="E70" i="39"/>
  <c r="E68" i="39"/>
  <c r="D63" i="39"/>
  <c r="D62" i="39"/>
  <c r="D61" i="39"/>
  <c r="D60" i="39"/>
  <c r="D59" i="39"/>
  <c r="D58" i="39"/>
  <c r="D57" i="39"/>
  <c r="D56" i="39"/>
  <c r="D55" i="39"/>
  <c r="D54" i="39"/>
  <c r="D53" i="39"/>
  <c r="D52" i="39"/>
  <c r="D51" i="39"/>
  <c r="D82" i="39" s="1"/>
  <c r="F82" i="39" s="1"/>
  <c r="D50" i="39"/>
  <c r="D49" i="39"/>
  <c r="D80" i="39" s="1"/>
  <c r="D48" i="39"/>
  <c r="D47" i="39"/>
  <c r="D78" i="39" s="1"/>
  <c r="F78" i="39" s="1"/>
  <c r="D46" i="39"/>
  <c r="D45" i="39"/>
  <c r="D76" i="39" s="1"/>
  <c r="D44" i="39"/>
  <c r="D43" i="39"/>
  <c r="D74" i="39" s="1"/>
  <c r="F74" i="39" s="1"/>
  <c r="D42" i="39"/>
  <c r="D41" i="39"/>
  <c r="D72" i="39" s="1"/>
  <c r="D40" i="39"/>
  <c r="D39" i="39"/>
  <c r="D70" i="39" s="1"/>
  <c r="F70" i="39" s="1"/>
  <c r="D38" i="39"/>
  <c r="D37" i="39"/>
  <c r="D68" i="39" s="1"/>
  <c r="D36" i="39"/>
  <c r="E120" i="39"/>
  <c r="F120" i="39" s="1"/>
  <c r="D117" i="39"/>
  <c r="F117" i="39" s="1"/>
  <c r="E113" i="39"/>
  <c r="C112" i="39"/>
  <c r="F112" i="39" s="1"/>
  <c r="D109" i="39"/>
  <c r="E102" i="39"/>
  <c r="E98" i="39"/>
  <c r="E91" i="39"/>
  <c r="E87" i="39"/>
  <c r="E83" i="39"/>
  <c r="E79" i="39"/>
  <c r="E75" i="39"/>
  <c r="E71" i="39"/>
  <c r="E67" i="39"/>
  <c r="D115" i="39"/>
  <c r="C114" i="39"/>
  <c r="F114" i="39" s="1"/>
  <c r="E111" i="39"/>
  <c r="E69" i="39"/>
  <c r="E77" i="39"/>
  <c r="E85" i="39"/>
  <c r="E93" i="39"/>
  <c r="E104" i="39"/>
  <c r="E73" i="38"/>
  <c r="E77" i="38"/>
  <c r="E85" i="38"/>
  <c r="E100" i="38"/>
  <c r="C116" i="37"/>
  <c r="E115" i="37"/>
  <c r="C115" i="37"/>
  <c r="E114" i="37"/>
  <c r="C113" i="37"/>
  <c r="E112" i="37"/>
  <c r="C111" i="37"/>
  <c r="E110" i="37"/>
  <c r="E109" i="37"/>
  <c r="E103" i="37"/>
  <c r="E101" i="37"/>
  <c r="E99" i="37"/>
  <c r="E94" i="37"/>
  <c r="E92" i="37"/>
  <c r="E90" i="37"/>
  <c r="E88" i="37"/>
  <c r="E86" i="37"/>
  <c r="E84" i="37"/>
  <c r="E82" i="37"/>
  <c r="E80" i="37"/>
  <c r="E78" i="37"/>
  <c r="E76" i="37"/>
  <c r="E74" i="37"/>
  <c r="E72" i="37"/>
  <c r="E70" i="37"/>
  <c r="E68" i="37"/>
  <c r="D63" i="37"/>
  <c r="D62" i="37"/>
  <c r="D61" i="37"/>
  <c r="D60" i="37"/>
  <c r="D59" i="37"/>
  <c r="D58" i="37"/>
  <c r="D57" i="37"/>
  <c r="D56" i="37"/>
  <c r="D55" i="37"/>
  <c r="D86" i="37" s="1"/>
  <c r="F86" i="37" s="1"/>
  <c r="D54" i="37"/>
  <c r="D53" i="37"/>
  <c r="D84" i="37" s="1"/>
  <c r="D52" i="37"/>
  <c r="D51" i="37"/>
  <c r="D82" i="37" s="1"/>
  <c r="F82" i="37" s="1"/>
  <c r="D50" i="37"/>
  <c r="D49" i="37"/>
  <c r="D80" i="37" s="1"/>
  <c r="D48" i="37"/>
  <c r="D47" i="37"/>
  <c r="D78" i="37" s="1"/>
  <c r="F78" i="37" s="1"/>
  <c r="D46" i="37"/>
  <c r="D45" i="37"/>
  <c r="D76" i="37" s="1"/>
  <c r="D44" i="37"/>
  <c r="D43" i="37"/>
  <c r="D74" i="37" s="1"/>
  <c r="F74" i="37" s="1"/>
  <c r="D42" i="37"/>
  <c r="D41" i="37"/>
  <c r="D72" i="37" s="1"/>
  <c r="D40" i="37"/>
  <c r="D39" i="37"/>
  <c r="D70" i="37" s="1"/>
  <c r="F70" i="37" s="1"/>
  <c r="D38" i="37"/>
  <c r="D37" i="37"/>
  <c r="D68" i="37" s="1"/>
  <c r="D36" i="37"/>
  <c r="E67" i="37"/>
  <c r="E71" i="37"/>
  <c r="E75" i="37"/>
  <c r="E79" i="37"/>
  <c r="E83" i="37"/>
  <c r="E87" i="37"/>
  <c r="E91" i="37"/>
  <c r="E98" i="37"/>
  <c r="E102" i="37"/>
  <c r="D109" i="37"/>
  <c r="C112" i="37"/>
  <c r="E113" i="37"/>
  <c r="D117" i="37"/>
  <c r="F117" i="37" s="1"/>
  <c r="E120" i="37"/>
  <c r="F120" i="37" s="1"/>
  <c r="D8" i="34"/>
  <c r="D12" i="34"/>
  <c r="D16" i="34"/>
  <c r="D20" i="34"/>
  <c r="D24" i="34"/>
  <c r="D28" i="34"/>
  <c r="D32" i="34"/>
  <c r="C116" i="29"/>
  <c r="E115" i="29"/>
  <c r="C115" i="29"/>
  <c r="E114" i="29"/>
  <c r="C113" i="29"/>
  <c r="E112" i="29"/>
  <c r="C111" i="29"/>
  <c r="E110" i="29"/>
  <c r="E109" i="29"/>
  <c r="E103" i="29"/>
  <c r="E101" i="29"/>
  <c r="E99" i="29"/>
  <c r="E94" i="29"/>
  <c r="E93" i="29"/>
  <c r="E90" i="29"/>
  <c r="E89" i="29"/>
  <c r="E86" i="29"/>
  <c r="E85" i="29"/>
  <c r="E82" i="29"/>
  <c r="E81" i="29"/>
  <c r="E78" i="29"/>
  <c r="E77" i="29"/>
  <c r="E74" i="29"/>
  <c r="E73" i="29"/>
  <c r="E70" i="29"/>
  <c r="E69" i="29"/>
  <c r="D63" i="29"/>
  <c r="D62" i="29"/>
  <c r="D61" i="29"/>
  <c r="D60" i="29"/>
  <c r="D59" i="29"/>
  <c r="D58" i="29"/>
  <c r="D57" i="29"/>
  <c r="D56" i="29"/>
  <c r="D55" i="29"/>
  <c r="D54" i="29"/>
  <c r="D53" i="29"/>
  <c r="D52" i="29"/>
  <c r="D51" i="29"/>
  <c r="D50" i="29"/>
  <c r="D49" i="29"/>
  <c r="D48" i="29"/>
  <c r="D47" i="29"/>
  <c r="D46" i="29"/>
  <c r="D45" i="29"/>
  <c r="D44" i="29"/>
  <c r="D43" i="29"/>
  <c r="D42" i="29"/>
  <c r="D41" i="29"/>
  <c r="D40" i="29"/>
  <c r="D39" i="29"/>
  <c r="D38" i="29"/>
  <c r="D37" i="29"/>
  <c r="D36" i="29"/>
  <c r="E67" i="29"/>
  <c r="E72" i="29"/>
  <c r="E75" i="29"/>
  <c r="E80" i="29"/>
  <c r="E83" i="29"/>
  <c r="E88" i="29"/>
  <c r="E91" i="29"/>
  <c r="E100" i="29"/>
  <c r="E104" i="29"/>
  <c r="C110" i="29"/>
  <c r="F110" i="29" s="1"/>
  <c r="E111" i="29"/>
  <c r="C114" i="29"/>
  <c r="F114" i="29" s="1"/>
  <c r="D115" i="29"/>
  <c r="C116" i="28"/>
  <c r="E115" i="28"/>
  <c r="C115" i="28"/>
  <c r="E114" i="28"/>
  <c r="C113" i="28"/>
  <c r="E112" i="28"/>
  <c r="C111" i="28"/>
  <c r="E110" i="28"/>
  <c r="E109" i="28"/>
  <c r="E103" i="28"/>
  <c r="E101" i="28"/>
  <c r="E99" i="28"/>
  <c r="E94" i="28"/>
  <c r="E91" i="28"/>
  <c r="E90" i="28"/>
  <c r="E87" i="28"/>
  <c r="E86" i="28"/>
  <c r="E83" i="28"/>
  <c r="E82" i="28"/>
  <c r="E79" i="28"/>
  <c r="E78" i="28"/>
  <c r="E75" i="28"/>
  <c r="E74" i="28"/>
  <c r="E71" i="28"/>
  <c r="E70" i="28"/>
  <c r="E67"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E69" i="28"/>
  <c r="E72" i="28"/>
  <c r="E77" i="28"/>
  <c r="E80" i="28"/>
  <c r="E85" i="28"/>
  <c r="E88" i="28"/>
  <c r="E93" i="28"/>
  <c r="E100" i="28"/>
  <c r="E104" i="28"/>
  <c r="C110" i="28"/>
  <c r="F110" i="28" s="1"/>
  <c r="E111" i="28"/>
  <c r="C114" i="28"/>
  <c r="F114" i="28" s="1"/>
  <c r="D115" i="28"/>
  <c r="C116" i="27"/>
  <c r="E115" i="27"/>
  <c r="C115" i="27"/>
  <c r="E114" i="27"/>
  <c r="C113" i="27"/>
  <c r="E112" i="27"/>
  <c r="C111" i="27"/>
  <c r="E110" i="27"/>
  <c r="E109" i="27"/>
  <c r="E103" i="27"/>
  <c r="E101" i="27"/>
  <c r="E99" i="27"/>
  <c r="E94" i="27"/>
  <c r="E92" i="27"/>
  <c r="E90" i="27"/>
  <c r="E88" i="27"/>
  <c r="E86" i="27"/>
  <c r="E84" i="27"/>
  <c r="E82" i="27"/>
  <c r="E80" i="27"/>
  <c r="E78" i="27"/>
  <c r="E76" i="27"/>
  <c r="E74" i="27"/>
  <c r="E72" i="27"/>
  <c r="E70" i="27"/>
  <c r="E68" i="27"/>
  <c r="D63" i="27"/>
  <c r="D62" i="27"/>
  <c r="D61" i="27"/>
  <c r="D60" i="27"/>
  <c r="D59" i="27"/>
  <c r="D58" i="27"/>
  <c r="D57" i="27"/>
  <c r="D56" i="27"/>
  <c r="D55" i="27"/>
  <c r="D54" i="27"/>
  <c r="D53" i="27"/>
  <c r="D52" i="27"/>
  <c r="D51" i="27"/>
  <c r="D50" i="27"/>
  <c r="D49" i="27"/>
  <c r="D48" i="27"/>
  <c r="D47" i="27"/>
  <c r="D46" i="27"/>
  <c r="D45" i="27"/>
  <c r="D44" i="27"/>
  <c r="D43" i="27"/>
  <c r="D42" i="27"/>
  <c r="D41" i="27"/>
  <c r="D40" i="27"/>
  <c r="D39" i="27"/>
  <c r="D38" i="27"/>
  <c r="D37" i="27"/>
  <c r="D36" i="27"/>
  <c r="E69" i="27"/>
  <c r="E73" i="27"/>
  <c r="E77" i="27"/>
  <c r="E81" i="27"/>
  <c r="E85" i="27"/>
  <c r="E89" i="27"/>
  <c r="E93" i="27"/>
  <c r="E100" i="27"/>
  <c r="E104" i="27"/>
  <c r="C110" i="27"/>
  <c r="F110" i="27" s="1"/>
  <c r="E111" i="27"/>
  <c r="C114" i="27"/>
  <c r="F114" i="27" s="1"/>
  <c r="D115" i="27"/>
  <c r="C116" i="26"/>
  <c r="E115" i="26"/>
  <c r="C115" i="26"/>
  <c r="E114" i="26"/>
  <c r="C113" i="26"/>
  <c r="E112" i="26"/>
  <c r="C111" i="26"/>
  <c r="E110" i="26"/>
  <c r="E109" i="26"/>
  <c r="E103" i="26"/>
  <c r="E101" i="26"/>
  <c r="E99" i="26"/>
  <c r="E94" i="26"/>
  <c r="E92" i="26"/>
  <c r="E90" i="26"/>
  <c r="E88" i="26"/>
  <c r="E86" i="26"/>
  <c r="E84" i="26"/>
  <c r="E82" i="26"/>
  <c r="E80" i="26"/>
  <c r="E78" i="26"/>
  <c r="E76" i="26"/>
  <c r="E74" i="26"/>
  <c r="E72" i="26"/>
  <c r="E70" i="26"/>
  <c r="E68"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E69" i="26"/>
  <c r="E73" i="26"/>
  <c r="E77" i="26"/>
  <c r="E81" i="26"/>
  <c r="E85" i="26"/>
  <c r="E89" i="26"/>
  <c r="E93" i="26"/>
  <c r="E100" i="26"/>
  <c r="E104" i="26"/>
  <c r="C110" i="26"/>
  <c r="F110" i="26" s="1"/>
  <c r="E111" i="26"/>
  <c r="C114" i="26"/>
  <c r="F114" i="26" s="1"/>
  <c r="D115" i="26"/>
  <c r="E120" i="25"/>
  <c r="F120" i="25" s="1"/>
  <c r="D117" i="25"/>
  <c r="F117" i="25" s="1"/>
  <c r="D115" i="25"/>
  <c r="C114" i="25"/>
  <c r="E113" i="25"/>
  <c r="C112" i="25"/>
  <c r="E111" i="25"/>
  <c r="C110" i="25"/>
  <c r="D109" i="25"/>
  <c r="D118" i="25" s="1"/>
  <c r="E102" i="25"/>
  <c r="E94" i="25"/>
  <c r="E93" i="25"/>
  <c r="E90" i="25"/>
  <c r="E89" i="25"/>
  <c r="E86" i="25"/>
  <c r="E85" i="25"/>
  <c r="E82" i="25"/>
  <c r="E81" i="25"/>
  <c r="E78" i="25"/>
  <c r="E77" i="25"/>
  <c r="E74" i="25"/>
  <c r="E73" i="25"/>
  <c r="E70" i="25"/>
  <c r="E69"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E67" i="25"/>
  <c r="E72" i="25"/>
  <c r="E75" i="25"/>
  <c r="E80" i="25"/>
  <c r="E83" i="25"/>
  <c r="E88" i="25"/>
  <c r="E91" i="25"/>
  <c r="E99" i="25"/>
  <c r="E101" i="25"/>
  <c r="E104" i="25"/>
  <c r="E109" i="25"/>
  <c r="C111" i="25"/>
  <c r="E112" i="25"/>
  <c r="C115" i="25"/>
  <c r="C116" i="25"/>
  <c r="D70" i="23"/>
  <c r="D8" i="23"/>
  <c r="D74" i="23"/>
  <c r="D12" i="23"/>
  <c r="D78" i="23"/>
  <c r="D16" i="23"/>
  <c r="D82" i="23"/>
  <c r="D20" i="23"/>
  <c r="D86" i="23"/>
  <c r="D24" i="23"/>
  <c r="D90" i="23"/>
  <c r="D28" i="23"/>
  <c r="D94" i="23"/>
  <c r="D32" i="23"/>
  <c r="C116" i="38"/>
  <c r="E115" i="38"/>
  <c r="C115" i="38"/>
  <c r="E114" i="38"/>
  <c r="C113" i="38"/>
  <c r="E112" i="38"/>
  <c r="C111" i="38"/>
  <c r="F111" i="38" s="1"/>
  <c r="E110" i="38"/>
  <c r="E109" i="38"/>
  <c r="E103" i="38"/>
  <c r="E101" i="38"/>
  <c r="E99" i="38"/>
  <c r="E94" i="38"/>
  <c r="E92" i="38"/>
  <c r="E90" i="38"/>
  <c r="E88" i="38"/>
  <c r="E86" i="38"/>
  <c r="E84" i="38"/>
  <c r="E82" i="38"/>
  <c r="E80" i="38"/>
  <c r="E78" i="38"/>
  <c r="E76" i="38"/>
  <c r="E74" i="38"/>
  <c r="E72" i="38"/>
  <c r="E70" i="38"/>
  <c r="E68" i="38"/>
  <c r="D63" i="38"/>
  <c r="D62" i="38"/>
  <c r="D61" i="38"/>
  <c r="D60" i="38"/>
  <c r="D59" i="38"/>
  <c r="D58" i="38"/>
  <c r="D57" i="38"/>
  <c r="D56" i="38"/>
  <c r="D55" i="38"/>
  <c r="D54" i="38"/>
  <c r="D53" i="38"/>
  <c r="D52" i="38"/>
  <c r="D51" i="38"/>
  <c r="D50" i="38"/>
  <c r="D81" i="38" s="1"/>
  <c r="D49" i="38"/>
  <c r="D48" i="38"/>
  <c r="D79" i="38" s="1"/>
  <c r="D47" i="38"/>
  <c r="D46" i="38"/>
  <c r="D77" i="38" s="1"/>
  <c r="F77" i="38" s="1"/>
  <c r="D45" i="38"/>
  <c r="D44" i="38"/>
  <c r="D75" i="38" s="1"/>
  <c r="D43" i="38"/>
  <c r="D42" i="38"/>
  <c r="D73" i="38" s="1"/>
  <c r="F73" i="38" s="1"/>
  <c r="D41" i="38"/>
  <c r="D40" i="38"/>
  <c r="D71" i="38" s="1"/>
  <c r="D39" i="38"/>
  <c r="D38" i="38"/>
  <c r="D69" i="38" s="1"/>
  <c r="D37" i="38"/>
  <c r="D36" i="38"/>
  <c r="D67" i="38" s="1"/>
  <c r="E69" i="38"/>
  <c r="E81" i="38"/>
  <c r="E89" i="38"/>
  <c r="E93" i="38"/>
  <c r="E104" i="38"/>
  <c r="C110" i="38"/>
  <c r="F110" i="38" s="1"/>
  <c r="C114" i="38"/>
  <c r="D115" i="38"/>
  <c r="D7" i="35"/>
  <c r="D11" i="35"/>
  <c r="D15" i="35"/>
  <c r="D19" i="35"/>
  <c r="D23" i="35"/>
  <c r="D30" i="34"/>
  <c r="F37" i="57"/>
  <c r="F39" i="57"/>
  <c r="F40" i="57"/>
  <c r="F41" i="57"/>
  <c r="F43" i="57"/>
  <c r="F44" i="57"/>
  <c r="F45" i="57"/>
  <c r="F46" i="57"/>
  <c r="F47" i="57"/>
  <c r="F49" i="57"/>
  <c r="F51" i="57"/>
  <c r="F52" i="57"/>
  <c r="F53" i="57"/>
  <c r="F55" i="57"/>
  <c r="F56" i="57"/>
  <c r="F57" i="57"/>
  <c r="F58" i="57"/>
  <c r="F59" i="57"/>
  <c r="F60" i="57"/>
  <c r="F61" i="57"/>
  <c r="F62" i="57"/>
  <c r="F63" i="57"/>
  <c r="E68" i="57"/>
  <c r="E69" i="57"/>
  <c r="E72" i="57"/>
  <c r="E73" i="57"/>
  <c r="F73" i="57" s="1"/>
  <c r="E76" i="57"/>
  <c r="E77" i="57"/>
  <c r="E80" i="57"/>
  <c r="E81" i="57"/>
  <c r="F81" i="57" s="1"/>
  <c r="E84" i="57"/>
  <c r="E85" i="57"/>
  <c r="E88" i="57"/>
  <c r="E89" i="57"/>
  <c r="F89" i="57" s="1"/>
  <c r="E92" i="57"/>
  <c r="E93" i="57"/>
  <c r="E98" i="57"/>
  <c r="E99" i="57"/>
  <c r="E100" i="57"/>
  <c r="E101" i="57"/>
  <c r="E103" i="57"/>
  <c r="E104" i="57"/>
  <c r="E109" i="57"/>
  <c r="E110" i="57"/>
  <c r="F110" i="57" s="1"/>
  <c r="C111" i="57"/>
  <c r="F111" i="57" s="1"/>
  <c r="E112" i="57"/>
  <c r="F112" i="57" s="1"/>
  <c r="C113" i="57"/>
  <c r="F113" i="57" s="1"/>
  <c r="E114" i="57"/>
  <c r="F114" i="57" s="1"/>
  <c r="C115" i="57"/>
  <c r="E115" i="57"/>
  <c r="D36" i="55"/>
  <c r="D37" i="55"/>
  <c r="F37" i="55" s="1"/>
  <c r="D38" i="55"/>
  <c r="D39" i="55"/>
  <c r="D40" i="55"/>
  <c r="D41" i="55"/>
  <c r="D42" i="55"/>
  <c r="D43" i="55"/>
  <c r="D44" i="55"/>
  <c r="D45" i="55"/>
  <c r="D46" i="55"/>
  <c r="D47" i="55"/>
  <c r="D48" i="55"/>
  <c r="D49" i="55"/>
  <c r="D50" i="55"/>
  <c r="D51" i="55"/>
  <c r="D52" i="55"/>
  <c r="D53" i="55"/>
  <c r="D54" i="55"/>
  <c r="D55" i="55"/>
  <c r="D56" i="55"/>
  <c r="D57" i="55"/>
  <c r="D58" i="55"/>
  <c r="D59" i="55"/>
  <c r="D60" i="55"/>
  <c r="D61" i="55"/>
  <c r="D62" i="55"/>
  <c r="D63" i="55"/>
  <c r="E68" i="55"/>
  <c r="E70" i="55"/>
  <c r="E72" i="55"/>
  <c r="E74" i="55"/>
  <c r="E76" i="55"/>
  <c r="E78" i="55"/>
  <c r="E80" i="55"/>
  <c r="E82" i="55"/>
  <c r="E84" i="55"/>
  <c r="E86" i="55"/>
  <c r="E88" i="55"/>
  <c r="E90" i="55"/>
  <c r="E92" i="55"/>
  <c r="E94" i="55"/>
  <c r="E99" i="55"/>
  <c r="E101" i="55"/>
  <c r="E103" i="55"/>
  <c r="E109" i="55"/>
  <c r="E110" i="55"/>
  <c r="F110" i="55" s="1"/>
  <c r="C111" i="55"/>
  <c r="F111" i="55" s="1"/>
  <c r="E112" i="55"/>
  <c r="F112" i="55" s="1"/>
  <c r="C113" i="55"/>
  <c r="F113" i="55" s="1"/>
  <c r="E114" i="55"/>
  <c r="F114" i="55" s="1"/>
  <c r="C115" i="55"/>
  <c r="E115" i="55"/>
  <c r="F37" i="51"/>
  <c r="F39" i="51"/>
  <c r="F41" i="51"/>
  <c r="F43" i="51"/>
  <c r="F45" i="51"/>
  <c r="F47" i="51"/>
  <c r="F49" i="51"/>
  <c r="F51" i="51"/>
  <c r="F53" i="51"/>
  <c r="F57" i="51"/>
  <c r="F59" i="51"/>
  <c r="F61" i="51"/>
  <c r="F63" i="51"/>
  <c r="E67" i="51"/>
  <c r="E69" i="51"/>
  <c r="E71" i="51"/>
  <c r="F71" i="51" s="1"/>
  <c r="E73" i="51"/>
  <c r="F73" i="51" s="1"/>
  <c r="E75" i="51"/>
  <c r="F75" i="51" s="1"/>
  <c r="E77" i="51"/>
  <c r="F77" i="51" s="1"/>
  <c r="E79" i="51"/>
  <c r="E81" i="51"/>
  <c r="F81" i="51" s="1"/>
  <c r="E83" i="51"/>
  <c r="F83" i="51" s="1"/>
  <c r="E85" i="51"/>
  <c r="F85" i="51" s="1"/>
  <c r="E87" i="51"/>
  <c r="E89" i="51"/>
  <c r="F89" i="51" s="1"/>
  <c r="E91" i="51"/>
  <c r="F91" i="51" s="1"/>
  <c r="E93" i="51"/>
  <c r="F93" i="51" s="1"/>
  <c r="E98" i="51"/>
  <c r="E100" i="51"/>
  <c r="E102" i="51"/>
  <c r="E104" i="51"/>
  <c r="D109" i="51"/>
  <c r="C110" i="51"/>
  <c r="F110" i="51" s="1"/>
  <c r="E111" i="51"/>
  <c r="F111" i="51" s="1"/>
  <c r="C112" i="51"/>
  <c r="F112" i="51" s="1"/>
  <c r="E113" i="51"/>
  <c r="F113" i="51" s="1"/>
  <c r="C114" i="51"/>
  <c r="F114" i="51" s="1"/>
  <c r="D115" i="51"/>
  <c r="F115" i="51" s="1"/>
  <c r="D117" i="51"/>
  <c r="F117" i="51" s="1"/>
  <c r="D36" i="50"/>
  <c r="D37" i="50"/>
  <c r="D38" i="50"/>
  <c r="F38" i="50" s="1"/>
  <c r="D39" i="50"/>
  <c r="D40" i="50"/>
  <c r="F40" i="50" s="1"/>
  <c r="D41" i="50"/>
  <c r="D42" i="50"/>
  <c r="D43" i="50"/>
  <c r="D44" i="50"/>
  <c r="D45" i="50"/>
  <c r="D46" i="50"/>
  <c r="D47" i="50"/>
  <c r="D48" i="50"/>
  <c r="D49" i="50"/>
  <c r="D50" i="50"/>
  <c r="D51" i="50"/>
  <c r="D52" i="50"/>
  <c r="D53" i="50"/>
  <c r="D54" i="50"/>
  <c r="D55" i="50"/>
  <c r="D56" i="50"/>
  <c r="D57" i="50"/>
  <c r="D58" i="50"/>
  <c r="D59" i="50"/>
  <c r="D60" i="50"/>
  <c r="D61" i="50"/>
  <c r="D62" i="50"/>
  <c r="D63" i="50"/>
  <c r="E68" i="50"/>
  <c r="E70" i="50"/>
  <c r="E72" i="50"/>
  <c r="E74" i="50"/>
  <c r="E76" i="50"/>
  <c r="E78" i="50"/>
  <c r="E80" i="50"/>
  <c r="E82" i="50"/>
  <c r="E84" i="50"/>
  <c r="E86" i="50"/>
  <c r="E88" i="50"/>
  <c r="E90" i="50"/>
  <c r="E92" i="50"/>
  <c r="E94" i="50"/>
  <c r="E99" i="50"/>
  <c r="E101" i="50"/>
  <c r="E103" i="50"/>
  <c r="E109" i="50"/>
  <c r="E110" i="50"/>
  <c r="F110" i="50" s="1"/>
  <c r="C111" i="50"/>
  <c r="F111" i="50" s="1"/>
  <c r="E112" i="50"/>
  <c r="F112" i="50" s="1"/>
  <c r="C113" i="50"/>
  <c r="F113" i="50" s="1"/>
  <c r="E114" i="50"/>
  <c r="F114" i="50" s="1"/>
  <c r="C115" i="50"/>
  <c r="E115" i="50"/>
  <c r="D36" i="48"/>
  <c r="D37" i="48"/>
  <c r="D38" i="48"/>
  <c r="F38" i="48" s="1"/>
  <c r="D39" i="48"/>
  <c r="D40" i="48"/>
  <c r="F40" i="48" s="1"/>
  <c r="D41" i="48"/>
  <c r="D42" i="48"/>
  <c r="D43" i="48"/>
  <c r="D44" i="48"/>
  <c r="D45" i="48"/>
  <c r="D46" i="48"/>
  <c r="D47" i="48"/>
  <c r="D48" i="48"/>
  <c r="D49" i="48"/>
  <c r="D50" i="48"/>
  <c r="D51" i="48"/>
  <c r="D52" i="48"/>
  <c r="D53" i="48"/>
  <c r="D54" i="48"/>
  <c r="D55" i="48"/>
  <c r="D56" i="48"/>
  <c r="D57" i="48"/>
  <c r="D58" i="48"/>
  <c r="D59" i="48"/>
  <c r="D60" i="48"/>
  <c r="D61" i="48"/>
  <c r="D62" i="48"/>
  <c r="D63" i="48"/>
  <c r="E68" i="48"/>
  <c r="E70" i="48"/>
  <c r="E72" i="48"/>
  <c r="E74" i="48"/>
  <c r="E76" i="48"/>
  <c r="E78" i="48"/>
  <c r="E80" i="48"/>
  <c r="E82" i="48"/>
  <c r="E84" i="48"/>
  <c r="E86" i="48"/>
  <c r="E88" i="48"/>
  <c r="E90" i="48"/>
  <c r="E92" i="48"/>
  <c r="E94" i="48"/>
  <c r="E99" i="48"/>
  <c r="E101" i="48"/>
  <c r="E103" i="48"/>
  <c r="E109" i="48"/>
  <c r="E110" i="48"/>
  <c r="F110" i="48" s="1"/>
  <c r="C111" i="48"/>
  <c r="F111" i="48" s="1"/>
  <c r="E112" i="48"/>
  <c r="F112" i="48" s="1"/>
  <c r="C113" i="48"/>
  <c r="F113" i="48" s="1"/>
  <c r="E114" i="48"/>
  <c r="F114" i="48" s="1"/>
  <c r="C115" i="48"/>
  <c r="E115" i="48"/>
  <c r="D36" i="46"/>
  <c r="D37" i="46"/>
  <c r="D38" i="46"/>
  <c r="F38" i="46" s="1"/>
  <c r="D39" i="46"/>
  <c r="D40" i="46"/>
  <c r="F40" i="46" s="1"/>
  <c r="D41" i="46"/>
  <c r="D42" i="46"/>
  <c r="D43" i="46"/>
  <c r="D44" i="46"/>
  <c r="D45" i="46"/>
  <c r="D46" i="46"/>
  <c r="D47" i="46"/>
  <c r="D48" i="46"/>
  <c r="D49" i="46"/>
  <c r="D50" i="46"/>
  <c r="D51" i="46"/>
  <c r="D52" i="46"/>
  <c r="D53" i="46"/>
  <c r="D54" i="46"/>
  <c r="D55" i="46"/>
  <c r="D56" i="46"/>
  <c r="D57" i="46"/>
  <c r="D58" i="46"/>
  <c r="D59" i="46"/>
  <c r="D60" i="46"/>
  <c r="D61" i="46"/>
  <c r="D62" i="46"/>
  <c r="D63" i="46"/>
  <c r="E68" i="46"/>
  <c r="E70" i="46"/>
  <c r="E72" i="46"/>
  <c r="E74" i="46"/>
  <c r="E76" i="46"/>
  <c r="E78" i="46"/>
  <c r="E80" i="46"/>
  <c r="E82" i="46"/>
  <c r="E84" i="46"/>
  <c r="E86" i="46"/>
  <c r="E88" i="46"/>
  <c r="E90" i="46"/>
  <c r="E92" i="46"/>
  <c r="E94" i="46"/>
  <c r="E99" i="46"/>
  <c r="E101" i="46"/>
  <c r="E103" i="46"/>
  <c r="E109" i="46"/>
  <c r="E110" i="46"/>
  <c r="F110" i="46" s="1"/>
  <c r="C111" i="46"/>
  <c r="F111" i="46" s="1"/>
  <c r="E112" i="46"/>
  <c r="F112" i="46" s="1"/>
  <c r="C113" i="46"/>
  <c r="F113" i="46" s="1"/>
  <c r="E114" i="46"/>
  <c r="F114" i="46" s="1"/>
  <c r="C115" i="46"/>
  <c r="E115" i="46"/>
  <c r="E67" i="38"/>
  <c r="E71" i="38"/>
  <c r="E75" i="38"/>
  <c r="E79" i="38"/>
  <c r="E83" i="38"/>
  <c r="E87" i="38"/>
  <c r="E91" i="38"/>
  <c r="E98" i="38"/>
  <c r="E102" i="38"/>
  <c r="D109" i="38"/>
  <c r="D118" i="38" s="1"/>
  <c r="C112" i="38"/>
  <c r="F112" i="38" s="1"/>
  <c r="E113" i="38"/>
  <c r="D117" i="38"/>
  <c r="F117" i="38" s="1"/>
  <c r="E120" i="38"/>
  <c r="F120" i="38" s="1"/>
  <c r="E69" i="37"/>
  <c r="E73" i="37"/>
  <c r="E77" i="37"/>
  <c r="E81" i="37"/>
  <c r="E85" i="37"/>
  <c r="E89" i="37"/>
  <c r="E93" i="37"/>
  <c r="E100" i="37"/>
  <c r="E104" i="37"/>
  <c r="C110" i="37"/>
  <c r="F110" i="37" s="1"/>
  <c r="E111" i="37"/>
  <c r="C114" i="37"/>
  <c r="F114" i="37" s="1"/>
  <c r="D115" i="37"/>
  <c r="E120" i="36"/>
  <c r="F120" i="36" s="1"/>
  <c r="D117" i="36"/>
  <c r="F117" i="36" s="1"/>
  <c r="D115" i="36"/>
  <c r="C114" i="36"/>
  <c r="F114" i="36" s="1"/>
  <c r="E113" i="36"/>
  <c r="F113" i="36" s="1"/>
  <c r="C112" i="36"/>
  <c r="E111" i="36"/>
  <c r="C110" i="36"/>
  <c r="F110" i="36" s="1"/>
  <c r="D109" i="36"/>
  <c r="D118" i="36" s="1"/>
  <c r="E102" i="36"/>
  <c r="E94" i="36"/>
  <c r="E93" i="36"/>
  <c r="E90" i="36"/>
  <c r="E89" i="36"/>
  <c r="E86" i="36"/>
  <c r="E85" i="36"/>
  <c r="E82" i="36"/>
  <c r="E81" i="36"/>
  <c r="E78" i="36"/>
  <c r="E77" i="36"/>
  <c r="E74" i="36"/>
  <c r="E73" i="36"/>
  <c r="E70" i="36"/>
  <c r="E69" i="36"/>
  <c r="D63" i="36"/>
  <c r="D62" i="36"/>
  <c r="D93" i="36" s="1"/>
  <c r="F93" i="36" s="1"/>
  <c r="D61" i="36"/>
  <c r="D60" i="36"/>
  <c r="D91" i="36" s="1"/>
  <c r="D59" i="36"/>
  <c r="D58" i="36"/>
  <c r="D89" i="36" s="1"/>
  <c r="F89" i="36" s="1"/>
  <c r="D57" i="36"/>
  <c r="D56" i="36"/>
  <c r="D87" i="36" s="1"/>
  <c r="F87" i="36" s="1"/>
  <c r="D55" i="36"/>
  <c r="D54" i="36"/>
  <c r="D85" i="36" s="1"/>
  <c r="F85" i="36" s="1"/>
  <c r="D53" i="36"/>
  <c r="D52" i="36"/>
  <c r="D83" i="36" s="1"/>
  <c r="D51" i="36"/>
  <c r="D50" i="36"/>
  <c r="D81" i="36" s="1"/>
  <c r="F81" i="36" s="1"/>
  <c r="D49" i="36"/>
  <c r="D48" i="36"/>
  <c r="D79" i="36" s="1"/>
  <c r="F79" i="36" s="1"/>
  <c r="D47" i="36"/>
  <c r="D46" i="36"/>
  <c r="D77" i="36" s="1"/>
  <c r="F77" i="36" s="1"/>
  <c r="D45" i="36"/>
  <c r="D44" i="36"/>
  <c r="D75" i="36" s="1"/>
  <c r="D43" i="36"/>
  <c r="D42" i="36"/>
  <c r="D73" i="36" s="1"/>
  <c r="F73" i="36" s="1"/>
  <c r="D41" i="36"/>
  <c r="D40" i="36"/>
  <c r="D71" i="36" s="1"/>
  <c r="F71" i="36" s="1"/>
  <c r="D39" i="36"/>
  <c r="D38" i="36"/>
  <c r="D69" i="36" s="1"/>
  <c r="F69" i="36" s="1"/>
  <c r="D37" i="36"/>
  <c r="D36" i="36"/>
  <c r="D67" i="36" s="1"/>
  <c r="E67" i="36"/>
  <c r="E72" i="36"/>
  <c r="E75" i="36"/>
  <c r="E80" i="36"/>
  <c r="E83" i="36"/>
  <c r="E88" i="36"/>
  <c r="E91" i="36"/>
  <c r="E99" i="36"/>
  <c r="E101" i="36"/>
  <c r="E104" i="36"/>
  <c r="E109" i="36"/>
  <c r="C111" i="36"/>
  <c r="E112" i="36"/>
  <c r="C115" i="36"/>
  <c r="C116" i="36"/>
  <c r="D5" i="35"/>
  <c r="D13" i="35"/>
  <c r="D21" i="35"/>
  <c r="D27" i="35"/>
  <c r="D31" i="35"/>
  <c r="F70" i="35"/>
  <c r="F78" i="35"/>
  <c r="F82" i="35"/>
  <c r="F86" i="35"/>
  <c r="D88" i="35"/>
  <c r="F88" i="35" s="1"/>
  <c r="D26" i="35"/>
  <c r="D90" i="35"/>
  <c r="F90" i="35" s="1"/>
  <c r="D28" i="35"/>
  <c r="D92" i="35"/>
  <c r="F92" i="35" s="1"/>
  <c r="D30" i="35"/>
  <c r="D94" i="35"/>
  <c r="F94" i="35" s="1"/>
  <c r="D32" i="35"/>
  <c r="D6" i="34"/>
  <c r="D14" i="34"/>
  <c r="D22" i="34"/>
  <c r="D64" i="33"/>
  <c r="D7" i="33"/>
  <c r="D11" i="33"/>
  <c r="D15" i="33"/>
  <c r="D19" i="33"/>
  <c r="D23" i="33"/>
  <c r="D27" i="33"/>
  <c r="D31" i="33"/>
  <c r="C116" i="32"/>
  <c r="E115" i="32"/>
  <c r="C115" i="32"/>
  <c r="E114" i="32"/>
  <c r="C113" i="32"/>
  <c r="F113" i="32" s="1"/>
  <c r="E112" i="32"/>
  <c r="F112" i="32" s="1"/>
  <c r="C111" i="32"/>
  <c r="E110" i="32"/>
  <c r="E109" i="32"/>
  <c r="E103" i="32"/>
  <c r="E101" i="32"/>
  <c r="E99" i="32"/>
  <c r="E94" i="32"/>
  <c r="E93" i="32"/>
  <c r="E90" i="32"/>
  <c r="E89" i="32"/>
  <c r="E86" i="32"/>
  <c r="E85" i="32"/>
  <c r="E82" i="32"/>
  <c r="E81" i="32"/>
  <c r="E78" i="32"/>
  <c r="E77" i="32"/>
  <c r="E74" i="32"/>
  <c r="E73" i="32"/>
  <c r="E70" i="32"/>
  <c r="E69" i="32"/>
  <c r="D63" i="32"/>
  <c r="D62" i="32"/>
  <c r="D93" i="32" s="1"/>
  <c r="F93" i="32" s="1"/>
  <c r="D61" i="32"/>
  <c r="D60" i="32"/>
  <c r="D91" i="32" s="1"/>
  <c r="D59" i="32"/>
  <c r="D58" i="32"/>
  <c r="D89" i="32" s="1"/>
  <c r="F89" i="32" s="1"/>
  <c r="D57" i="32"/>
  <c r="D56" i="32"/>
  <c r="D87" i="32" s="1"/>
  <c r="F87" i="32" s="1"/>
  <c r="D55" i="32"/>
  <c r="D54" i="32"/>
  <c r="D85" i="32" s="1"/>
  <c r="F85" i="32" s="1"/>
  <c r="D53" i="32"/>
  <c r="D52" i="32"/>
  <c r="D83" i="32" s="1"/>
  <c r="D51" i="32"/>
  <c r="D50" i="32"/>
  <c r="D81" i="32" s="1"/>
  <c r="F81" i="32" s="1"/>
  <c r="D49" i="32"/>
  <c r="D48" i="32"/>
  <c r="D79" i="32" s="1"/>
  <c r="F79" i="32" s="1"/>
  <c r="D47" i="32"/>
  <c r="D46" i="32"/>
  <c r="D77" i="32" s="1"/>
  <c r="F77" i="32" s="1"/>
  <c r="D45" i="32"/>
  <c r="D44" i="32"/>
  <c r="D75" i="32" s="1"/>
  <c r="D43" i="32"/>
  <c r="D42" i="32"/>
  <c r="D73" i="32" s="1"/>
  <c r="F73" i="32" s="1"/>
  <c r="D41" i="32"/>
  <c r="D40" i="32"/>
  <c r="D71" i="32" s="1"/>
  <c r="F71" i="32" s="1"/>
  <c r="D39" i="32"/>
  <c r="D38" i="32"/>
  <c r="D69" i="32" s="1"/>
  <c r="F69" i="32" s="1"/>
  <c r="D37" i="32"/>
  <c r="D36" i="32"/>
  <c r="D67" i="32" s="1"/>
  <c r="E67" i="32"/>
  <c r="E72" i="32"/>
  <c r="E75" i="32"/>
  <c r="E80" i="32"/>
  <c r="E83" i="32"/>
  <c r="E88" i="32"/>
  <c r="E91" i="32"/>
  <c r="E100" i="32"/>
  <c r="E104" i="32"/>
  <c r="C110" i="32"/>
  <c r="F110" i="32" s="1"/>
  <c r="E111" i="32"/>
  <c r="C114" i="32"/>
  <c r="F114" i="32" s="1"/>
  <c r="D115" i="32"/>
  <c r="D118" i="32" s="1"/>
  <c r="C116" i="31"/>
  <c r="E115" i="31"/>
  <c r="C115" i="31"/>
  <c r="E114" i="31"/>
  <c r="C113" i="31"/>
  <c r="F113" i="31" s="1"/>
  <c r="E112" i="31"/>
  <c r="F112" i="31" s="1"/>
  <c r="C111" i="31"/>
  <c r="E110" i="31"/>
  <c r="E109" i="31"/>
  <c r="E103" i="31"/>
  <c r="E101" i="31"/>
  <c r="E99" i="31"/>
  <c r="E94" i="31"/>
  <c r="E91" i="31"/>
  <c r="E90" i="31"/>
  <c r="E87" i="31"/>
  <c r="E86" i="31"/>
  <c r="E83" i="31"/>
  <c r="E82" i="31"/>
  <c r="E79" i="31"/>
  <c r="E78" i="31"/>
  <c r="E75" i="31"/>
  <c r="E74" i="31"/>
  <c r="E71" i="31"/>
  <c r="E70" i="31"/>
  <c r="E67" i="31"/>
  <c r="D63" i="31"/>
  <c r="D94" i="31" s="1"/>
  <c r="F94" i="31" s="1"/>
  <c r="D62" i="31"/>
  <c r="D61" i="31"/>
  <c r="D92" i="31" s="1"/>
  <c r="F92" i="31" s="1"/>
  <c r="D60" i="31"/>
  <c r="D59" i="31"/>
  <c r="D90" i="31" s="1"/>
  <c r="F90" i="31" s="1"/>
  <c r="D58" i="31"/>
  <c r="D57" i="31"/>
  <c r="D88" i="31" s="1"/>
  <c r="D56" i="31"/>
  <c r="D55" i="31"/>
  <c r="D86" i="31" s="1"/>
  <c r="F86" i="31" s="1"/>
  <c r="D54" i="31"/>
  <c r="D53" i="31"/>
  <c r="D84" i="31" s="1"/>
  <c r="F84" i="31" s="1"/>
  <c r="D52" i="31"/>
  <c r="D51" i="31"/>
  <c r="D82" i="31" s="1"/>
  <c r="F82" i="31" s="1"/>
  <c r="D50" i="31"/>
  <c r="D49" i="31"/>
  <c r="D80" i="31" s="1"/>
  <c r="D48" i="31"/>
  <c r="D47" i="31"/>
  <c r="D78" i="31" s="1"/>
  <c r="F78" i="31" s="1"/>
  <c r="D46" i="31"/>
  <c r="D45" i="31"/>
  <c r="D76" i="31" s="1"/>
  <c r="F76" i="31" s="1"/>
  <c r="D44" i="31"/>
  <c r="D43" i="31"/>
  <c r="D74" i="31" s="1"/>
  <c r="F74" i="31" s="1"/>
  <c r="D42" i="31"/>
  <c r="D41" i="31"/>
  <c r="D72" i="31" s="1"/>
  <c r="D40" i="31"/>
  <c r="D39" i="31"/>
  <c r="D70" i="31" s="1"/>
  <c r="F70" i="31" s="1"/>
  <c r="D38" i="31"/>
  <c r="D37" i="31"/>
  <c r="D68" i="31" s="1"/>
  <c r="F68" i="31" s="1"/>
  <c r="D36" i="31"/>
  <c r="E69" i="31"/>
  <c r="E72" i="31"/>
  <c r="E77" i="31"/>
  <c r="E80" i="31"/>
  <c r="E85" i="31"/>
  <c r="E88" i="31"/>
  <c r="E93" i="31"/>
  <c r="E100" i="31"/>
  <c r="E104" i="31"/>
  <c r="C110" i="31"/>
  <c r="F110" i="31" s="1"/>
  <c r="E111" i="31"/>
  <c r="C114" i="31"/>
  <c r="F114" i="31" s="1"/>
  <c r="D115" i="31"/>
  <c r="D118" i="31" s="1"/>
  <c r="C116" i="30"/>
  <c r="E115" i="30"/>
  <c r="C115" i="30"/>
  <c r="E114" i="30"/>
  <c r="F114" i="30" s="1"/>
  <c r="C113" i="30"/>
  <c r="E112" i="30"/>
  <c r="C111" i="30"/>
  <c r="F111" i="30" s="1"/>
  <c r="E110" i="30"/>
  <c r="F110" i="30" s="1"/>
  <c r="E109" i="30"/>
  <c r="E103" i="30"/>
  <c r="E101" i="30"/>
  <c r="E99" i="30"/>
  <c r="E94" i="30"/>
  <c r="E91" i="30"/>
  <c r="E90" i="30"/>
  <c r="E87" i="30"/>
  <c r="E86" i="30"/>
  <c r="E83" i="30"/>
  <c r="E82" i="30"/>
  <c r="E79" i="30"/>
  <c r="E78" i="30"/>
  <c r="E75" i="30"/>
  <c r="E74" i="30"/>
  <c r="E71" i="30"/>
  <c r="E70" i="30"/>
  <c r="E68"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69" i="30" s="1"/>
  <c r="F69" i="30" s="1"/>
  <c r="D37" i="30"/>
  <c r="D36" i="30"/>
  <c r="E67" i="30"/>
  <c r="E73" i="30"/>
  <c r="E76" i="30"/>
  <c r="E81" i="30"/>
  <c r="E84" i="30"/>
  <c r="E89" i="30"/>
  <c r="E92" i="30"/>
  <c r="E98" i="30"/>
  <c r="E102" i="30"/>
  <c r="D109" i="30"/>
  <c r="D118" i="30" s="1"/>
  <c r="C112" i="30"/>
  <c r="E113" i="30"/>
  <c r="D117" i="30"/>
  <c r="F117" i="30" s="1"/>
  <c r="E120" i="30"/>
  <c r="F120" i="30" s="1"/>
  <c r="E68" i="29"/>
  <c r="E71" i="29"/>
  <c r="E76" i="29"/>
  <c r="E79" i="29"/>
  <c r="E84" i="29"/>
  <c r="E87" i="29"/>
  <c r="E92" i="29"/>
  <c r="E98" i="29"/>
  <c r="E102" i="29"/>
  <c r="D109" i="29"/>
  <c r="D118" i="29" s="1"/>
  <c r="C112" i="29"/>
  <c r="F112" i="29" s="1"/>
  <c r="E113" i="29"/>
  <c r="D117" i="29"/>
  <c r="F117" i="29" s="1"/>
  <c r="E120" i="29"/>
  <c r="F120" i="29" s="1"/>
  <c r="E68" i="28"/>
  <c r="E73" i="28"/>
  <c r="E76" i="28"/>
  <c r="E81" i="28"/>
  <c r="E84" i="28"/>
  <c r="E89" i="28"/>
  <c r="E92" i="28"/>
  <c r="E98" i="28"/>
  <c r="E102" i="28"/>
  <c r="D109" i="28"/>
  <c r="D118" i="28" s="1"/>
  <c r="C112" i="28"/>
  <c r="F112" i="28" s="1"/>
  <c r="E113" i="28"/>
  <c r="D117" i="28"/>
  <c r="F117" i="28" s="1"/>
  <c r="E120" i="28"/>
  <c r="F120" i="28" s="1"/>
  <c r="E67" i="27"/>
  <c r="E71" i="27"/>
  <c r="E75" i="27"/>
  <c r="E79" i="27"/>
  <c r="E83" i="27"/>
  <c r="E87" i="27"/>
  <c r="E91" i="27"/>
  <c r="E98" i="27"/>
  <c r="E102" i="27"/>
  <c r="D109" i="27"/>
  <c r="D118" i="27" s="1"/>
  <c r="C112" i="27"/>
  <c r="F112" i="27" s="1"/>
  <c r="E113" i="27"/>
  <c r="D117" i="27"/>
  <c r="F117" i="27" s="1"/>
  <c r="E120" i="27"/>
  <c r="F120" i="27" s="1"/>
  <c r="E67" i="26"/>
  <c r="E71" i="26"/>
  <c r="E75" i="26"/>
  <c r="E79" i="26"/>
  <c r="E83" i="26"/>
  <c r="E87" i="26"/>
  <c r="E91" i="26"/>
  <c r="E98" i="26"/>
  <c r="E102" i="26"/>
  <c r="D109" i="26"/>
  <c r="D118" i="26" s="1"/>
  <c r="C112" i="26"/>
  <c r="F112" i="26" s="1"/>
  <c r="E113" i="26"/>
  <c r="D117" i="26"/>
  <c r="F117" i="26" s="1"/>
  <c r="E120" i="26"/>
  <c r="F120" i="26" s="1"/>
  <c r="E68" i="25"/>
  <c r="E71" i="25"/>
  <c r="E76" i="25"/>
  <c r="E79" i="25"/>
  <c r="E84" i="25"/>
  <c r="E87" i="25"/>
  <c r="E92" i="25"/>
  <c r="E98" i="25"/>
  <c r="E100" i="25"/>
  <c r="E103" i="25"/>
  <c r="E110" i="25"/>
  <c r="C113" i="25"/>
  <c r="F113" i="25" s="1"/>
  <c r="E114" i="25"/>
  <c r="E115" i="25"/>
  <c r="D68" i="23"/>
  <c r="F68" i="23" s="1"/>
  <c r="D6" i="23"/>
  <c r="D72" i="23"/>
  <c r="F72" i="23" s="1"/>
  <c r="D10" i="23"/>
  <c r="D76" i="23"/>
  <c r="F76" i="23" s="1"/>
  <c r="D14" i="23"/>
  <c r="D80" i="23"/>
  <c r="F80" i="23" s="1"/>
  <c r="D18" i="23"/>
  <c r="D84" i="23"/>
  <c r="F84" i="23" s="1"/>
  <c r="D22" i="23"/>
  <c r="D88" i="23"/>
  <c r="F88" i="23" s="1"/>
  <c r="D26" i="23"/>
  <c r="D92" i="23"/>
  <c r="F92" i="23" s="1"/>
  <c r="D30" i="23"/>
  <c r="D6" i="21"/>
  <c r="D8" i="21"/>
  <c r="D10" i="21"/>
  <c r="D12" i="21"/>
  <c r="D14" i="21"/>
  <c r="D16" i="21"/>
  <c r="D18" i="21"/>
  <c r="D20" i="21"/>
  <c r="D22" i="21"/>
  <c r="D24" i="21"/>
  <c r="D26" i="21"/>
  <c r="D28" i="21"/>
  <c r="D30" i="21"/>
  <c r="D32" i="21"/>
  <c r="E120" i="19"/>
  <c r="F120" i="19" s="1"/>
  <c r="D117" i="19"/>
  <c r="F117" i="19" s="1"/>
  <c r="D115" i="19"/>
  <c r="C114" i="19"/>
  <c r="E113" i="19"/>
  <c r="C112" i="19"/>
  <c r="E111" i="19"/>
  <c r="C110" i="19"/>
  <c r="D109" i="19"/>
  <c r="D118" i="19" s="1"/>
  <c r="E104" i="19"/>
  <c r="E103" i="19"/>
  <c r="E101" i="19"/>
  <c r="E99" i="19"/>
  <c r="E94" i="19"/>
  <c r="E92" i="19"/>
  <c r="E90" i="19"/>
  <c r="E88" i="19"/>
  <c r="E86" i="19"/>
  <c r="E84" i="19"/>
  <c r="E82" i="19"/>
  <c r="E80" i="19"/>
  <c r="E78" i="19"/>
  <c r="E76" i="19"/>
  <c r="E74" i="19"/>
  <c r="E72" i="19"/>
  <c r="E70" i="19"/>
  <c r="E68"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E67" i="19"/>
  <c r="E71" i="19"/>
  <c r="E75" i="19"/>
  <c r="E79" i="19"/>
  <c r="E83" i="19"/>
  <c r="E87" i="19"/>
  <c r="E91" i="19"/>
  <c r="E98" i="19"/>
  <c r="E102" i="19"/>
  <c r="E110" i="19"/>
  <c r="C113" i="19"/>
  <c r="E114" i="19"/>
  <c r="E115" i="19"/>
  <c r="E120" i="16"/>
  <c r="F120" i="16" s="1"/>
  <c r="D117" i="16"/>
  <c r="F117" i="16" s="1"/>
  <c r="D115" i="16"/>
  <c r="C114" i="16"/>
  <c r="E113" i="16"/>
  <c r="C112" i="16"/>
  <c r="E111" i="16"/>
  <c r="C110" i="16"/>
  <c r="D109" i="16"/>
  <c r="D118" i="16" s="1"/>
  <c r="E102" i="16"/>
  <c r="E94" i="16"/>
  <c r="E93" i="16"/>
  <c r="E90" i="16"/>
  <c r="E89" i="16"/>
  <c r="E86" i="16"/>
  <c r="E85" i="16"/>
  <c r="E82" i="16"/>
  <c r="E81" i="16"/>
  <c r="E78" i="16"/>
  <c r="E77" i="16"/>
  <c r="E74" i="16"/>
  <c r="E73" i="16"/>
  <c r="E70" i="16"/>
  <c r="E69"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E67" i="16"/>
  <c r="E72" i="16"/>
  <c r="E75" i="16"/>
  <c r="E80" i="16"/>
  <c r="E83" i="16"/>
  <c r="E88" i="16"/>
  <c r="E91" i="16"/>
  <c r="E99" i="16"/>
  <c r="E101" i="16"/>
  <c r="E104" i="16"/>
  <c r="E109" i="16"/>
  <c r="C111" i="16"/>
  <c r="E112" i="16"/>
  <c r="C115" i="16"/>
  <c r="C116" i="16"/>
  <c r="D10" i="15"/>
  <c r="D12" i="15"/>
  <c r="D14" i="15"/>
  <c r="D16" i="15"/>
  <c r="D18" i="15"/>
  <c r="D20" i="15"/>
  <c r="D22" i="15"/>
  <c r="D24" i="15"/>
  <c r="D26" i="15"/>
  <c r="D28" i="15"/>
  <c r="D30" i="15"/>
  <c r="D32" i="15"/>
  <c r="F38" i="35"/>
  <c r="F40" i="35"/>
  <c r="F42" i="35"/>
  <c r="F44" i="35"/>
  <c r="F46" i="35"/>
  <c r="F48" i="35"/>
  <c r="F52" i="35"/>
  <c r="F54" i="35"/>
  <c r="F56" i="35"/>
  <c r="F58" i="35"/>
  <c r="F60" i="35"/>
  <c r="F62" i="35"/>
  <c r="E67" i="35"/>
  <c r="E69" i="35"/>
  <c r="E71" i="35"/>
  <c r="E73" i="35"/>
  <c r="E75" i="35"/>
  <c r="E77" i="35"/>
  <c r="E79" i="35"/>
  <c r="E81" i="35"/>
  <c r="E83" i="35"/>
  <c r="E85" i="35"/>
  <c r="E87" i="35"/>
  <c r="E89" i="35"/>
  <c r="E91" i="35"/>
  <c r="E93" i="35"/>
  <c r="E98" i="35"/>
  <c r="E100" i="35"/>
  <c r="E102" i="35"/>
  <c r="E104" i="35"/>
  <c r="D109" i="35"/>
  <c r="C110" i="35"/>
  <c r="F110" i="35" s="1"/>
  <c r="E111" i="35"/>
  <c r="F111" i="35" s="1"/>
  <c r="C112" i="35"/>
  <c r="F112" i="35" s="1"/>
  <c r="E113" i="35"/>
  <c r="F113" i="35" s="1"/>
  <c r="C114" i="35"/>
  <c r="F114" i="35" s="1"/>
  <c r="D115" i="35"/>
  <c r="F115" i="35" s="1"/>
  <c r="D117" i="35"/>
  <c r="F117" i="35" s="1"/>
  <c r="F37" i="34"/>
  <c r="F39" i="34"/>
  <c r="F41" i="34"/>
  <c r="F43" i="34"/>
  <c r="F45" i="34"/>
  <c r="F47" i="34"/>
  <c r="F49" i="34"/>
  <c r="F51" i="34"/>
  <c r="F53" i="34"/>
  <c r="F57" i="34"/>
  <c r="F59" i="34"/>
  <c r="F61" i="34"/>
  <c r="F63" i="34"/>
  <c r="E67" i="34"/>
  <c r="E69" i="34"/>
  <c r="F69" i="34" s="1"/>
  <c r="E71" i="34"/>
  <c r="F71" i="34" s="1"/>
  <c r="E73" i="34"/>
  <c r="F73" i="34" s="1"/>
  <c r="E75" i="34"/>
  <c r="F75" i="34" s="1"/>
  <c r="E77" i="34"/>
  <c r="F77" i="34" s="1"/>
  <c r="E79" i="34"/>
  <c r="F79" i="34" s="1"/>
  <c r="E81" i="34"/>
  <c r="F81" i="34" s="1"/>
  <c r="E83" i="34"/>
  <c r="F83" i="34" s="1"/>
  <c r="E85" i="34"/>
  <c r="F85" i="34" s="1"/>
  <c r="E87" i="34"/>
  <c r="E89" i="34"/>
  <c r="F89" i="34" s="1"/>
  <c r="E91" i="34"/>
  <c r="E93" i="34"/>
  <c r="E98" i="34"/>
  <c r="E100" i="34"/>
  <c r="E102" i="34"/>
  <c r="E104" i="34"/>
  <c r="D109" i="34"/>
  <c r="C110" i="34"/>
  <c r="F110" i="34" s="1"/>
  <c r="E111" i="34"/>
  <c r="F111" i="34" s="1"/>
  <c r="C112" i="34"/>
  <c r="F112" i="34" s="1"/>
  <c r="E113" i="34"/>
  <c r="F113" i="34" s="1"/>
  <c r="C114" i="34"/>
  <c r="F114" i="34" s="1"/>
  <c r="D115" i="34"/>
  <c r="F115" i="34" s="1"/>
  <c r="D117" i="34"/>
  <c r="F117" i="34" s="1"/>
  <c r="F38" i="33"/>
  <c r="F40" i="33"/>
  <c r="F42" i="33"/>
  <c r="F44" i="33"/>
  <c r="F46" i="33"/>
  <c r="F48" i="33"/>
  <c r="F50" i="33"/>
  <c r="F52" i="33"/>
  <c r="F54" i="33"/>
  <c r="F56" i="33"/>
  <c r="F58" i="33"/>
  <c r="F60" i="33"/>
  <c r="F62" i="33"/>
  <c r="E67" i="33"/>
  <c r="E69" i="33"/>
  <c r="E71" i="33"/>
  <c r="E73" i="33"/>
  <c r="E75" i="33"/>
  <c r="E77" i="33"/>
  <c r="E79" i="33"/>
  <c r="E81" i="33"/>
  <c r="E83" i="33"/>
  <c r="E85" i="33"/>
  <c r="E87" i="33"/>
  <c r="E89" i="33"/>
  <c r="E91" i="33"/>
  <c r="E93" i="33"/>
  <c r="E98" i="33"/>
  <c r="E100" i="33"/>
  <c r="E102" i="33"/>
  <c r="E109" i="33"/>
  <c r="E110" i="33"/>
  <c r="F110" i="33" s="1"/>
  <c r="C111" i="33"/>
  <c r="F111" i="33" s="1"/>
  <c r="E112" i="33"/>
  <c r="F112" i="33" s="1"/>
  <c r="C113" i="33"/>
  <c r="F113" i="33" s="1"/>
  <c r="E114" i="33"/>
  <c r="F114" i="33" s="1"/>
  <c r="C115" i="33"/>
  <c r="E115" i="33"/>
  <c r="C116" i="24"/>
  <c r="E115" i="24"/>
  <c r="C115" i="24"/>
  <c r="E114" i="24"/>
  <c r="C113" i="24"/>
  <c r="F113" i="24" s="1"/>
  <c r="E112" i="24"/>
  <c r="F112" i="24" s="1"/>
  <c r="C111" i="24"/>
  <c r="E110" i="24"/>
  <c r="E109" i="24"/>
  <c r="E103" i="24"/>
  <c r="E101" i="24"/>
  <c r="E99" i="24"/>
  <c r="E94" i="24"/>
  <c r="E92" i="24"/>
  <c r="E90" i="24"/>
  <c r="E88" i="24"/>
  <c r="E86" i="24"/>
  <c r="E84" i="24"/>
  <c r="E82" i="24"/>
  <c r="E80" i="24"/>
  <c r="E78" i="24"/>
  <c r="E76" i="24"/>
  <c r="E74" i="24"/>
  <c r="E72" i="24"/>
  <c r="E70" i="24"/>
  <c r="E68" i="24"/>
  <c r="D63" i="24"/>
  <c r="D62" i="24"/>
  <c r="D61" i="24"/>
  <c r="D60" i="24"/>
  <c r="D59" i="24"/>
  <c r="D58" i="24"/>
  <c r="D57" i="24"/>
  <c r="D56" i="24"/>
  <c r="D55" i="24"/>
  <c r="D54" i="24"/>
  <c r="D53" i="24"/>
  <c r="D52" i="24"/>
  <c r="D51" i="24"/>
  <c r="D50" i="24"/>
  <c r="D49" i="24"/>
  <c r="D48" i="24"/>
  <c r="D47" i="24"/>
  <c r="D46" i="24"/>
  <c r="D45" i="24"/>
  <c r="D44" i="24"/>
  <c r="D43" i="24"/>
  <c r="D42" i="24"/>
  <c r="D41" i="24"/>
  <c r="D36" i="24"/>
  <c r="D37" i="24"/>
  <c r="F37" i="24" s="1"/>
  <c r="D38" i="24"/>
  <c r="D39" i="24"/>
  <c r="D40" i="24"/>
  <c r="E69" i="24"/>
  <c r="E73" i="24"/>
  <c r="E77" i="24"/>
  <c r="E81" i="24"/>
  <c r="E85" i="24"/>
  <c r="E89" i="24"/>
  <c r="E93" i="24"/>
  <c r="E100" i="24"/>
  <c r="E104" i="24"/>
  <c r="C110" i="24"/>
  <c r="F110" i="24" s="1"/>
  <c r="E111" i="24"/>
  <c r="C114" i="24"/>
  <c r="F114" i="24" s="1"/>
  <c r="D115" i="24"/>
  <c r="D118" i="24" s="1"/>
  <c r="E120" i="23"/>
  <c r="F120" i="23" s="1"/>
  <c r="D117" i="23"/>
  <c r="F117" i="23" s="1"/>
  <c r="D115" i="23"/>
  <c r="C114" i="23"/>
  <c r="E113" i="23"/>
  <c r="C112" i="23"/>
  <c r="F112" i="23" s="1"/>
  <c r="E111" i="23"/>
  <c r="F111" i="23" s="1"/>
  <c r="C110" i="23"/>
  <c r="D109" i="23"/>
  <c r="D118" i="23" s="1"/>
  <c r="E104" i="23"/>
  <c r="E102" i="23"/>
  <c r="E100" i="23"/>
  <c r="E98" i="23"/>
  <c r="E93" i="23"/>
  <c r="E91" i="23"/>
  <c r="E89" i="23"/>
  <c r="E87" i="23"/>
  <c r="E85" i="23"/>
  <c r="E83" i="23"/>
  <c r="E81" i="23"/>
  <c r="E79" i="23"/>
  <c r="E77" i="23"/>
  <c r="E75" i="23"/>
  <c r="E73" i="23"/>
  <c r="E71" i="23"/>
  <c r="E69" i="23"/>
  <c r="E67" i="23"/>
  <c r="D36" i="23"/>
  <c r="D38" i="23"/>
  <c r="D40" i="23"/>
  <c r="D42" i="23"/>
  <c r="D44" i="23"/>
  <c r="D46" i="23"/>
  <c r="D48" i="23"/>
  <c r="D50" i="23"/>
  <c r="D52" i="23"/>
  <c r="D54" i="23"/>
  <c r="D56" i="23"/>
  <c r="D58" i="23"/>
  <c r="D60" i="23"/>
  <c r="D62" i="23"/>
  <c r="E70" i="23"/>
  <c r="E74" i="23"/>
  <c r="E78" i="23"/>
  <c r="E82" i="23"/>
  <c r="E86" i="23"/>
  <c r="E90" i="23"/>
  <c r="E94" i="23"/>
  <c r="E101" i="23"/>
  <c r="E110" i="23"/>
  <c r="C113" i="23"/>
  <c r="F113" i="23" s="1"/>
  <c r="E114" i="23"/>
  <c r="E115" i="23"/>
  <c r="E69" i="19"/>
  <c r="E73" i="19"/>
  <c r="E77" i="19"/>
  <c r="E81" i="19"/>
  <c r="E85" i="19"/>
  <c r="E89" i="19"/>
  <c r="E93" i="19"/>
  <c r="E100" i="19"/>
  <c r="E109" i="19"/>
  <c r="C111" i="19"/>
  <c r="F111" i="19" s="1"/>
  <c r="E112" i="19"/>
  <c r="C115" i="19"/>
  <c r="F115" i="19" s="1"/>
  <c r="C116" i="19"/>
  <c r="C116" i="17"/>
  <c r="E115" i="17"/>
  <c r="C115" i="17"/>
  <c r="E114" i="17"/>
  <c r="F114" i="17" s="1"/>
  <c r="C113" i="17"/>
  <c r="E112" i="17"/>
  <c r="C111" i="17"/>
  <c r="F111" i="17" s="1"/>
  <c r="E110" i="17"/>
  <c r="F110" i="17" s="1"/>
  <c r="E109" i="17"/>
  <c r="E103" i="17"/>
  <c r="E101" i="17"/>
  <c r="E99" i="17"/>
  <c r="E94" i="17"/>
  <c r="E92" i="17"/>
  <c r="E90" i="17"/>
  <c r="E88" i="17"/>
  <c r="E86" i="17"/>
  <c r="E84" i="17"/>
  <c r="E82" i="17"/>
  <c r="E80" i="17"/>
  <c r="E78" i="17"/>
  <c r="E76" i="17"/>
  <c r="E74" i="17"/>
  <c r="E72" i="17"/>
  <c r="E70" i="17"/>
  <c r="E68"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F39" i="17" s="1"/>
  <c r="D38" i="17"/>
  <c r="D37" i="17"/>
  <c r="F37" i="17" s="1"/>
  <c r="D36" i="17"/>
  <c r="E67" i="17"/>
  <c r="E71" i="17"/>
  <c r="E75" i="17"/>
  <c r="E79" i="17"/>
  <c r="E83" i="17"/>
  <c r="E87" i="17"/>
  <c r="E91" i="17"/>
  <c r="E98" i="17"/>
  <c r="E102" i="17"/>
  <c r="D109" i="17"/>
  <c r="D118" i="17" s="1"/>
  <c r="C112" i="17"/>
  <c r="E113" i="17"/>
  <c r="D117" i="17"/>
  <c r="F117" i="17" s="1"/>
  <c r="E120" i="17"/>
  <c r="F120" i="17" s="1"/>
  <c r="E68" i="16"/>
  <c r="E71" i="16"/>
  <c r="E76" i="16"/>
  <c r="E79" i="16"/>
  <c r="E84" i="16"/>
  <c r="E87" i="16"/>
  <c r="E92" i="16"/>
  <c r="E98" i="16"/>
  <c r="E100" i="16"/>
  <c r="E103" i="16"/>
  <c r="F103" i="16" s="1"/>
  <c r="E110" i="16"/>
  <c r="C113" i="16"/>
  <c r="F113" i="16" s="1"/>
  <c r="E114" i="16"/>
  <c r="E115" i="16"/>
  <c r="D69" i="15"/>
  <c r="D7" i="15"/>
  <c r="E67" i="14"/>
  <c r="E69" i="14"/>
  <c r="E71" i="14"/>
  <c r="E73" i="14"/>
  <c r="E75" i="14"/>
  <c r="E77" i="14"/>
  <c r="E79" i="14"/>
  <c r="E81" i="14"/>
  <c r="E83" i="14"/>
  <c r="E85" i="14"/>
  <c r="E87" i="14"/>
  <c r="E89" i="14"/>
  <c r="E91" i="14"/>
  <c r="E93" i="14"/>
  <c r="E98" i="14"/>
  <c r="E100" i="14"/>
  <c r="E102" i="14"/>
  <c r="E104" i="14"/>
  <c r="D109" i="14"/>
  <c r="C110" i="14"/>
  <c r="E111" i="14"/>
  <c r="C112" i="14"/>
  <c r="E113" i="14"/>
  <c r="C114" i="14"/>
  <c r="D115" i="14"/>
  <c r="D117" i="14"/>
  <c r="F117" i="14" s="1"/>
  <c r="E120" i="14"/>
  <c r="F120" i="14" s="1"/>
  <c r="E120" i="13"/>
  <c r="F120" i="13" s="1"/>
  <c r="D117" i="13"/>
  <c r="F117" i="13" s="1"/>
  <c r="D115" i="13"/>
  <c r="C114" i="13"/>
  <c r="E113" i="13"/>
  <c r="C112" i="13"/>
  <c r="E111" i="13"/>
  <c r="C110" i="13"/>
  <c r="D109" i="13"/>
  <c r="D118" i="13" s="1"/>
  <c r="E104" i="13"/>
  <c r="E102" i="13"/>
  <c r="E100" i="13"/>
  <c r="E98" i="13"/>
  <c r="E93" i="13"/>
  <c r="E91" i="13"/>
  <c r="E89" i="13"/>
  <c r="E87" i="13"/>
  <c r="E85" i="13"/>
  <c r="E83" i="13"/>
  <c r="E81" i="13"/>
  <c r="E79" i="13"/>
  <c r="E77" i="13"/>
  <c r="E75" i="13"/>
  <c r="E73" i="13"/>
  <c r="E71" i="13"/>
  <c r="E69" i="13"/>
  <c r="E67" i="13"/>
  <c r="C116" i="13"/>
  <c r="E115" i="13"/>
  <c r="C115" i="13"/>
  <c r="E114" i="13"/>
  <c r="C113" i="13"/>
  <c r="E112" i="13"/>
  <c r="C111" i="13"/>
  <c r="E110" i="13"/>
  <c r="E109" i="13"/>
  <c r="E103" i="13"/>
  <c r="E101" i="13"/>
  <c r="E99" i="13"/>
  <c r="E94" i="13"/>
  <c r="E92" i="13"/>
  <c r="E90" i="13"/>
  <c r="E88" i="13"/>
  <c r="E86" i="13"/>
  <c r="E84" i="13"/>
  <c r="E82" i="13"/>
  <c r="E80" i="13"/>
  <c r="E78" i="13"/>
  <c r="E76" i="13"/>
  <c r="E74" i="13"/>
  <c r="E72" i="13"/>
  <c r="E70" i="13"/>
  <c r="E68" i="13"/>
  <c r="D63" i="13"/>
  <c r="D62" i="13"/>
  <c r="D61" i="13"/>
  <c r="D60" i="13"/>
  <c r="D59" i="13"/>
  <c r="D58" i="13"/>
  <c r="D57" i="13"/>
  <c r="D56" i="13"/>
  <c r="D55" i="13"/>
  <c r="D54" i="13"/>
  <c r="D53" i="13"/>
  <c r="D52" i="13"/>
  <c r="D51" i="13"/>
  <c r="D50" i="13"/>
  <c r="D49" i="13"/>
  <c r="D48" i="13"/>
  <c r="D47" i="13"/>
  <c r="D46" i="13"/>
  <c r="D45" i="13"/>
  <c r="D36" i="22"/>
  <c r="D37" i="22"/>
  <c r="F37" i="22" s="1"/>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E68" i="22"/>
  <c r="E70" i="22"/>
  <c r="E72" i="22"/>
  <c r="E74" i="22"/>
  <c r="E76" i="22"/>
  <c r="E78" i="22"/>
  <c r="E80" i="22"/>
  <c r="E82" i="22"/>
  <c r="E84" i="22"/>
  <c r="E86" i="22"/>
  <c r="E88" i="22"/>
  <c r="E90" i="22"/>
  <c r="E92" i="22"/>
  <c r="E94" i="22"/>
  <c r="E99" i="22"/>
  <c r="E101" i="22"/>
  <c r="E103" i="22"/>
  <c r="E104" i="22"/>
  <c r="D109" i="22"/>
  <c r="C110" i="22"/>
  <c r="F110" i="22" s="1"/>
  <c r="E111" i="22"/>
  <c r="F111" i="22" s="1"/>
  <c r="C112" i="22"/>
  <c r="F112" i="22" s="1"/>
  <c r="E113" i="22"/>
  <c r="F113" i="22" s="1"/>
  <c r="C114" i="22"/>
  <c r="F114" i="22" s="1"/>
  <c r="D115" i="22"/>
  <c r="F115" i="22" s="1"/>
  <c r="D117" i="22"/>
  <c r="F117" i="22" s="1"/>
  <c r="F37" i="21"/>
  <c r="F39" i="21"/>
  <c r="F41" i="21"/>
  <c r="F45" i="21"/>
  <c r="F47" i="21"/>
  <c r="F49" i="21"/>
  <c r="F51" i="21"/>
  <c r="F53" i="21"/>
  <c r="F55" i="21"/>
  <c r="F57" i="21"/>
  <c r="F59" i="21"/>
  <c r="F61" i="21"/>
  <c r="F63" i="21"/>
  <c r="E67" i="21"/>
  <c r="E69" i="21"/>
  <c r="F69" i="21" s="1"/>
  <c r="E71" i="21"/>
  <c r="E73" i="21"/>
  <c r="F73" i="21" s="1"/>
  <c r="E75" i="21"/>
  <c r="E77" i="21"/>
  <c r="F77" i="21" s="1"/>
  <c r="E79" i="21"/>
  <c r="E81" i="21"/>
  <c r="F81" i="21" s="1"/>
  <c r="E83" i="21"/>
  <c r="E85" i="21"/>
  <c r="F85" i="21" s="1"/>
  <c r="E87" i="21"/>
  <c r="E89" i="21"/>
  <c r="F89" i="21" s="1"/>
  <c r="E91" i="21"/>
  <c r="E93" i="21"/>
  <c r="F93" i="21" s="1"/>
  <c r="E98" i="21"/>
  <c r="E100" i="21"/>
  <c r="E102" i="21"/>
  <c r="E104" i="21"/>
  <c r="D109" i="21"/>
  <c r="C110" i="21"/>
  <c r="F110" i="21" s="1"/>
  <c r="E111" i="21"/>
  <c r="F111" i="21" s="1"/>
  <c r="C112" i="21"/>
  <c r="F112" i="21" s="1"/>
  <c r="E113" i="21"/>
  <c r="F113" i="21" s="1"/>
  <c r="C114" i="21"/>
  <c r="F114" i="21" s="1"/>
  <c r="D115" i="21"/>
  <c r="F115" i="21" s="1"/>
  <c r="D117" i="21"/>
  <c r="F117" i="21" s="1"/>
  <c r="F37" i="15"/>
  <c r="F39" i="15"/>
  <c r="F41" i="15"/>
  <c r="F45" i="15"/>
  <c r="F47" i="15"/>
  <c r="F49" i="15"/>
  <c r="F51" i="15"/>
  <c r="F53" i="15"/>
  <c r="F57" i="15"/>
  <c r="F59" i="15"/>
  <c r="F61" i="15"/>
  <c r="F63" i="15"/>
  <c r="E67" i="15"/>
  <c r="E69" i="15"/>
  <c r="E71" i="15"/>
  <c r="E73" i="15"/>
  <c r="E75" i="15"/>
  <c r="E77" i="15"/>
  <c r="E79" i="15"/>
  <c r="E81" i="15"/>
  <c r="E83" i="15"/>
  <c r="E85" i="15"/>
  <c r="E87" i="15"/>
  <c r="E89" i="15"/>
  <c r="E91" i="15"/>
  <c r="E93" i="15"/>
  <c r="E98" i="15"/>
  <c r="E100" i="15"/>
  <c r="E102" i="15"/>
  <c r="E104" i="15"/>
  <c r="D109" i="15"/>
  <c r="C110" i="15"/>
  <c r="F110" i="15" s="1"/>
  <c r="E111" i="15"/>
  <c r="C112" i="15"/>
  <c r="F112" i="15" s="1"/>
  <c r="E113" i="15"/>
  <c r="F113" i="15" s="1"/>
  <c r="C114" i="15"/>
  <c r="F114" i="15" s="1"/>
  <c r="D115" i="15"/>
  <c r="F115" i="15" s="1"/>
  <c r="D117" i="15"/>
  <c r="F117" i="15" s="1"/>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31" i="14" s="1"/>
  <c r="D63" i="14"/>
  <c r="E68" i="14"/>
  <c r="E70" i="14"/>
  <c r="E72" i="14"/>
  <c r="E74" i="14"/>
  <c r="E76" i="14"/>
  <c r="E78" i="14"/>
  <c r="E80" i="14"/>
  <c r="E82" i="14"/>
  <c r="E84" i="14"/>
  <c r="E86" i="14"/>
  <c r="E88" i="14"/>
  <c r="E90" i="14"/>
  <c r="E92" i="14"/>
  <c r="E94" i="14"/>
  <c r="E99" i="14"/>
  <c r="E101" i="14"/>
  <c r="E103" i="14"/>
  <c r="E109" i="14"/>
  <c r="E110" i="14"/>
  <c r="C111" i="14"/>
  <c r="F111" i="14" s="1"/>
  <c r="E112" i="14"/>
  <c r="C113" i="14"/>
  <c r="F113" i="14" s="1"/>
  <c r="E114" i="14"/>
  <c r="C115" i="14"/>
  <c r="E115" i="14"/>
  <c r="D36" i="13"/>
  <c r="D37" i="13"/>
  <c r="D38" i="13"/>
  <c r="D39" i="13"/>
  <c r="D40" i="13"/>
  <c r="D41" i="13"/>
  <c r="D42" i="13"/>
  <c r="D43" i="13"/>
  <c r="D44" i="13"/>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E68" i="12"/>
  <c r="E70" i="12"/>
  <c r="E72" i="12"/>
  <c r="E74" i="12"/>
  <c r="E76" i="12"/>
  <c r="E78" i="12"/>
  <c r="E80" i="12"/>
  <c r="E82" i="12"/>
  <c r="E84" i="12"/>
  <c r="E86" i="12"/>
  <c r="E88" i="12"/>
  <c r="E90" i="12"/>
  <c r="E92" i="12"/>
  <c r="E94" i="12"/>
  <c r="E99" i="12"/>
  <c r="E101" i="12"/>
  <c r="E103" i="12"/>
  <c r="E109" i="12"/>
  <c r="E110" i="12"/>
  <c r="C111" i="12"/>
  <c r="E112" i="12"/>
  <c r="C113" i="12"/>
  <c r="E114" i="12"/>
  <c r="C115" i="12"/>
  <c r="E115" i="12"/>
  <c r="C116" i="12"/>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E68" i="11"/>
  <c r="E70" i="11"/>
  <c r="E72" i="11"/>
  <c r="E74" i="11"/>
  <c r="E76" i="11"/>
  <c r="E78" i="11"/>
  <c r="E80" i="11"/>
  <c r="E82" i="11"/>
  <c r="E84" i="11"/>
  <c r="E86" i="11"/>
  <c r="E88" i="11"/>
  <c r="E90" i="11"/>
  <c r="E92" i="11"/>
  <c r="E94" i="11"/>
  <c r="E99" i="11"/>
  <c r="E101" i="11"/>
  <c r="E103" i="11"/>
  <c r="E109" i="11"/>
  <c r="E110" i="11"/>
  <c r="C111" i="11"/>
  <c r="E112" i="11"/>
  <c r="C113" i="11"/>
  <c r="E114" i="11"/>
  <c r="C115" i="11"/>
  <c r="E115" i="11"/>
  <c r="C116" i="11"/>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E68" i="10"/>
  <c r="E70" i="10"/>
  <c r="E72" i="10"/>
  <c r="E74" i="10"/>
  <c r="E76" i="10"/>
  <c r="E78" i="10"/>
  <c r="E80" i="10"/>
  <c r="E82" i="10"/>
  <c r="E84" i="10"/>
  <c r="E86" i="10"/>
  <c r="E88" i="10"/>
  <c r="E90" i="10"/>
  <c r="E92" i="10"/>
  <c r="E94" i="10"/>
  <c r="E99" i="10"/>
  <c r="E101" i="10"/>
  <c r="E103" i="10"/>
  <c r="D109" i="10"/>
  <c r="C110" i="10"/>
  <c r="E111" i="10"/>
  <c r="C112" i="10"/>
  <c r="E113" i="10"/>
  <c r="C114" i="10"/>
  <c r="D115" i="10"/>
  <c r="D117" i="10"/>
  <c r="F117" i="10" s="1"/>
  <c r="E120" i="10"/>
  <c r="F120" i="10" s="1"/>
  <c r="C116" i="9"/>
  <c r="E115" i="9"/>
  <c r="C115" i="9"/>
  <c r="E114" i="9"/>
  <c r="C113" i="9"/>
  <c r="E112" i="9"/>
  <c r="C111" i="9"/>
  <c r="E110" i="9"/>
  <c r="E120" i="9"/>
  <c r="F120" i="9" s="1"/>
  <c r="D117" i="9"/>
  <c r="F117" i="9" s="1"/>
  <c r="D115" i="9"/>
  <c r="C114" i="9"/>
  <c r="F114" i="9" s="1"/>
  <c r="E113" i="9"/>
  <c r="C112" i="9"/>
  <c r="F112" i="9" s="1"/>
  <c r="E111" i="9"/>
  <c r="C110" i="9"/>
  <c r="F110" i="9" s="1"/>
  <c r="D109" i="9"/>
  <c r="D118" i="9" s="1"/>
  <c r="D36" i="9"/>
  <c r="D67" i="9" s="1"/>
  <c r="D37" i="9"/>
  <c r="D38" i="9"/>
  <c r="D39" i="9"/>
  <c r="D40" i="9"/>
  <c r="D41" i="9"/>
  <c r="D42" i="9"/>
  <c r="D43" i="9"/>
  <c r="D44" i="9"/>
  <c r="D45" i="9"/>
  <c r="D46" i="9"/>
  <c r="D47" i="9"/>
  <c r="D48" i="9"/>
  <c r="D49" i="9"/>
  <c r="D50" i="9"/>
  <c r="D51" i="9"/>
  <c r="D52" i="9"/>
  <c r="D53" i="9"/>
  <c r="D54" i="9"/>
  <c r="D55" i="9"/>
  <c r="D56" i="9"/>
  <c r="D57" i="9"/>
  <c r="D58" i="9"/>
  <c r="D59" i="9"/>
  <c r="D60" i="9"/>
  <c r="D61" i="9"/>
  <c r="D62" i="9"/>
  <c r="D63" i="9"/>
  <c r="E68" i="9"/>
  <c r="E70" i="9"/>
  <c r="E72" i="9"/>
  <c r="E74" i="9"/>
  <c r="E76" i="9"/>
  <c r="E78" i="9"/>
  <c r="E80" i="9"/>
  <c r="E82" i="9"/>
  <c r="E84" i="9"/>
  <c r="E86" i="9"/>
  <c r="E88" i="9"/>
  <c r="E90" i="9"/>
  <c r="E92" i="9"/>
  <c r="E94" i="9"/>
  <c r="E99" i="9"/>
  <c r="E101" i="9"/>
  <c r="E103" i="9"/>
  <c r="F103" i="9" s="1"/>
  <c r="E67" i="12"/>
  <c r="E69" i="12"/>
  <c r="E71" i="12"/>
  <c r="E73" i="12"/>
  <c r="E75" i="12"/>
  <c r="E77" i="12"/>
  <c r="E79" i="12"/>
  <c r="E81" i="12"/>
  <c r="E83" i="12"/>
  <c r="E85" i="12"/>
  <c r="E87" i="12"/>
  <c r="E89" i="12"/>
  <c r="E91" i="12"/>
  <c r="E93" i="12"/>
  <c r="E98" i="12"/>
  <c r="E100" i="12"/>
  <c r="E102" i="12"/>
  <c r="E104" i="12"/>
  <c r="D109" i="12"/>
  <c r="C110" i="12"/>
  <c r="E111" i="12"/>
  <c r="C112" i="12"/>
  <c r="E113" i="12"/>
  <c r="C114" i="12"/>
  <c r="D115" i="12"/>
  <c r="D117" i="12"/>
  <c r="F117" i="12" s="1"/>
  <c r="E67" i="11"/>
  <c r="E69" i="11"/>
  <c r="E71" i="11"/>
  <c r="E73" i="11"/>
  <c r="E75" i="11"/>
  <c r="E77" i="11"/>
  <c r="E79" i="11"/>
  <c r="E81" i="11"/>
  <c r="E83" i="11"/>
  <c r="E85" i="11"/>
  <c r="E87" i="11"/>
  <c r="E89" i="11"/>
  <c r="E91" i="11"/>
  <c r="E93" i="11"/>
  <c r="E98" i="11"/>
  <c r="E100" i="11"/>
  <c r="E102" i="11"/>
  <c r="E104" i="11"/>
  <c r="D109" i="11"/>
  <c r="C110" i="11"/>
  <c r="E111" i="11"/>
  <c r="C112" i="11"/>
  <c r="E113" i="11"/>
  <c r="C114" i="11"/>
  <c r="D115" i="11"/>
  <c r="D117" i="11"/>
  <c r="F117" i="11" s="1"/>
  <c r="E67" i="10"/>
  <c r="E69" i="10"/>
  <c r="E71" i="10"/>
  <c r="E73" i="10"/>
  <c r="E75" i="10"/>
  <c r="E77" i="10"/>
  <c r="E79" i="10"/>
  <c r="E81" i="10"/>
  <c r="E83" i="10"/>
  <c r="E85" i="10"/>
  <c r="E87" i="10"/>
  <c r="E89" i="10"/>
  <c r="E91" i="10"/>
  <c r="E93" i="10"/>
  <c r="E98" i="10"/>
  <c r="E100" i="10"/>
  <c r="E102" i="10"/>
  <c r="E104" i="10"/>
  <c r="E109" i="10"/>
  <c r="E110" i="10"/>
  <c r="C111" i="10"/>
  <c r="F111" i="10" s="1"/>
  <c r="E112" i="10"/>
  <c r="C113" i="10"/>
  <c r="F113" i="10" s="1"/>
  <c r="E114" i="10"/>
  <c r="C115" i="10"/>
  <c r="E115" i="10"/>
  <c r="E67" i="9"/>
  <c r="E69" i="9"/>
  <c r="E71" i="9"/>
  <c r="E73" i="9"/>
  <c r="E75" i="9"/>
  <c r="E77" i="9"/>
  <c r="E79" i="9"/>
  <c r="E81" i="9"/>
  <c r="E83" i="9"/>
  <c r="E85" i="9"/>
  <c r="E87" i="9"/>
  <c r="E89" i="9"/>
  <c r="E91" i="9"/>
  <c r="E93" i="9"/>
  <c r="E98" i="9"/>
  <c r="E100" i="9"/>
  <c r="E102" i="9"/>
  <c r="E104" i="9"/>
  <c r="E109" i="9"/>
  <c r="D36" i="8"/>
  <c r="D37" i="8"/>
  <c r="D68" i="8" s="1"/>
  <c r="D38" i="8"/>
  <c r="D39" i="8"/>
  <c r="D40" i="8"/>
  <c r="D41" i="8"/>
  <c r="D42" i="8"/>
  <c r="D43" i="8"/>
  <c r="D44" i="8"/>
  <c r="D45" i="8"/>
  <c r="D46" i="8"/>
  <c r="D47" i="8"/>
  <c r="D48" i="8"/>
  <c r="D49" i="8"/>
  <c r="D50" i="8"/>
  <c r="D51" i="8"/>
  <c r="D52" i="8"/>
  <c r="D53" i="8"/>
  <c r="D54" i="8"/>
  <c r="D55" i="8"/>
  <c r="D56" i="8"/>
  <c r="D57" i="8"/>
  <c r="D58" i="8"/>
  <c r="D59" i="8"/>
  <c r="D60" i="8"/>
  <c r="D61" i="8"/>
  <c r="D62" i="8"/>
  <c r="D63" i="8"/>
  <c r="E68" i="8"/>
  <c r="E70" i="8"/>
  <c r="E72" i="8"/>
  <c r="E74" i="8"/>
  <c r="E76" i="8"/>
  <c r="E78" i="8"/>
  <c r="E80" i="8"/>
  <c r="E82" i="8"/>
  <c r="E84" i="8"/>
  <c r="E86" i="8"/>
  <c r="E88" i="8"/>
  <c r="E90" i="8"/>
  <c r="E92" i="8"/>
  <c r="E94" i="8"/>
  <c r="E99" i="8"/>
  <c r="E101" i="8"/>
  <c r="E103" i="8"/>
  <c r="E109" i="8"/>
  <c r="E110" i="8"/>
  <c r="C111" i="8"/>
  <c r="E112" i="8"/>
  <c r="C113" i="8"/>
  <c r="E114" i="8"/>
  <c r="C115" i="8"/>
  <c r="E115" i="8"/>
  <c r="C116" i="8"/>
  <c r="D36" i="7"/>
  <c r="D67" i="7" s="1"/>
  <c r="D37" i="7"/>
  <c r="D38" i="7"/>
  <c r="D69" i="7" s="1"/>
  <c r="D39" i="7"/>
  <c r="D40" i="7"/>
  <c r="D41" i="7"/>
  <c r="D42" i="7"/>
  <c r="D43" i="7"/>
  <c r="D44" i="7"/>
  <c r="D45" i="7"/>
  <c r="D46" i="7"/>
  <c r="D47" i="7"/>
  <c r="D48" i="7"/>
  <c r="D49" i="7"/>
  <c r="D50" i="7"/>
  <c r="D51" i="7"/>
  <c r="D52" i="7"/>
  <c r="D53" i="7"/>
  <c r="D54" i="7"/>
  <c r="D55" i="7"/>
  <c r="D56" i="7"/>
  <c r="D57" i="7"/>
  <c r="D58" i="7"/>
  <c r="D59" i="7"/>
  <c r="D60" i="7"/>
  <c r="D61" i="7"/>
  <c r="D62" i="7"/>
  <c r="D63" i="7"/>
  <c r="E68" i="7"/>
  <c r="E70" i="7"/>
  <c r="E72" i="7"/>
  <c r="E74" i="7"/>
  <c r="E76" i="7"/>
  <c r="E78" i="7"/>
  <c r="E80" i="7"/>
  <c r="E82" i="7"/>
  <c r="E84" i="7"/>
  <c r="E86" i="7"/>
  <c r="E88" i="7"/>
  <c r="E90" i="7"/>
  <c r="E92" i="7"/>
  <c r="E94" i="7"/>
  <c r="E99" i="7"/>
  <c r="E101" i="7"/>
  <c r="E103" i="7"/>
  <c r="E109" i="7"/>
  <c r="E110" i="7"/>
  <c r="C111" i="7"/>
  <c r="E112" i="7"/>
  <c r="C113" i="7"/>
  <c r="C115" i="7"/>
  <c r="E64" i="6"/>
  <c r="E67" i="8"/>
  <c r="E69" i="8"/>
  <c r="E71" i="8"/>
  <c r="E73" i="8"/>
  <c r="E75" i="8"/>
  <c r="E77" i="8"/>
  <c r="E79" i="8"/>
  <c r="E81" i="8"/>
  <c r="E83" i="8"/>
  <c r="E85" i="8"/>
  <c r="E87" i="8"/>
  <c r="E89" i="8"/>
  <c r="E91" i="8"/>
  <c r="E93" i="8"/>
  <c r="E98" i="8"/>
  <c r="E100" i="8"/>
  <c r="E102" i="8"/>
  <c r="E104" i="8"/>
  <c r="D109" i="8"/>
  <c r="C110" i="8"/>
  <c r="E111" i="8"/>
  <c r="C112" i="8"/>
  <c r="E113" i="8"/>
  <c r="C114" i="8"/>
  <c r="D115" i="8"/>
  <c r="D117" i="8"/>
  <c r="F117" i="8" s="1"/>
  <c r="E120" i="7"/>
  <c r="F120" i="7" s="1"/>
  <c r="D117" i="7"/>
  <c r="F117" i="7" s="1"/>
  <c r="D115" i="7"/>
  <c r="C114" i="7"/>
  <c r="E67" i="7"/>
  <c r="E69" i="7"/>
  <c r="E71" i="7"/>
  <c r="E73" i="7"/>
  <c r="E75" i="7"/>
  <c r="E77" i="7"/>
  <c r="E79" i="7"/>
  <c r="E81" i="7"/>
  <c r="E83" i="7"/>
  <c r="E85" i="7"/>
  <c r="E87" i="7"/>
  <c r="E89" i="7"/>
  <c r="E91" i="7"/>
  <c r="E93" i="7"/>
  <c r="E98" i="7"/>
  <c r="E100" i="7"/>
  <c r="E102" i="7"/>
  <c r="E104" i="7"/>
  <c r="D109" i="7"/>
  <c r="D118" i="7" s="1"/>
  <c r="C110" i="7"/>
  <c r="E111" i="7"/>
  <c r="C112" i="7"/>
  <c r="E113" i="7"/>
  <c r="E114" i="7"/>
  <c r="E115" i="7"/>
  <c r="D68" i="4"/>
  <c r="F68" i="4" s="1"/>
  <c r="D6" i="4"/>
  <c r="D70" i="4"/>
  <c r="F70" i="4" s="1"/>
  <c r="D8" i="4"/>
  <c r="D72" i="4"/>
  <c r="F72" i="4" s="1"/>
  <c r="D10" i="4"/>
  <c r="D74" i="4"/>
  <c r="F74" i="4" s="1"/>
  <c r="D12" i="4"/>
  <c r="D76" i="4"/>
  <c r="F76" i="4" s="1"/>
  <c r="D14" i="4"/>
  <c r="D78" i="4"/>
  <c r="F78" i="4" s="1"/>
  <c r="D16" i="4"/>
  <c r="D80" i="4"/>
  <c r="F80" i="4" s="1"/>
  <c r="D18" i="4"/>
  <c r="D82" i="4"/>
  <c r="F82" i="4" s="1"/>
  <c r="D20" i="4"/>
  <c r="D84" i="4"/>
  <c r="F84" i="4" s="1"/>
  <c r="D22" i="4"/>
  <c r="D86" i="4"/>
  <c r="F86" i="4" s="1"/>
  <c r="D24" i="4"/>
  <c r="D88" i="4"/>
  <c r="F88" i="4" s="1"/>
  <c r="D26" i="4"/>
  <c r="D90" i="4"/>
  <c r="F90" i="4" s="1"/>
  <c r="D28" i="4"/>
  <c r="D92" i="4"/>
  <c r="F92" i="4" s="1"/>
  <c r="D30" i="4"/>
  <c r="D94" i="4"/>
  <c r="F94" i="4" s="1"/>
  <c r="D32" i="4"/>
  <c r="C116" i="6"/>
  <c r="E115" i="6"/>
  <c r="C115" i="6"/>
  <c r="E114" i="6"/>
  <c r="C113" i="6"/>
  <c r="F113" i="6" s="1"/>
  <c r="E112" i="6"/>
  <c r="F112" i="6" s="1"/>
  <c r="C111" i="6"/>
  <c r="E110" i="6"/>
  <c r="E109" i="6"/>
  <c r="E103" i="6"/>
  <c r="E101" i="6"/>
  <c r="E99" i="6"/>
  <c r="E94" i="6"/>
  <c r="E92" i="6"/>
  <c r="E90" i="6"/>
  <c r="E88" i="6"/>
  <c r="E86" i="6"/>
  <c r="E84" i="6"/>
  <c r="E82" i="6"/>
  <c r="E80" i="6"/>
  <c r="E78" i="6"/>
  <c r="E76"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E68" i="6"/>
  <c r="E70" i="6"/>
  <c r="E72" i="6"/>
  <c r="E74" i="6"/>
  <c r="E77" i="6"/>
  <c r="E81" i="6"/>
  <c r="E85" i="6"/>
  <c r="E89" i="6"/>
  <c r="E93" i="6"/>
  <c r="E100" i="6"/>
  <c r="E104" i="6"/>
  <c r="C110" i="6"/>
  <c r="F110" i="6" s="1"/>
  <c r="E111" i="6"/>
  <c r="C114" i="6"/>
  <c r="F114" i="6" s="1"/>
  <c r="D115" i="6"/>
  <c r="D118" i="6" s="1"/>
  <c r="D64" i="4"/>
  <c r="F38" i="4"/>
  <c r="F40" i="4"/>
  <c r="F42" i="4"/>
  <c r="F44" i="4"/>
  <c r="F46" i="4"/>
  <c r="F48" i="4"/>
  <c r="F50" i="4"/>
  <c r="F52" i="4"/>
  <c r="F54" i="4"/>
  <c r="F56" i="4"/>
  <c r="F58" i="4"/>
  <c r="F60" i="4"/>
  <c r="F62" i="4"/>
  <c r="E67" i="4"/>
  <c r="E69" i="4"/>
  <c r="E71" i="4"/>
  <c r="E73" i="4"/>
  <c r="E75" i="4"/>
  <c r="E77" i="4"/>
  <c r="E79" i="4"/>
  <c r="E81" i="4"/>
  <c r="E83" i="4"/>
  <c r="E85" i="4"/>
  <c r="E87" i="4"/>
  <c r="E89" i="4"/>
  <c r="E91" i="4"/>
  <c r="E93" i="4"/>
  <c r="E98" i="4"/>
  <c r="E100" i="4"/>
  <c r="E102" i="4"/>
  <c r="E104" i="4"/>
  <c r="D109" i="4"/>
  <c r="C110" i="4"/>
  <c r="F110" i="4" s="1"/>
  <c r="E111" i="4"/>
  <c r="F111" i="4" s="1"/>
  <c r="C112" i="4"/>
  <c r="F112" i="4" s="1"/>
  <c r="E113" i="4"/>
  <c r="F113" i="4" s="1"/>
  <c r="C114" i="4"/>
  <c r="F114" i="4" s="1"/>
  <c r="D115" i="4"/>
  <c r="F115" i="4" s="1"/>
  <c r="D117" i="4"/>
  <c r="F117" i="4" s="1"/>
  <c r="E67" i="59"/>
  <c r="E69" i="59"/>
  <c r="E71" i="59"/>
  <c r="E73" i="59"/>
  <c r="E75" i="59"/>
  <c r="E77" i="59"/>
  <c r="E79" i="59"/>
  <c r="E81" i="59"/>
  <c r="E83" i="59"/>
  <c r="E85" i="59"/>
  <c r="E87" i="59"/>
  <c r="E89" i="59"/>
  <c r="E91" i="59"/>
  <c r="E93" i="59"/>
  <c r="E98" i="59"/>
  <c r="E100" i="59"/>
  <c r="E102" i="59"/>
  <c r="E104" i="59"/>
  <c r="D109" i="59"/>
  <c r="C110" i="59"/>
  <c r="E111" i="59"/>
  <c r="C112" i="59"/>
  <c r="C116" i="59"/>
  <c r="E115" i="59"/>
  <c r="C115" i="59"/>
  <c r="E114" i="59"/>
  <c r="E120" i="59"/>
  <c r="F120" i="59" s="1"/>
  <c r="D117" i="59"/>
  <c r="F117" i="59" s="1"/>
  <c r="D115" i="59"/>
  <c r="C114" i="59"/>
  <c r="F114" i="59" s="1"/>
  <c r="E113" i="59"/>
  <c r="F113" i="59" s="1"/>
  <c r="D36" i="59"/>
  <c r="D37" i="59"/>
  <c r="F37" i="59" s="1"/>
  <c r="D38" i="59"/>
  <c r="D39" i="59"/>
  <c r="D40" i="59"/>
  <c r="D41" i="59"/>
  <c r="D42" i="59"/>
  <c r="D43" i="59"/>
  <c r="D44" i="59"/>
  <c r="D45" i="59"/>
  <c r="D46" i="59"/>
  <c r="D47" i="59"/>
  <c r="D48" i="59"/>
  <c r="D49" i="59"/>
  <c r="D50" i="59"/>
  <c r="D51" i="59"/>
  <c r="D52" i="59"/>
  <c r="D53" i="59"/>
  <c r="D54" i="59"/>
  <c r="D55" i="59"/>
  <c r="D56" i="59"/>
  <c r="D57" i="59"/>
  <c r="D58" i="59"/>
  <c r="D59" i="59"/>
  <c r="D60" i="59"/>
  <c r="D61" i="59"/>
  <c r="D62" i="59"/>
  <c r="D63" i="59"/>
  <c r="E68" i="59"/>
  <c r="E70" i="59"/>
  <c r="E72" i="59"/>
  <c r="E74" i="59"/>
  <c r="E76" i="59"/>
  <c r="E78" i="59"/>
  <c r="E80" i="59"/>
  <c r="E82" i="59"/>
  <c r="E84" i="59"/>
  <c r="E86" i="59"/>
  <c r="E88" i="59"/>
  <c r="E90" i="59"/>
  <c r="E92" i="59"/>
  <c r="E94" i="59"/>
  <c r="E99" i="59"/>
  <c r="E101" i="59"/>
  <c r="E103" i="59"/>
  <c r="E109" i="59"/>
  <c r="E110" i="59"/>
  <c r="C111" i="59"/>
  <c r="F111" i="59" s="1"/>
  <c r="E112" i="59"/>
  <c r="E67" i="1"/>
  <c r="E69" i="1"/>
  <c r="E71" i="1"/>
  <c r="E73" i="1"/>
  <c r="E75" i="1"/>
  <c r="E77" i="1"/>
  <c r="E79" i="1"/>
  <c r="E81" i="1"/>
  <c r="E83" i="1"/>
  <c r="E85" i="1"/>
  <c r="E87" i="1"/>
  <c r="E89" i="1"/>
  <c r="E91" i="1"/>
  <c r="E93" i="1"/>
  <c r="E98" i="1"/>
  <c r="E100" i="1"/>
  <c r="E102" i="1"/>
  <c r="E104" i="1"/>
  <c r="D109" i="1"/>
  <c r="C110" i="1"/>
  <c r="E111" i="1"/>
  <c r="C112" i="1"/>
  <c r="E113" i="1"/>
  <c r="C114" i="1"/>
  <c r="D115" i="1"/>
  <c r="D117" i="1"/>
  <c r="F117" i="1" s="1"/>
  <c r="E120" i="1"/>
  <c r="F120" i="1" s="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E68" i="1"/>
  <c r="E70" i="1"/>
  <c r="E72" i="1"/>
  <c r="E74" i="1"/>
  <c r="E76" i="1"/>
  <c r="E78" i="1"/>
  <c r="E80" i="1"/>
  <c r="E82" i="1"/>
  <c r="E84" i="1"/>
  <c r="E86" i="1"/>
  <c r="E88" i="1"/>
  <c r="E90" i="1"/>
  <c r="E92" i="1"/>
  <c r="E94" i="1"/>
  <c r="E99" i="1"/>
  <c r="E101" i="1"/>
  <c r="E103" i="1"/>
  <c r="E109" i="1"/>
  <c r="E110" i="1"/>
  <c r="C111" i="1"/>
  <c r="F111" i="1" s="1"/>
  <c r="E112" i="1"/>
  <c r="C113" i="1"/>
  <c r="F113" i="1" s="1"/>
  <c r="E114" i="1"/>
  <c r="C115" i="1"/>
  <c r="E115" i="1"/>
  <c r="E67" i="3"/>
  <c r="E69" i="3"/>
  <c r="E71" i="3"/>
  <c r="E73" i="3"/>
  <c r="E75" i="3"/>
  <c r="E77" i="3"/>
  <c r="E79" i="3"/>
  <c r="E81" i="3"/>
  <c r="E83" i="3"/>
  <c r="E85" i="3"/>
  <c r="E87" i="3"/>
  <c r="E89" i="3"/>
  <c r="E91" i="3"/>
  <c r="E93" i="3"/>
  <c r="E98" i="3"/>
  <c r="E99" i="3"/>
  <c r="E100" i="3"/>
  <c r="E101" i="3"/>
  <c r="E103" i="3"/>
  <c r="E104" i="3"/>
  <c r="E109" i="3"/>
  <c r="E110" i="3"/>
  <c r="C111" i="3"/>
  <c r="E112" i="3"/>
  <c r="C113" i="3"/>
  <c r="E114" i="3"/>
  <c r="C115" i="3"/>
  <c r="E115" i="3"/>
  <c r="C116"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E68" i="3"/>
  <c r="E70" i="3"/>
  <c r="E72" i="3"/>
  <c r="E74" i="3"/>
  <c r="E76" i="3"/>
  <c r="E78" i="3"/>
  <c r="E80" i="3"/>
  <c r="E82" i="3"/>
  <c r="E84" i="3"/>
  <c r="E86" i="3"/>
  <c r="E88" i="3"/>
  <c r="E90" i="3"/>
  <c r="E92" i="3"/>
  <c r="E94" i="3"/>
  <c r="E102" i="3"/>
  <c r="D109" i="3"/>
  <c r="C110" i="3"/>
  <c r="F110" i="3" s="1"/>
  <c r="E111" i="3"/>
  <c r="C112" i="3"/>
  <c r="F112" i="3" s="1"/>
  <c r="E113" i="3"/>
  <c r="C114" i="3"/>
  <c r="F114" i="3" s="1"/>
  <c r="D115" i="3"/>
  <c r="D117" i="3"/>
  <c r="F117" i="3" s="1"/>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E67" i="5"/>
  <c r="E70" i="5"/>
  <c r="E71" i="5"/>
  <c r="E74" i="5"/>
  <c r="E75" i="5"/>
  <c r="E78" i="5"/>
  <c r="E79" i="5"/>
  <c r="E82" i="5"/>
  <c r="E83" i="5"/>
  <c r="E86" i="5"/>
  <c r="E87" i="5"/>
  <c r="E90" i="5"/>
  <c r="E91" i="5"/>
  <c r="E94" i="5"/>
  <c r="E102" i="5"/>
  <c r="D109" i="5"/>
  <c r="C110" i="5"/>
  <c r="E111" i="5"/>
  <c r="C112" i="5"/>
  <c r="E113" i="5"/>
  <c r="C114" i="5"/>
  <c r="D115" i="5"/>
  <c r="D117" i="5"/>
  <c r="F117" i="5" s="1"/>
  <c r="E120" i="5"/>
  <c r="F120" i="5" s="1"/>
  <c r="E68" i="5"/>
  <c r="E69" i="5"/>
  <c r="E72" i="5"/>
  <c r="E73" i="5"/>
  <c r="E76" i="5"/>
  <c r="E77" i="5"/>
  <c r="E80" i="5"/>
  <c r="E81" i="5"/>
  <c r="E84" i="5"/>
  <c r="E85" i="5"/>
  <c r="E88" i="5"/>
  <c r="E89" i="5"/>
  <c r="E92" i="5"/>
  <c r="E93" i="5"/>
  <c r="E98" i="5"/>
  <c r="E99" i="5"/>
  <c r="E100" i="5"/>
  <c r="E101" i="5"/>
  <c r="E103" i="5"/>
  <c r="E104" i="5"/>
  <c r="E109" i="5"/>
  <c r="E110" i="5"/>
  <c r="C111" i="5"/>
  <c r="E112" i="5"/>
  <c r="C113" i="5"/>
  <c r="E114" i="5"/>
  <c r="C115" i="5"/>
  <c r="E115" i="5"/>
  <c r="E67" i="18"/>
  <c r="E68" i="18"/>
  <c r="E71" i="18"/>
  <c r="E72" i="18"/>
  <c r="E75" i="18"/>
  <c r="E76" i="18"/>
  <c r="E79" i="18"/>
  <c r="E80" i="18"/>
  <c r="E83" i="18"/>
  <c r="E84" i="18"/>
  <c r="E87" i="18"/>
  <c r="E88" i="18"/>
  <c r="E91" i="18"/>
  <c r="E92" i="18"/>
  <c r="E98" i="18"/>
  <c r="E99" i="18"/>
  <c r="E100" i="18"/>
  <c r="E101" i="18"/>
  <c r="E103" i="18"/>
  <c r="E104" i="18"/>
  <c r="E109" i="18"/>
  <c r="E110" i="18"/>
  <c r="C111" i="18"/>
  <c r="E112" i="18"/>
  <c r="C113" i="18"/>
  <c r="E114" i="18"/>
  <c r="C115" i="18"/>
  <c r="E115" i="18"/>
  <c r="C116" i="18"/>
  <c r="D36" i="18"/>
  <c r="D5" i="18" s="1"/>
  <c r="D37" i="18"/>
  <c r="D38" i="18"/>
  <c r="D7" i="18" s="1"/>
  <c r="D39" i="18"/>
  <c r="D40" i="18"/>
  <c r="D71" i="18" s="1"/>
  <c r="D41" i="18"/>
  <c r="D42" i="18"/>
  <c r="D11" i="18" s="1"/>
  <c r="D43" i="18"/>
  <c r="D44" i="18"/>
  <c r="D13" i="18" s="1"/>
  <c r="D45" i="18"/>
  <c r="D46" i="18"/>
  <c r="D15" i="18" s="1"/>
  <c r="D47" i="18"/>
  <c r="D48" i="18"/>
  <c r="D79" i="18" s="1"/>
  <c r="D49" i="18"/>
  <c r="D50" i="18"/>
  <c r="D19" i="18" s="1"/>
  <c r="D51" i="18"/>
  <c r="D52" i="18"/>
  <c r="D21" i="18" s="1"/>
  <c r="D53" i="18"/>
  <c r="D54" i="18"/>
  <c r="D23" i="18" s="1"/>
  <c r="D55" i="18"/>
  <c r="D56" i="18"/>
  <c r="D87" i="18" s="1"/>
  <c r="D57" i="18"/>
  <c r="D58" i="18"/>
  <c r="D27" i="18" s="1"/>
  <c r="D59" i="18"/>
  <c r="D60" i="18"/>
  <c r="D29" i="18" s="1"/>
  <c r="D61" i="18"/>
  <c r="D62" i="18"/>
  <c r="D31" i="18" s="1"/>
  <c r="D63" i="18"/>
  <c r="E69" i="18"/>
  <c r="E70" i="18"/>
  <c r="E73" i="18"/>
  <c r="E74" i="18"/>
  <c r="E77" i="18"/>
  <c r="E78" i="18"/>
  <c r="E81" i="18"/>
  <c r="E82" i="18"/>
  <c r="E85" i="18"/>
  <c r="E86" i="18"/>
  <c r="E89" i="18"/>
  <c r="E90" i="18"/>
  <c r="E93" i="18"/>
  <c r="E94" i="18"/>
  <c r="E102" i="18"/>
  <c r="D109" i="18"/>
  <c r="C110" i="18"/>
  <c r="F110" i="18" s="1"/>
  <c r="E111" i="18"/>
  <c r="C112" i="18"/>
  <c r="F112" i="18" s="1"/>
  <c r="E113" i="18"/>
  <c r="C114" i="18"/>
  <c r="F114" i="18" s="1"/>
  <c r="D115" i="18"/>
  <c r="D117" i="18"/>
  <c r="F117" i="18" s="1"/>
  <c r="F120" i="20"/>
  <c r="E37" i="60"/>
  <c r="E41" i="60"/>
  <c r="E45" i="60"/>
  <c r="E49" i="60"/>
  <c r="E51" i="60"/>
  <c r="E53" i="60"/>
  <c r="E57" i="60"/>
  <c r="E59" i="60"/>
  <c r="E61" i="60"/>
  <c r="E63" i="60"/>
  <c r="E67" i="20"/>
  <c r="E68" i="20"/>
  <c r="E68" i="60" s="1"/>
  <c r="E71" i="20"/>
  <c r="E72" i="20"/>
  <c r="E72" i="60" s="1"/>
  <c r="E75" i="20"/>
  <c r="E76" i="20"/>
  <c r="E76" i="60" s="1"/>
  <c r="E79" i="20"/>
  <c r="E80" i="20"/>
  <c r="E80" i="60" s="1"/>
  <c r="E83" i="20"/>
  <c r="E84" i="20"/>
  <c r="E84" i="60" s="1"/>
  <c r="E87" i="20"/>
  <c r="E88" i="20"/>
  <c r="E88" i="60" s="1"/>
  <c r="E91" i="20"/>
  <c r="E92" i="20"/>
  <c r="E92" i="60" s="1"/>
  <c r="E98" i="20"/>
  <c r="E99" i="20"/>
  <c r="E100" i="20"/>
  <c r="E101" i="20"/>
  <c r="E103" i="20"/>
  <c r="E104" i="20"/>
  <c r="E109" i="20"/>
  <c r="E110" i="20"/>
  <c r="E110" i="60" s="1"/>
  <c r="C111" i="20"/>
  <c r="E112" i="20"/>
  <c r="E112" i="60" s="1"/>
  <c r="C113" i="20"/>
  <c r="E114" i="20"/>
  <c r="E114" i="60" s="1"/>
  <c r="C115" i="20"/>
  <c r="E115" i="20"/>
  <c r="E115" i="60" s="1"/>
  <c r="C116" i="20"/>
  <c r="D36" i="20"/>
  <c r="F36" i="20" s="1"/>
  <c r="D37" i="20"/>
  <c r="D38" i="20"/>
  <c r="D7" i="20" s="1"/>
  <c r="D39" i="20"/>
  <c r="D40" i="20"/>
  <c r="D9" i="20" s="1"/>
  <c r="D41" i="20"/>
  <c r="D42" i="20"/>
  <c r="D11" i="20" s="1"/>
  <c r="D43" i="20"/>
  <c r="D44" i="20"/>
  <c r="D75" i="20" s="1"/>
  <c r="D45" i="20"/>
  <c r="D46" i="20"/>
  <c r="D15" i="20" s="1"/>
  <c r="D47" i="20"/>
  <c r="D48" i="20"/>
  <c r="D17" i="20" s="1"/>
  <c r="D49" i="20"/>
  <c r="D50" i="20"/>
  <c r="D19" i="20" s="1"/>
  <c r="D51" i="20"/>
  <c r="D52" i="20"/>
  <c r="D83" i="20" s="1"/>
  <c r="D53" i="20"/>
  <c r="D54" i="20"/>
  <c r="D23" i="20" s="1"/>
  <c r="D55" i="20"/>
  <c r="D56" i="20"/>
  <c r="D25" i="20" s="1"/>
  <c r="D57" i="20"/>
  <c r="D58" i="20"/>
  <c r="D27" i="20" s="1"/>
  <c r="D59" i="20"/>
  <c r="D60" i="20"/>
  <c r="D91" i="20" s="1"/>
  <c r="D61" i="20"/>
  <c r="D62" i="20"/>
  <c r="D31" i="20" s="1"/>
  <c r="D63" i="20"/>
  <c r="E69" i="20"/>
  <c r="E69" i="60" s="1"/>
  <c r="E70" i="20"/>
  <c r="E73" i="20"/>
  <c r="E73" i="60" s="1"/>
  <c r="E74" i="20"/>
  <c r="E77" i="20"/>
  <c r="E77" i="60" s="1"/>
  <c r="E78" i="20"/>
  <c r="E81" i="20"/>
  <c r="E81" i="60" s="1"/>
  <c r="E82" i="20"/>
  <c r="E85" i="20"/>
  <c r="E85" i="60" s="1"/>
  <c r="E86" i="20"/>
  <c r="E89" i="20"/>
  <c r="E89" i="60" s="1"/>
  <c r="E90" i="20"/>
  <c r="E93" i="20"/>
  <c r="E93" i="60" s="1"/>
  <c r="E94" i="20"/>
  <c r="E102" i="20"/>
  <c r="F102" i="20" s="1"/>
  <c r="D109" i="20"/>
  <c r="C110" i="20"/>
  <c r="E111" i="20"/>
  <c r="C112" i="20"/>
  <c r="E113" i="20"/>
  <c r="C114" i="20"/>
  <c r="D115" i="20"/>
  <c r="D117" i="20"/>
  <c r="F67" i="51"/>
  <c r="F67" i="49"/>
  <c r="F67" i="47"/>
  <c r="C118" i="45"/>
  <c r="F109" i="45"/>
  <c r="D6" i="57"/>
  <c r="D8" i="57"/>
  <c r="D10" i="57"/>
  <c r="D12" i="57"/>
  <c r="D14" i="57"/>
  <c r="D16" i="57"/>
  <c r="D18" i="57"/>
  <c r="D20" i="57"/>
  <c r="D22" i="57"/>
  <c r="D24" i="57"/>
  <c r="D26" i="57"/>
  <c r="D28" i="57"/>
  <c r="D30" i="57"/>
  <c r="D32" i="57"/>
  <c r="F36" i="57"/>
  <c r="D68" i="57"/>
  <c r="F68" i="57" s="1"/>
  <c r="D70" i="57"/>
  <c r="F70" i="57" s="1"/>
  <c r="D72" i="57"/>
  <c r="F72" i="57" s="1"/>
  <c r="D74" i="57"/>
  <c r="F74" i="57" s="1"/>
  <c r="D76" i="57"/>
  <c r="F76" i="57" s="1"/>
  <c r="D78" i="57"/>
  <c r="F78" i="57" s="1"/>
  <c r="D80" i="57"/>
  <c r="F80" i="57" s="1"/>
  <c r="D82" i="57"/>
  <c r="F82" i="57" s="1"/>
  <c r="D84" i="57"/>
  <c r="F84" i="57" s="1"/>
  <c r="D86" i="57"/>
  <c r="F86" i="57" s="1"/>
  <c r="D88" i="57"/>
  <c r="F88" i="57" s="1"/>
  <c r="D90" i="57"/>
  <c r="F90" i="57" s="1"/>
  <c r="D92" i="57"/>
  <c r="F92" i="57" s="1"/>
  <c r="D94" i="57"/>
  <c r="F94" i="57" s="1"/>
  <c r="D5" i="56"/>
  <c r="F37" i="56"/>
  <c r="F39" i="56"/>
  <c r="F41" i="56"/>
  <c r="F43" i="56"/>
  <c r="F45" i="56"/>
  <c r="F47" i="56"/>
  <c r="F49" i="56"/>
  <c r="F51" i="56"/>
  <c r="F53" i="56"/>
  <c r="F55" i="56"/>
  <c r="F57" i="56"/>
  <c r="F59" i="56"/>
  <c r="F61" i="56"/>
  <c r="F63" i="56"/>
  <c r="D67" i="56"/>
  <c r="D69" i="56"/>
  <c r="F69" i="56" s="1"/>
  <c r="D71" i="56"/>
  <c r="F71" i="56" s="1"/>
  <c r="D73" i="56"/>
  <c r="F73" i="56" s="1"/>
  <c r="D75" i="56"/>
  <c r="F75" i="56" s="1"/>
  <c r="D77" i="56"/>
  <c r="F77" i="56" s="1"/>
  <c r="D79" i="56"/>
  <c r="F79" i="56" s="1"/>
  <c r="D81" i="56"/>
  <c r="F81" i="56" s="1"/>
  <c r="D83" i="56"/>
  <c r="F83" i="56" s="1"/>
  <c r="D85" i="56"/>
  <c r="F85" i="56" s="1"/>
  <c r="D87" i="56"/>
  <c r="F87" i="56" s="1"/>
  <c r="D89" i="56"/>
  <c r="F89" i="56" s="1"/>
  <c r="D91" i="56"/>
  <c r="F91" i="56" s="1"/>
  <c r="D93" i="56"/>
  <c r="F93" i="56" s="1"/>
  <c r="D6" i="55"/>
  <c r="F36" i="55"/>
  <c r="F38" i="55"/>
  <c r="F40" i="55"/>
  <c r="F42" i="55"/>
  <c r="F44" i="55"/>
  <c r="F46" i="55"/>
  <c r="F48" i="55"/>
  <c r="F50" i="55"/>
  <c r="F52" i="55"/>
  <c r="F54" i="55"/>
  <c r="F56" i="55"/>
  <c r="F58" i="55"/>
  <c r="F60" i="55"/>
  <c r="F62" i="55"/>
  <c r="D64" i="55"/>
  <c r="D68" i="55"/>
  <c r="F68" i="55" s="1"/>
  <c r="D70" i="55"/>
  <c r="F70" i="55" s="1"/>
  <c r="D72" i="55"/>
  <c r="F72" i="55" s="1"/>
  <c r="D74" i="55"/>
  <c r="F74" i="55" s="1"/>
  <c r="D76" i="55"/>
  <c r="F76" i="55" s="1"/>
  <c r="D78" i="55"/>
  <c r="F78" i="55" s="1"/>
  <c r="D80" i="55"/>
  <c r="F80" i="55" s="1"/>
  <c r="D82" i="55"/>
  <c r="F82" i="55" s="1"/>
  <c r="D84" i="55"/>
  <c r="F84" i="55" s="1"/>
  <c r="D86" i="55"/>
  <c r="F86" i="55" s="1"/>
  <c r="D88" i="55"/>
  <c r="F88" i="55" s="1"/>
  <c r="D90" i="55"/>
  <c r="F90" i="55" s="1"/>
  <c r="D92" i="55"/>
  <c r="F92" i="55" s="1"/>
  <c r="D94" i="55"/>
  <c r="F94" i="55" s="1"/>
  <c r="D5" i="54"/>
  <c r="D7" i="54"/>
  <c r="F37" i="54"/>
  <c r="F39" i="54"/>
  <c r="F41" i="54"/>
  <c r="F43" i="54"/>
  <c r="F45" i="54"/>
  <c r="F47" i="54"/>
  <c r="F49" i="54"/>
  <c r="F51" i="54"/>
  <c r="F53" i="54"/>
  <c r="F55" i="54"/>
  <c r="F57" i="54"/>
  <c r="F59" i="54"/>
  <c r="F61" i="54"/>
  <c r="F63" i="54"/>
  <c r="D67" i="54"/>
  <c r="D69" i="54"/>
  <c r="F69" i="54" s="1"/>
  <c r="D71" i="54"/>
  <c r="F71" i="54" s="1"/>
  <c r="D73" i="54"/>
  <c r="F73" i="54" s="1"/>
  <c r="D75" i="54"/>
  <c r="F75" i="54" s="1"/>
  <c r="D77" i="54"/>
  <c r="F77" i="54" s="1"/>
  <c r="D79" i="54"/>
  <c r="F79" i="54" s="1"/>
  <c r="D81" i="54"/>
  <c r="F81" i="54" s="1"/>
  <c r="D83" i="54"/>
  <c r="F83" i="54" s="1"/>
  <c r="D85" i="54"/>
  <c r="F85" i="54" s="1"/>
  <c r="D87" i="54"/>
  <c r="F87" i="54" s="1"/>
  <c r="D89" i="54"/>
  <c r="F89" i="54" s="1"/>
  <c r="D91" i="54"/>
  <c r="F91" i="54" s="1"/>
  <c r="D93" i="54"/>
  <c r="F93" i="54" s="1"/>
  <c r="D6" i="53"/>
  <c r="D8" i="53"/>
  <c r="F36" i="53"/>
  <c r="F38" i="53"/>
  <c r="F40" i="53"/>
  <c r="F42" i="53"/>
  <c r="F44" i="53"/>
  <c r="F46" i="53"/>
  <c r="F48" i="53"/>
  <c r="F52" i="53"/>
  <c r="F54" i="53"/>
  <c r="F56" i="53"/>
  <c r="F58" i="53"/>
  <c r="F60" i="53"/>
  <c r="F62" i="53"/>
  <c r="D64" i="53"/>
  <c r="D68" i="53"/>
  <c r="F68" i="53" s="1"/>
  <c r="D70" i="53"/>
  <c r="F70" i="53" s="1"/>
  <c r="D72" i="53"/>
  <c r="F72" i="53" s="1"/>
  <c r="D74" i="53"/>
  <c r="F74" i="53" s="1"/>
  <c r="D76" i="53"/>
  <c r="F76" i="53" s="1"/>
  <c r="D78" i="53"/>
  <c r="F78" i="53" s="1"/>
  <c r="D80" i="53"/>
  <c r="F80" i="53" s="1"/>
  <c r="D82" i="53"/>
  <c r="F82" i="53" s="1"/>
  <c r="D84" i="53"/>
  <c r="F84" i="53" s="1"/>
  <c r="D86" i="53"/>
  <c r="F86" i="53" s="1"/>
  <c r="D88" i="53"/>
  <c r="F88" i="53" s="1"/>
  <c r="D90" i="53"/>
  <c r="F90" i="53" s="1"/>
  <c r="D92" i="53"/>
  <c r="F92" i="53" s="1"/>
  <c r="D94" i="53"/>
  <c r="F94" i="53" s="1"/>
  <c r="D5" i="52"/>
  <c r="D7" i="52"/>
  <c r="F37" i="52"/>
  <c r="F39" i="52"/>
  <c r="F41" i="52"/>
  <c r="F43" i="52"/>
  <c r="F45" i="52"/>
  <c r="F47" i="52"/>
  <c r="F49" i="52"/>
  <c r="F51" i="52"/>
  <c r="F53" i="52"/>
  <c r="F57" i="52"/>
  <c r="F59" i="52"/>
  <c r="F61" i="52"/>
  <c r="F63" i="52"/>
  <c r="D67" i="52"/>
  <c r="D69" i="52"/>
  <c r="F69" i="52" s="1"/>
  <c r="D71" i="52"/>
  <c r="F71" i="52" s="1"/>
  <c r="D73" i="52"/>
  <c r="F73" i="52" s="1"/>
  <c r="D75" i="52"/>
  <c r="F75" i="52" s="1"/>
  <c r="D77" i="52"/>
  <c r="F77" i="52" s="1"/>
  <c r="D79" i="52"/>
  <c r="F79" i="52" s="1"/>
  <c r="D81" i="52"/>
  <c r="F81" i="52" s="1"/>
  <c r="D83" i="52"/>
  <c r="F83" i="52" s="1"/>
  <c r="D85" i="52"/>
  <c r="F85" i="52" s="1"/>
  <c r="D87" i="52"/>
  <c r="F87" i="52" s="1"/>
  <c r="D89" i="52"/>
  <c r="F89" i="52" s="1"/>
  <c r="D91" i="52"/>
  <c r="F91" i="52" s="1"/>
  <c r="D93" i="52"/>
  <c r="F93" i="52" s="1"/>
  <c r="D6" i="51"/>
  <c r="D8" i="51"/>
  <c r="F36" i="51"/>
  <c r="F38" i="51"/>
  <c r="F40" i="51"/>
  <c r="F42" i="51"/>
  <c r="F44" i="51"/>
  <c r="F46" i="51"/>
  <c r="F48" i="51"/>
  <c r="F52" i="51"/>
  <c r="F54" i="51"/>
  <c r="F56" i="51"/>
  <c r="F58" i="51"/>
  <c r="F60" i="51"/>
  <c r="F62" i="51"/>
  <c r="D64" i="51"/>
  <c r="D68" i="51"/>
  <c r="F68" i="51" s="1"/>
  <c r="D70" i="51"/>
  <c r="F70" i="51" s="1"/>
  <c r="D72" i="51"/>
  <c r="F72" i="51" s="1"/>
  <c r="D74" i="51"/>
  <c r="F74" i="51" s="1"/>
  <c r="D76" i="51"/>
  <c r="F76" i="51" s="1"/>
  <c r="D78" i="51"/>
  <c r="F78" i="51" s="1"/>
  <c r="D80" i="51"/>
  <c r="F80" i="51" s="1"/>
  <c r="D82" i="51"/>
  <c r="F82" i="51" s="1"/>
  <c r="D84" i="51"/>
  <c r="F84" i="51" s="1"/>
  <c r="D86" i="51"/>
  <c r="F86" i="51" s="1"/>
  <c r="D88" i="51"/>
  <c r="F88" i="51" s="1"/>
  <c r="D90" i="51"/>
  <c r="F90" i="51" s="1"/>
  <c r="D92" i="51"/>
  <c r="F92" i="51" s="1"/>
  <c r="D94" i="51"/>
  <c r="F94" i="51" s="1"/>
  <c r="D5" i="50"/>
  <c r="D7" i="50"/>
  <c r="D9" i="50"/>
  <c r="F37" i="50"/>
  <c r="F39" i="50"/>
  <c r="F41" i="50"/>
  <c r="F43" i="50"/>
  <c r="F45" i="50"/>
  <c r="F47" i="50"/>
  <c r="F49" i="50"/>
  <c r="F51" i="50"/>
  <c r="F53" i="50"/>
  <c r="F55" i="50"/>
  <c r="F57" i="50"/>
  <c r="F59" i="50"/>
  <c r="F61" i="50"/>
  <c r="F63" i="50"/>
  <c r="D67" i="50"/>
  <c r="D69" i="50"/>
  <c r="F69" i="50" s="1"/>
  <c r="D71" i="50"/>
  <c r="F71" i="50" s="1"/>
  <c r="D73" i="50"/>
  <c r="F73" i="50" s="1"/>
  <c r="D75" i="50"/>
  <c r="F75" i="50" s="1"/>
  <c r="D77" i="50"/>
  <c r="F77" i="50" s="1"/>
  <c r="D79" i="50"/>
  <c r="F79" i="50" s="1"/>
  <c r="D81" i="50"/>
  <c r="F81" i="50" s="1"/>
  <c r="D83" i="50"/>
  <c r="F83" i="50" s="1"/>
  <c r="D85" i="50"/>
  <c r="F85" i="50" s="1"/>
  <c r="D87" i="50"/>
  <c r="F87" i="50" s="1"/>
  <c r="D89" i="50"/>
  <c r="F89" i="50" s="1"/>
  <c r="D91" i="50"/>
  <c r="F91" i="50" s="1"/>
  <c r="D93" i="50"/>
  <c r="F93" i="50" s="1"/>
  <c r="D6" i="49"/>
  <c r="D8" i="49"/>
  <c r="D10" i="49"/>
  <c r="F36" i="49"/>
  <c r="F38" i="49"/>
  <c r="F40" i="49"/>
  <c r="F42" i="49"/>
  <c r="F44" i="49"/>
  <c r="F46" i="49"/>
  <c r="F48" i="49"/>
  <c r="F50" i="49"/>
  <c r="F52" i="49"/>
  <c r="F54" i="49"/>
  <c r="F56" i="49"/>
  <c r="F58" i="49"/>
  <c r="F60" i="49"/>
  <c r="F62" i="49"/>
  <c r="D64" i="49"/>
  <c r="D68" i="49"/>
  <c r="F68" i="49" s="1"/>
  <c r="D70" i="49"/>
  <c r="F70" i="49" s="1"/>
  <c r="D72" i="49"/>
  <c r="F72" i="49" s="1"/>
  <c r="D74" i="49"/>
  <c r="F74" i="49" s="1"/>
  <c r="D76" i="49"/>
  <c r="F76" i="49" s="1"/>
  <c r="D78" i="49"/>
  <c r="F78" i="49" s="1"/>
  <c r="D80" i="49"/>
  <c r="F80" i="49" s="1"/>
  <c r="D82" i="49"/>
  <c r="F82" i="49" s="1"/>
  <c r="D84" i="49"/>
  <c r="F84" i="49" s="1"/>
  <c r="D86" i="49"/>
  <c r="F86" i="49" s="1"/>
  <c r="D88" i="49"/>
  <c r="F88" i="49" s="1"/>
  <c r="D90" i="49"/>
  <c r="F90" i="49" s="1"/>
  <c r="D92" i="49"/>
  <c r="F92" i="49" s="1"/>
  <c r="D94" i="49"/>
  <c r="F94" i="49" s="1"/>
  <c r="D5" i="48"/>
  <c r="D7" i="48"/>
  <c r="D9" i="48"/>
  <c r="F37" i="48"/>
  <c r="F39" i="48"/>
  <c r="F41" i="48"/>
  <c r="F43" i="48"/>
  <c r="F45" i="48"/>
  <c r="F47" i="48"/>
  <c r="F49" i="48"/>
  <c r="F51" i="48"/>
  <c r="F53" i="48"/>
  <c r="F57" i="48"/>
  <c r="F59" i="48"/>
  <c r="F61" i="48"/>
  <c r="F63" i="48"/>
  <c r="D67" i="48"/>
  <c r="D69" i="48"/>
  <c r="F69" i="48" s="1"/>
  <c r="D71" i="48"/>
  <c r="F71" i="48" s="1"/>
  <c r="D73" i="48"/>
  <c r="F73" i="48" s="1"/>
  <c r="D75" i="48"/>
  <c r="F75" i="48" s="1"/>
  <c r="D77" i="48"/>
  <c r="F77" i="48" s="1"/>
  <c r="D79" i="48"/>
  <c r="F79" i="48" s="1"/>
  <c r="D81" i="48"/>
  <c r="F81" i="48" s="1"/>
  <c r="D83" i="48"/>
  <c r="F83" i="48" s="1"/>
  <c r="D85" i="48"/>
  <c r="F85" i="48" s="1"/>
  <c r="D87" i="48"/>
  <c r="F87" i="48" s="1"/>
  <c r="D89" i="48"/>
  <c r="F89" i="48" s="1"/>
  <c r="D91" i="48"/>
  <c r="F91" i="48" s="1"/>
  <c r="D93" i="48"/>
  <c r="F93" i="48" s="1"/>
  <c r="D6" i="47"/>
  <c r="D8" i="47"/>
  <c r="D10" i="47"/>
  <c r="F36" i="47"/>
  <c r="F38" i="47"/>
  <c r="F40" i="47"/>
  <c r="F42" i="47"/>
  <c r="F44" i="47"/>
  <c r="F46" i="47"/>
  <c r="F48" i="47"/>
  <c r="F52" i="47"/>
  <c r="F54" i="47"/>
  <c r="F56" i="47"/>
  <c r="F58" i="47"/>
  <c r="F60" i="47"/>
  <c r="F62" i="47"/>
  <c r="D64" i="47"/>
  <c r="D68" i="47"/>
  <c r="F68" i="47" s="1"/>
  <c r="D70" i="47"/>
  <c r="F70" i="47" s="1"/>
  <c r="D72" i="47"/>
  <c r="F72" i="47" s="1"/>
  <c r="D74" i="47"/>
  <c r="F74" i="47" s="1"/>
  <c r="D76" i="47"/>
  <c r="F76" i="47" s="1"/>
  <c r="D78" i="47"/>
  <c r="F78" i="47" s="1"/>
  <c r="D80" i="47"/>
  <c r="F80" i="47" s="1"/>
  <c r="D82" i="47"/>
  <c r="F82" i="47" s="1"/>
  <c r="D84" i="47"/>
  <c r="F84" i="47" s="1"/>
  <c r="D86" i="47"/>
  <c r="F86" i="47" s="1"/>
  <c r="D88" i="47"/>
  <c r="F88" i="47" s="1"/>
  <c r="D90" i="47"/>
  <c r="F90" i="47" s="1"/>
  <c r="D92" i="47"/>
  <c r="F92" i="47" s="1"/>
  <c r="D94" i="47"/>
  <c r="F94" i="47" s="1"/>
  <c r="D5" i="46"/>
  <c r="D7" i="46"/>
  <c r="D9" i="46"/>
  <c r="F37" i="46"/>
  <c r="F39" i="46"/>
  <c r="F41" i="46"/>
  <c r="F43" i="46"/>
  <c r="F45" i="46"/>
  <c r="F47" i="46"/>
  <c r="F49" i="46"/>
  <c r="F51" i="46"/>
  <c r="F53" i="46"/>
  <c r="F55" i="46"/>
  <c r="F57" i="46"/>
  <c r="F59" i="46"/>
  <c r="F61" i="46"/>
  <c r="F63" i="46"/>
  <c r="D67" i="46"/>
  <c r="D69" i="46"/>
  <c r="F69" i="46" s="1"/>
  <c r="D71" i="46"/>
  <c r="F71" i="46" s="1"/>
  <c r="D73" i="46"/>
  <c r="F73" i="46" s="1"/>
  <c r="D75" i="46"/>
  <c r="F75" i="46" s="1"/>
  <c r="D77" i="46"/>
  <c r="F77" i="46" s="1"/>
  <c r="D79" i="46"/>
  <c r="F79" i="46" s="1"/>
  <c r="D81" i="46"/>
  <c r="F81" i="46" s="1"/>
  <c r="D83" i="46"/>
  <c r="F83" i="46" s="1"/>
  <c r="D85" i="46"/>
  <c r="F85" i="46" s="1"/>
  <c r="D87" i="46"/>
  <c r="F87" i="46" s="1"/>
  <c r="D89" i="46"/>
  <c r="F89" i="46" s="1"/>
  <c r="D91" i="46"/>
  <c r="F91" i="46" s="1"/>
  <c r="D93" i="46"/>
  <c r="F93" i="46" s="1"/>
  <c r="D6" i="45"/>
  <c r="D8" i="45"/>
  <c r="D10" i="45"/>
  <c r="D12" i="45"/>
  <c r="F36" i="45"/>
  <c r="F38" i="45"/>
  <c r="F40" i="45"/>
  <c r="F42" i="45"/>
  <c r="F44" i="45"/>
  <c r="F46" i="45"/>
  <c r="F48" i="45"/>
  <c r="F52" i="45"/>
  <c r="F54" i="45"/>
  <c r="F56" i="45"/>
  <c r="F58" i="45"/>
  <c r="F60" i="45"/>
  <c r="F62" i="45"/>
  <c r="D64" i="45"/>
  <c r="D68" i="45"/>
  <c r="F68" i="45" s="1"/>
  <c r="D70" i="45"/>
  <c r="F70" i="45" s="1"/>
  <c r="D72" i="45"/>
  <c r="F72" i="45" s="1"/>
  <c r="D74" i="45"/>
  <c r="F74" i="45" s="1"/>
  <c r="D76" i="45"/>
  <c r="F76" i="45" s="1"/>
  <c r="D78" i="45"/>
  <c r="F78" i="45" s="1"/>
  <c r="D80" i="45"/>
  <c r="F80" i="45" s="1"/>
  <c r="D82" i="45"/>
  <c r="F82" i="45" s="1"/>
  <c r="D84" i="45"/>
  <c r="F84" i="45" s="1"/>
  <c r="D86" i="45"/>
  <c r="F86" i="45" s="1"/>
  <c r="D88" i="45"/>
  <c r="F88" i="45" s="1"/>
  <c r="D90" i="45"/>
  <c r="F90" i="45" s="1"/>
  <c r="D92" i="45"/>
  <c r="F92" i="45" s="1"/>
  <c r="D94" i="45"/>
  <c r="F94" i="45" s="1"/>
  <c r="D5" i="44"/>
  <c r="D7" i="44"/>
  <c r="D9" i="44"/>
  <c r="D11" i="44"/>
  <c r="F37" i="44"/>
  <c r="F39" i="44"/>
  <c r="F41" i="44"/>
  <c r="F43" i="44"/>
  <c r="F45" i="44"/>
  <c r="F47" i="44"/>
  <c r="F49" i="44"/>
  <c r="F51" i="44"/>
  <c r="F53" i="44"/>
  <c r="F57" i="44"/>
  <c r="F59" i="44"/>
  <c r="F61" i="44"/>
  <c r="F63" i="44"/>
  <c r="D67" i="44"/>
  <c r="D69" i="44"/>
  <c r="F69" i="44" s="1"/>
  <c r="D71" i="44"/>
  <c r="F71" i="44" s="1"/>
  <c r="D73" i="44"/>
  <c r="F73" i="44" s="1"/>
  <c r="D75" i="44"/>
  <c r="F75" i="44" s="1"/>
  <c r="D77" i="44"/>
  <c r="F77" i="44" s="1"/>
  <c r="D79" i="44"/>
  <c r="F79" i="44" s="1"/>
  <c r="F67" i="42"/>
  <c r="F67" i="38"/>
  <c r="F67" i="36"/>
  <c r="F67" i="32"/>
  <c r="F67" i="57"/>
  <c r="F36" i="56"/>
  <c r="F36" i="54"/>
  <c r="F36" i="52"/>
  <c r="F36" i="50"/>
  <c r="F36" i="48"/>
  <c r="F36" i="46"/>
  <c r="F36" i="44"/>
  <c r="F52" i="44"/>
  <c r="F54" i="44"/>
  <c r="F56" i="44"/>
  <c r="F58" i="44"/>
  <c r="F60" i="44"/>
  <c r="F62" i="44"/>
  <c r="C118" i="44"/>
  <c r="F109" i="44"/>
  <c r="F67" i="40"/>
  <c r="F67" i="34"/>
  <c r="F37" i="43"/>
  <c r="F39" i="43"/>
  <c r="F41" i="43"/>
  <c r="F45" i="43"/>
  <c r="F47" i="43"/>
  <c r="F49" i="43"/>
  <c r="F51" i="43"/>
  <c r="F53" i="43"/>
  <c r="F57" i="43"/>
  <c r="F59" i="43"/>
  <c r="F61" i="43"/>
  <c r="F63" i="43"/>
  <c r="D67" i="43"/>
  <c r="D69" i="43"/>
  <c r="F69" i="43" s="1"/>
  <c r="D71" i="43"/>
  <c r="F71" i="43" s="1"/>
  <c r="D73" i="43"/>
  <c r="F73" i="43" s="1"/>
  <c r="D75" i="43"/>
  <c r="F75" i="43" s="1"/>
  <c r="D77" i="43"/>
  <c r="F77" i="43" s="1"/>
  <c r="D79" i="43"/>
  <c r="F79" i="43" s="1"/>
  <c r="D81" i="43"/>
  <c r="F81" i="43" s="1"/>
  <c r="D83" i="43"/>
  <c r="F83" i="43" s="1"/>
  <c r="D85" i="43"/>
  <c r="F85" i="43" s="1"/>
  <c r="D87" i="43"/>
  <c r="F87" i="43" s="1"/>
  <c r="D89" i="43"/>
  <c r="F89" i="43" s="1"/>
  <c r="D91" i="43"/>
  <c r="F91" i="43" s="1"/>
  <c r="D93" i="43"/>
  <c r="F93" i="43" s="1"/>
  <c r="F36" i="42"/>
  <c r="F38" i="42"/>
  <c r="F40" i="42"/>
  <c r="F42" i="42"/>
  <c r="F44" i="42"/>
  <c r="F46" i="42"/>
  <c r="F48" i="42"/>
  <c r="F52" i="42"/>
  <c r="F54" i="42"/>
  <c r="F56" i="42"/>
  <c r="F58" i="42"/>
  <c r="F60" i="42"/>
  <c r="F62" i="42"/>
  <c r="D64" i="42"/>
  <c r="D68" i="42"/>
  <c r="F68" i="42" s="1"/>
  <c r="D70" i="42"/>
  <c r="F70" i="42" s="1"/>
  <c r="D72" i="42"/>
  <c r="F72" i="42" s="1"/>
  <c r="D74" i="42"/>
  <c r="F74" i="42" s="1"/>
  <c r="D76" i="42"/>
  <c r="F76" i="42" s="1"/>
  <c r="D78" i="42"/>
  <c r="F78" i="42" s="1"/>
  <c r="D80" i="42"/>
  <c r="F80" i="42" s="1"/>
  <c r="D82" i="42"/>
  <c r="F82" i="42" s="1"/>
  <c r="D84" i="42"/>
  <c r="F84" i="42" s="1"/>
  <c r="D86" i="42"/>
  <c r="F86" i="42" s="1"/>
  <c r="D88" i="42"/>
  <c r="F88" i="42" s="1"/>
  <c r="D90" i="42"/>
  <c r="F90" i="42" s="1"/>
  <c r="D92" i="42"/>
  <c r="F92" i="42" s="1"/>
  <c r="D94" i="42"/>
  <c r="F94" i="42" s="1"/>
  <c r="F37" i="41"/>
  <c r="F39" i="41"/>
  <c r="F41" i="41"/>
  <c r="F45" i="41"/>
  <c r="F47" i="41"/>
  <c r="F49" i="41"/>
  <c r="F51" i="41"/>
  <c r="F53" i="41"/>
  <c r="F55" i="41"/>
  <c r="F57" i="41"/>
  <c r="F59" i="41"/>
  <c r="F61" i="41"/>
  <c r="F63" i="41"/>
  <c r="D67" i="41"/>
  <c r="D69" i="41"/>
  <c r="F69" i="41" s="1"/>
  <c r="D71" i="41"/>
  <c r="F71" i="41" s="1"/>
  <c r="D73" i="41"/>
  <c r="F73" i="41" s="1"/>
  <c r="D75" i="41"/>
  <c r="F75" i="41" s="1"/>
  <c r="D77" i="41"/>
  <c r="F77" i="41" s="1"/>
  <c r="D79" i="41"/>
  <c r="F79" i="41" s="1"/>
  <c r="D81" i="41"/>
  <c r="F81" i="41" s="1"/>
  <c r="D83" i="41"/>
  <c r="F83" i="41" s="1"/>
  <c r="D85" i="41"/>
  <c r="F85" i="41" s="1"/>
  <c r="D87" i="41"/>
  <c r="F87" i="41" s="1"/>
  <c r="D89" i="41"/>
  <c r="F89" i="41" s="1"/>
  <c r="D91" i="41"/>
  <c r="F91" i="41" s="1"/>
  <c r="D93" i="41"/>
  <c r="F93" i="41" s="1"/>
  <c r="F36" i="40"/>
  <c r="F38" i="40"/>
  <c r="F40" i="40"/>
  <c r="F42" i="40"/>
  <c r="F44" i="40"/>
  <c r="F46" i="40"/>
  <c r="F48" i="40"/>
  <c r="F52" i="40"/>
  <c r="F54" i="40"/>
  <c r="F56" i="40"/>
  <c r="F58" i="40"/>
  <c r="F60" i="40"/>
  <c r="F62" i="40"/>
  <c r="D64" i="40"/>
  <c r="D68" i="40"/>
  <c r="F68" i="40" s="1"/>
  <c r="D70" i="40"/>
  <c r="F70" i="40" s="1"/>
  <c r="D72" i="40"/>
  <c r="F72" i="40" s="1"/>
  <c r="D74" i="40"/>
  <c r="F74" i="40" s="1"/>
  <c r="D76" i="40"/>
  <c r="F76" i="40" s="1"/>
  <c r="D78" i="40"/>
  <c r="F78" i="40" s="1"/>
  <c r="D80" i="40"/>
  <c r="F80" i="40" s="1"/>
  <c r="D82" i="40"/>
  <c r="F82" i="40" s="1"/>
  <c r="D84" i="40"/>
  <c r="F84" i="40" s="1"/>
  <c r="D86" i="40"/>
  <c r="F86" i="40" s="1"/>
  <c r="D88" i="40"/>
  <c r="F88" i="40" s="1"/>
  <c r="D90" i="40"/>
  <c r="F90" i="40" s="1"/>
  <c r="D92" i="40"/>
  <c r="F92" i="40" s="1"/>
  <c r="D94" i="40"/>
  <c r="F94" i="40" s="1"/>
  <c r="F37" i="39"/>
  <c r="F39" i="39"/>
  <c r="F41" i="39"/>
  <c r="F45" i="39"/>
  <c r="F47" i="39"/>
  <c r="F49" i="39"/>
  <c r="F51" i="39"/>
  <c r="F53" i="39"/>
  <c r="F57" i="39"/>
  <c r="F59" i="39"/>
  <c r="F61" i="39"/>
  <c r="F63" i="39"/>
  <c r="D67" i="39"/>
  <c r="D69" i="39"/>
  <c r="F69" i="39" s="1"/>
  <c r="D71" i="39"/>
  <c r="F71" i="39" s="1"/>
  <c r="D73" i="39"/>
  <c r="F73" i="39" s="1"/>
  <c r="D75" i="39"/>
  <c r="F75" i="39" s="1"/>
  <c r="D77" i="39"/>
  <c r="F77" i="39" s="1"/>
  <c r="D79" i="39"/>
  <c r="F79" i="39" s="1"/>
  <c r="D81" i="39"/>
  <c r="F81" i="39" s="1"/>
  <c r="D83" i="39"/>
  <c r="F83" i="39" s="1"/>
  <c r="D85" i="39"/>
  <c r="F85" i="39" s="1"/>
  <c r="D87" i="39"/>
  <c r="F87" i="39" s="1"/>
  <c r="D89" i="39"/>
  <c r="F89" i="39" s="1"/>
  <c r="D91" i="39"/>
  <c r="F91" i="39" s="1"/>
  <c r="D93" i="39"/>
  <c r="F93" i="39" s="1"/>
  <c r="F36" i="38"/>
  <c r="F38" i="38"/>
  <c r="F40" i="38"/>
  <c r="F42" i="38"/>
  <c r="F44" i="38"/>
  <c r="F46" i="38"/>
  <c r="F48" i="38"/>
  <c r="F52" i="38"/>
  <c r="F54" i="38"/>
  <c r="F56" i="38"/>
  <c r="F58" i="38"/>
  <c r="F60" i="38"/>
  <c r="F62" i="38"/>
  <c r="D64" i="38"/>
  <c r="D68" i="38"/>
  <c r="F68" i="38" s="1"/>
  <c r="D70" i="38"/>
  <c r="F70" i="38" s="1"/>
  <c r="D72" i="38"/>
  <c r="F72" i="38" s="1"/>
  <c r="D74" i="38"/>
  <c r="F74" i="38" s="1"/>
  <c r="D76" i="38"/>
  <c r="F76" i="38" s="1"/>
  <c r="D78" i="38"/>
  <c r="F78" i="38" s="1"/>
  <c r="D80" i="38"/>
  <c r="F80" i="38" s="1"/>
  <c r="D82" i="38"/>
  <c r="F82" i="38" s="1"/>
  <c r="D84" i="38"/>
  <c r="F84" i="38" s="1"/>
  <c r="D86" i="38"/>
  <c r="F86" i="38" s="1"/>
  <c r="D88" i="38"/>
  <c r="F88" i="38" s="1"/>
  <c r="D90" i="38"/>
  <c r="F90" i="38" s="1"/>
  <c r="D92" i="38"/>
  <c r="F92" i="38" s="1"/>
  <c r="D94" i="38"/>
  <c r="F94" i="38" s="1"/>
  <c r="F37" i="37"/>
  <c r="F39" i="37"/>
  <c r="F41" i="37"/>
  <c r="F43" i="37"/>
  <c r="F45" i="37"/>
  <c r="F47" i="37"/>
  <c r="F49" i="37"/>
  <c r="F51" i="37"/>
  <c r="F53" i="37"/>
  <c r="F57" i="37"/>
  <c r="F59" i="37"/>
  <c r="F61" i="37"/>
  <c r="F63" i="37"/>
  <c r="D67" i="37"/>
  <c r="D69" i="37"/>
  <c r="F69" i="37" s="1"/>
  <c r="D71" i="37"/>
  <c r="F71" i="37" s="1"/>
  <c r="D73" i="37"/>
  <c r="F73" i="37" s="1"/>
  <c r="D75" i="37"/>
  <c r="F75" i="37" s="1"/>
  <c r="D77" i="37"/>
  <c r="F77" i="37" s="1"/>
  <c r="D79" i="37"/>
  <c r="F79" i="37" s="1"/>
  <c r="D81" i="37"/>
  <c r="F81" i="37" s="1"/>
  <c r="D83" i="37"/>
  <c r="F83" i="37" s="1"/>
  <c r="D85" i="37"/>
  <c r="F85" i="37" s="1"/>
  <c r="D87" i="37"/>
  <c r="F87" i="37" s="1"/>
  <c r="D89" i="37"/>
  <c r="F89" i="37" s="1"/>
  <c r="D91" i="37"/>
  <c r="F91" i="37" s="1"/>
  <c r="D93" i="37"/>
  <c r="F93" i="37" s="1"/>
  <c r="F36" i="36"/>
  <c r="F38" i="36"/>
  <c r="F40" i="36"/>
  <c r="F42" i="36"/>
  <c r="F44" i="36"/>
  <c r="F46" i="36"/>
  <c r="F48" i="36"/>
  <c r="F52" i="36"/>
  <c r="F54" i="36"/>
  <c r="F56" i="36"/>
  <c r="F58" i="36"/>
  <c r="F60" i="36"/>
  <c r="F62" i="36"/>
  <c r="D64" i="36"/>
  <c r="F37" i="35"/>
  <c r="F39" i="35"/>
  <c r="F41" i="35"/>
  <c r="F43" i="35"/>
  <c r="F45" i="35"/>
  <c r="F47" i="35"/>
  <c r="F49" i="35"/>
  <c r="F51" i="35"/>
  <c r="F53" i="35"/>
  <c r="F57" i="35"/>
  <c r="F59" i="35"/>
  <c r="F61" i="35"/>
  <c r="F63" i="35"/>
  <c r="D67" i="35"/>
  <c r="D69" i="35"/>
  <c r="F69" i="35" s="1"/>
  <c r="D71" i="35"/>
  <c r="F71" i="35" s="1"/>
  <c r="D73" i="35"/>
  <c r="F73" i="35" s="1"/>
  <c r="D75" i="35"/>
  <c r="F75" i="35" s="1"/>
  <c r="D77" i="35"/>
  <c r="F77" i="35" s="1"/>
  <c r="D79" i="35"/>
  <c r="F79" i="35" s="1"/>
  <c r="D81" i="35"/>
  <c r="F81" i="35" s="1"/>
  <c r="D83" i="35"/>
  <c r="F83" i="35" s="1"/>
  <c r="D85" i="35"/>
  <c r="F85" i="35" s="1"/>
  <c r="D87" i="35"/>
  <c r="F87" i="35" s="1"/>
  <c r="D89" i="35"/>
  <c r="F89" i="35" s="1"/>
  <c r="D91" i="35"/>
  <c r="F91" i="35" s="1"/>
  <c r="D93" i="35"/>
  <c r="F93" i="35" s="1"/>
  <c r="F36" i="34"/>
  <c r="F38" i="34"/>
  <c r="F40" i="34"/>
  <c r="F42" i="34"/>
  <c r="F44" i="34"/>
  <c r="F46" i="34"/>
  <c r="F48" i="34"/>
  <c r="F52" i="34"/>
  <c r="F54" i="34"/>
  <c r="F56" i="34"/>
  <c r="F58" i="34"/>
  <c r="F60" i="34"/>
  <c r="F62" i="34"/>
  <c r="D64" i="34"/>
  <c r="D68" i="34"/>
  <c r="F68" i="34" s="1"/>
  <c r="D70" i="34"/>
  <c r="F70" i="34" s="1"/>
  <c r="D72" i="34"/>
  <c r="F72" i="34" s="1"/>
  <c r="D74" i="34"/>
  <c r="F74" i="34" s="1"/>
  <c r="D76" i="34"/>
  <c r="F76" i="34" s="1"/>
  <c r="D78" i="34"/>
  <c r="F78" i="34" s="1"/>
  <c r="D80" i="34"/>
  <c r="F80" i="34" s="1"/>
  <c r="D82" i="34"/>
  <c r="F82" i="34" s="1"/>
  <c r="D84" i="34"/>
  <c r="F84" i="34" s="1"/>
  <c r="D86" i="34"/>
  <c r="F86" i="34" s="1"/>
  <c r="D88" i="34"/>
  <c r="F88" i="34" s="1"/>
  <c r="D90" i="34"/>
  <c r="F90" i="34" s="1"/>
  <c r="D92" i="34"/>
  <c r="F92" i="34" s="1"/>
  <c r="D94" i="34"/>
  <c r="F94" i="34" s="1"/>
  <c r="F37" i="33"/>
  <c r="F39" i="33"/>
  <c r="F41" i="33"/>
  <c r="F43" i="33"/>
  <c r="F45" i="33"/>
  <c r="F47" i="33"/>
  <c r="F49" i="33"/>
  <c r="F51" i="33"/>
  <c r="F53" i="33"/>
  <c r="F57" i="33"/>
  <c r="F59" i="33"/>
  <c r="F61" i="33"/>
  <c r="F63" i="33"/>
  <c r="D67" i="33"/>
  <c r="D69" i="33"/>
  <c r="F69" i="33" s="1"/>
  <c r="D71" i="33"/>
  <c r="F71" i="33" s="1"/>
  <c r="D73" i="33"/>
  <c r="F73" i="33" s="1"/>
  <c r="D75" i="33"/>
  <c r="F75" i="33" s="1"/>
  <c r="D77" i="33"/>
  <c r="F77" i="33" s="1"/>
  <c r="D79" i="33"/>
  <c r="F79" i="33" s="1"/>
  <c r="D81" i="33"/>
  <c r="F81" i="33" s="1"/>
  <c r="D83" i="33"/>
  <c r="F83" i="33" s="1"/>
  <c r="D85" i="33"/>
  <c r="F85" i="33" s="1"/>
  <c r="D87" i="33"/>
  <c r="F87" i="33" s="1"/>
  <c r="D89" i="33"/>
  <c r="F89" i="33" s="1"/>
  <c r="D91" i="33"/>
  <c r="F91" i="33" s="1"/>
  <c r="D93" i="33"/>
  <c r="F93" i="33" s="1"/>
  <c r="F36" i="32"/>
  <c r="F38" i="32"/>
  <c r="F40" i="32"/>
  <c r="F42" i="32"/>
  <c r="F44" i="32"/>
  <c r="F46" i="32"/>
  <c r="F48" i="32"/>
  <c r="F52" i="32"/>
  <c r="F54" i="32"/>
  <c r="F56" i="32"/>
  <c r="F58" i="32"/>
  <c r="F60" i="32"/>
  <c r="F62" i="32"/>
  <c r="D64" i="32"/>
  <c r="F37" i="31"/>
  <c r="F39" i="31"/>
  <c r="F41" i="31"/>
  <c r="F45" i="31"/>
  <c r="F47" i="31"/>
  <c r="F49" i="31"/>
  <c r="F51" i="31"/>
  <c r="F53" i="31"/>
  <c r="F55" i="31"/>
  <c r="F57" i="31"/>
  <c r="F59" i="31"/>
  <c r="F61" i="31"/>
  <c r="F63" i="31"/>
  <c r="F36" i="30"/>
  <c r="F38" i="30"/>
  <c r="F41" i="30"/>
  <c r="F45" i="30"/>
  <c r="F49" i="30"/>
  <c r="F53" i="30"/>
  <c r="F57" i="30"/>
  <c r="F61" i="30"/>
  <c r="D6" i="43"/>
  <c r="D8" i="43"/>
  <c r="D10" i="43"/>
  <c r="D12" i="43"/>
  <c r="D14" i="43"/>
  <c r="F36" i="43"/>
  <c r="D5" i="42"/>
  <c r="D7" i="42"/>
  <c r="D9" i="42"/>
  <c r="D11" i="42"/>
  <c r="D13" i="42"/>
  <c r="D15" i="42"/>
  <c r="D6" i="41"/>
  <c r="D8" i="41"/>
  <c r="D10" i="41"/>
  <c r="D12" i="41"/>
  <c r="D14" i="41"/>
  <c r="D16" i="41"/>
  <c r="F36" i="41"/>
  <c r="D5" i="40"/>
  <c r="D7" i="40"/>
  <c r="D9" i="40"/>
  <c r="D11" i="40"/>
  <c r="D13" i="40"/>
  <c r="D15" i="40"/>
  <c r="D17" i="40"/>
  <c r="D6" i="39"/>
  <c r="D8" i="39"/>
  <c r="D10" i="39"/>
  <c r="D12" i="39"/>
  <c r="D14" i="39"/>
  <c r="D16" i="39"/>
  <c r="D18" i="39"/>
  <c r="D20" i="39"/>
  <c r="F36" i="39"/>
  <c r="D5" i="38"/>
  <c r="D7" i="38"/>
  <c r="D9" i="38"/>
  <c r="D11" i="38"/>
  <c r="D13" i="38"/>
  <c r="D15" i="38"/>
  <c r="D17" i="38"/>
  <c r="D19" i="38"/>
  <c r="D6" i="37"/>
  <c r="D8" i="37"/>
  <c r="D10" i="37"/>
  <c r="D12" i="37"/>
  <c r="D14" i="37"/>
  <c r="D16" i="37"/>
  <c r="D18" i="37"/>
  <c r="D20" i="37"/>
  <c r="D22" i="37"/>
  <c r="D24" i="37"/>
  <c r="F36" i="37"/>
  <c r="D5" i="36"/>
  <c r="D7" i="36"/>
  <c r="D9" i="36"/>
  <c r="D11" i="36"/>
  <c r="D13" i="36"/>
  <c r="D15" i="36"/>
  <c r="D17" i="36"/>
  <c r="D19" i="36"/>
  <c r="D21" i="36"/>
  <c r="D23" i="36"/>
  <c r="D25" i="36"/>
  <c r="D27" i="36"/>
  <c r="D29" i="36"/>
  <c r="D31" i="36"/>
  <c r="D6" i="35"/>
  <c r="D8" i="35"/>
  <c r="D10" i="35"/>
  <c r="D12" i="35"/>
  <c r="D14" i="35"/>
  <c r="D16" i="35"/>
  <c r="D18" i="35"/>
  <c r="D20" i="35"/>
  <c r="D22" i="35"/>
  <c r="D24" i="35"/>
  <c r="F36" i="35"/>
  <c r="D5" i="34"/>
  <c r="D7" i="34"/>
  <c r="D9" i="34"/>
  <c r="D11" i="34"/>
  <c r="D13" i="34"/>
  <c r="D15" i="34"/>
  <c r="D17" i="34"/>
  <c r="D19" i="34"/>
  <c r="D21" i="34"/>
  <c r="D23" i="34"/>
  <c r="D25" i="34"/>
  <c r="D27" i="34"/>
  <c r="D6" i="33"/>
  <c r="D8" i="33"/>
  <c r="D10" i="33"/>
  <c r="D12" i="33"/>
  <c r="D14" i="33"/>
  <c r="D16" i="33"/>
  <c r="D18" i="33"/>
  <c r="D20" i="33"/>
  <c r="D22" i="33"/>
  <c r="D24" i="33"/>
  <c r="D26" i="33"/>
  <c r="D28" i="33"/>
  <c r="D30" i="33"/>
  <c r="D32" i="33"/>
  <c r="F36" i="33"/>
  <c r="D5" i="32"/>
  <c r="D7" i="32"/>
  <c r="D9" i="32"/>
  <c r="D11" i="32"/>
  <c r="D13" i="32"/>
  <c r="D15" i="32"/>
  <c r="D17" i="32"/>
  <c r="D19" i="32"/>
  <c r="D21" i="32"/>
  <c r="D23" i="32"/>
  <c r="D25" i="32"/>
  <c r="D27" i="32"/>
  <c r="D29" i="32"/>
  <c r="D31" i="32"/>
  <c r="D6" i="31"/>
  <c r="D8" i="31"/>
  <c r="D10" i="31"/>
  <c r="D12" i="31"/>
  <c r="D14" i="31"/>
  <c r="D16" i="31"/>
  <c r="D18" i="31"/>
  <c r="D20" i="31"/>
  <c r="D22" i="31"/>
  <c r="D24" i="31"/>
  <c r="D26" i="31"/>
  <c r="D28" i="31"/>
  <c r="D30" i="31"/>
  <c r="D32" i="31"/>
  <c r="F36" i="31"/>
  <c r="D5" i="30"/>
  <c r="D7" i="30"/>
  <c r="F37" i="30"/>
  <c r="F39" i="30"/>
  <c r="F43" i="30"/>
  <c r="F47" i="30"/>
  <c r="F51" i="30"/>
  <c r="F59" i="30"/>
  <c r="F63" i="30"/>
  <c r="D67" i="30"/>
  <c r="D5" i="29"/>
  <c r="D7" i="29"/>
  <c r="D9" i="29"/>
  <c r="D11" i="29"/>
  <c r="D13" i="29"/>
  <c r="D15" i="29"/>
  <c r="D17" i="29"/>
  <c r="D19" i="29"/>
  <c r="D21" i="29"/>
  <c r="D23" i="29"/>
  <c r="D25" i="29"/>
  <c r="D27" i="29"/>
  <c r="D29" i="29"/>
  <c r="D31" i="29"/>
  <c r="D67" i="29"/>
  <c r="D69" i="29"/>
  <c r="F69" i="29" s="1"/>
  <c r="D71" i="29"/>
  <c r="F71" i="29" s="1"/>
  <c r="D73" i="29"/>
  <c r="F73" i="29" s="1"/>
  <c r="D75" i="29"/>
  <c r="F75" i="29" s="1"/>
  <c r="D77" i="29"/>
  <c r="F77" i="29" s="1"/>
  <c r="D79" i="29"/>
  <c r="F79" i="29" s="1"/>
  <c r="D81" i="29"/>
  <c r="F81" i="29" s="1"/>
  <c r="D83" i="29"/>
  <c r="F83" i="29" s="1"/>
  <c r="D85" i="29"/>
  <c r="F85" i="29" s="1"/>
  <c r="D87" i="29"/>
  <c r="F87" i="29" s="1"/>
  <c r="D89" i="29"/>
  <c r="F89" i="29" s="1"/>
  <c r="D91" i="29"/>
  <c r="F91" i="29" s="1"/>
  <c r="D93" i="29"/>
  <c r="F93" i="29" s="1"/>
  <c r="D6" i="28"/>
  <c r="D8" i="28"/>
  <c r="D10" i="28"/>
  <c r="D12" i="28"/>
  <c r="D14" i="28"/>
  <c r="D16" i="28"/>
  <c r="D18" i="28"/>
  <c r="D20" i="28"/>
  <c r="D22" i="28"/>
  <c r="D24" i="28"/>
  <c r="D26" i="28"/>
  <c r="D28" i="28"/>
  <c r="D30" i="28"/>
  <c r="D32" i="28"/>
  <c r="F36" i="28"/>
  <c r="D68" i="28"/>
  <c r="F68" i="28" s="1"/>
  <c r="D70" i="28"/>
  <c r="F70" i="28" s="1"/>
  <c r="D72" i="28"/>
  <c r="F72" i="28" s="1"/>
  <c r="D74" i="28"/>
  <c r="F74" i="28" s="1"/>
  <c r="D76" i="28"/>
  <c r="F76" i="28" s="1"/>
  <c r="D78" i="28"/>
  <c r="F78" i="28" s="1"/>
  <c r="D80" i="28"/>
  <c r="F80" i="28" s="1"/>
  <c r="D82" i="28"/>
  <c r="F82" i="28" s="1"/>
  <c r="D84" i="28"/>
  <c r="F84" i="28" s="1"/>
  <c r="D86" i="28"/>
  <c r="F86" i="28" s="1"/>
  <c r="D88" i="28"/>
  <c r="F88" i="28" s="1"/>
  <c r="D90" i="28"/>
  <c r="F90" i="28" s="1"/>
  <c r="D92" i="28"/>
  <c r="F92" i="28" s="1"/>
  <c r="D94" i="28"/>
  <c r="F94" i="28" s="1"/>
  <c r="D5" i="27"/>
  <c r="D7" i="27"/>
  <c r="D9" i="27"/>
  <c r="D11" i="27"/>
  <c r="D13" i="27"/>
  <c r="D15" i="27"/>
  <c r="D17" i="27"/>
  <c r="D19" i="27"/>
  <c r="F37" i="27"/>
  <c r="F39" i="27"/>
  <c r="F41" i="27"/>
  <c r="F45" i="27"/>
  <c r="F47" i="27"/>
  <c r="F49" i="27"/>
  <c r="F51" i="27"/>
  <c r="F53" i="27"/>
  <c r="F55" i="27"/>
  <c r="F57" i="27"/>
  <c r="F59" i="27"/>
  <c r="F61" i="27"/>
  <c r="F63" i="27"/>
  <c r="D67" i="27"/>
  <c r="D69" i="27"/>
  <c r="F69" i="27" s="1"/>
  <c r="D71" i="27"/>
  <c r="F71" i="27" s="1"/>
  <c r="D73" i="27"/>
  <c r="F73" i="27" s="1"/>
  <c r="D75" i="27"/>
  <c r="F75" i="27" s="1"/>
  <c r="D77" i="27"/>
  <c r="F77" i="27" s="1"/>
  <c r="D79" i="27"/>
  <c r="F79" i="27" s="1"/>
  <c r="D81" i="27"/>
  <c r="F81" i="27" s="1"/>
  <c r="D83" i="27"/>
  <c r="F83" i="27" s="1"/>
  <c r="D85" i="27"/>
  <c r="F85" i="27" s="1"/>
  <c r="D87" i="27"/>
  <c r="F87" i="27" s="1"/>
  <c r="D89" i="27"/>
  <c r="F89" i="27" s="1"/>
  <c r="D91" i="27"/>
  <c r="F91" i="27" s="1"/>
  <c r="D93" i="27"/>
  <c r="F93" i="27" s="1"/>
  <c r="F36" i="26"/>
  <c r="F38" i="26"/>
  <c r="F40" i="26"/>
  <c r="F42" i="26"/>
  <c r="F44" i="26"/>
  <c r="F46" i="26"/>
  <c r="F48" i="26"/>
  <c r="F52" i="26"/>
  <c r="F54" i="26"/>
  <c r="F56" i="26"/>
  <c r="F58" i="26"/>
  <c r="F60" i="26"/>
  <c r="F62" i="26"/>
  <c r="D64" i="26"/>
  <c r="D68" i="26"/>
  <c r="F68" i="26" s="1"/>
  <c r="D70" i="26"/>
  <c r="F70" i="26" s="1"/>
  <c r="D72" i="26"/>
  <c r="F72" i="26" s="1"/>
  <c r="D74" i="26"/>
  <c r="F74" i="26" s="1"/>
  <c r="D76" i="26"/>
  <c r="F76" i="26" s="1"/>
  <c r="D78" i="26"/>
  <c r="F78" i="26" s="1"/>
  <c r="D80" i="26"/>
  <c r="F80" i="26" s="1"/>
  <c r="D82" i="26"/>
  <c r="F82" i="26" s="1"/>
  <c r="D84" i="26"/>
  <c r="F84" i="26" s="1"/>
  <c r="D86" i="26"/>
  <c r="F86" i="26" s="1"/>
  <c r="D88" i="26"/>
  <c r="F88" i="26" s="1"/>
  <c r="D90" i="26"/>
  <c r="F90" i="26" s="1"/>
  <c r="D92" i="26"/>
  <c r="F92" i="26" s="1"/>
  <c r="D94" i="26"/>
  <c r="F94" i="26" s="1"/>
  <c r="D5" i="25"/>
  <c r="D7" i="25"/>
  <c r="D9" i="25"/>
  <c r="D11" i="25"/>
  <c r="D13" i="25"/>
  <c r="D15" i="25"/>
  <c r="D17" i="25"/>
  <c r="D19" i="25"/>
  <c r="D21" i="25"/>
  <c r="D23" i="25"/>
  <c r="D25" i="25"/>
  <c r="D27" i="25"/>
  <c r="D29" i="25"/>
  <c r="D31" i="25"/>
  <c r="D67" i="25"/>
  <c r="D69" i="25"/>
  <c r="F69" i="25" s="1"/>
  <c r="D71" i="25"/>
  <c r="F71" i="25" s="1"/>
  <c r="D73" i="25"/>
  <c r="F73" i="25" s="1"/>
  <c r="D75" i="25"/>
  <c r="F75" i="25" s="1"/>
  <c r="D77" i="25"/>
  <c r="F77" i="25" s="1"/>
  <c r="D79" i="25"/>
  <c r="F79" i="25" s="1"/>
  <c r="D81" i="25"/>
  <c r="F81" i="25" s="1"/>
  <c r="D83" i="25"/>
  <c r="F83" i="25" s="1"/>
  <c r="D85" i="25"/>
  <c r="F85" i="25" s="1"/>
  <c r="D87" i="25"/>
  <c r="F87" i="25" s="1"/>
  <c r="D89" i="25"/>
  <c r="F89" i="25" s="1"/>
  <c r="D91" i="25"/>
  <c r="F91" i="25" s="1"/>
  <c r="D93" i="25"/>
  <c r="F93" i="25" s="1"/>
  <c r="D6" i="24"/>
  <c r="F36" i="24"/>
  <c r="F38" i="24"/>
  <c r="F40" i="24"/>
  <c r="F42" i="24"/>
  <c r="F44" i="24"/>
  <c r="F46" i="24"/>
  <c r="F48" i="24"/>
  <c r="F52" i="24"/>
  <c r="F54" i="24"/>
  <c r="F56" i="24"/>
  <c r="F58" i="24"/>
  <c r="F60" i="24"/>
  <c r="F62" i="24"/>
  <c r="D64" i="24"/>
  <c r="D68" i="24"/>
  <c r="F68" i="24" s="1"/>
  <c r="D70" i="24"/>
  <c r="F70" i="24" s="1"/>
  <c r="D72" i="24"/>
  <c r="F72" i="24" s="1"/>
  <c r="D74" i="24"/>
  <c r="F74" i="24" s="1"/>
  <c r="D76" i="24"/>
  <c r="F76" i="24" s="1"/>
  <c r="D78" i="24"/>
  <c r="F78" i="24" s="1"/>
  <c r="D80" i="24"/>
  <c r="F80" i="24" s="1"/>
  <c r="D82" i="24"/>
  <c r="F82" i="24" s="1"/>
  <c r="D84" i="24"/>
  <c r="F84" i="24" s="1"/>
  <c r="D86" i="24"/>
  <c r="F86" i="24" s="1"/>
  <c r="D88" i="24"/>
  <c r="F88" i="24" s="1"/>
  <c r="D90" i="24"/>
  <c r="F90" i="24" s="1"/>
  <c r="D92" i="24"/>
  <c r="F92" i="24" s="1"/>
  <c r="D94" i="24"/>
  <c r="F94" i="24" s="1"/>
  <c r="D5" i="23"/>
  <c r="F37" i="23"/>
  <c r="F39" i="23"/>
  <c r="F41" i="23"/>
  <c r="F45" i="23"/>
  <c r="F47" i="23"/>
  <c r="F49" i="23"/>
  <c r="F51" i="23"/>
  <c r="F53" i="23"/>
  <c r="F57" i="23"/>
  <c r="F59" i="23"/>
  <c r="F61" i="23"/>
  <c r="F63" i="23"/>
  <c r="D67" i="23"/>
  <c r="D69" i="23"/>
  <c r="F69" i="23" s="1"/>
  <c r="D71" i="23"/>
  <c r="F71" i="23" s="1"/>
  <c r="D73" i="23"/>
  <c r="F73" i="23" s="1"/>
  <c r="D75" i="23"/>
  <c r="F75" i="23" s="1"/>
  <c r="D77" i="23"/>
  <c r="F77" i="23" s="1"/>
  <c r="D79" i="23"/>
  <c r="F79" i="23" s="1"/>
  <c r="D81" i="23"/>
  <c r="F81" i="23" s="1"/>
  <c r="D83" i="23"/>
  <c r="F83" i="23" s="1"/>
  <c r="D85" i="23"/>
  <c r="F85" i="23" s="1"/>
  <c r="D87" i="23"/>
  <c r="F87" i="23" s="1"/>
  <c r="D89" i="23"/>
  <c r="F89" i="23" s="1"/>
  <c r="D91" i="23"/>
  <c r="F91" i="23" s="1"/>
  <c r="D93" i="23"/>
  <c r="F93" i="23" s="1"/>
  <c r="D6" i="22"/>
  <c r="F36" i="22"/>
  <c r="F38" i="22"/>
  <c r="F40" i="22"/>
  <c r="F42" i="22"/>
  <c r="F44" i="22"/>
  <c r="F46" i="22"/>
  <c r="F48" i="22"/>
  <c r="F52" i="22"/>
  <c r="F54" i="22"/>
  <c r="F56" i="22"/>
  <c r="F58" i="22"/>
  <c r="F60" i="22"/>
  <c r="F62" i="22"/>
  <c r="D64" i="22"/>
  <c r="D68" i="22"/>
  <c r="F68" i="22" s="1"/>
  <c r="D70" i="22"/>
  <c r="F70" i="22" s="1"/>
  <c r="D72" i="22"/>
  <c r="F72" i="22" s="1"/>
  <c r="D74" i="22"/>
  <c r="D76" i="22"/>
  <c r="F76" i="22" s="1"/>
  <c r="D78" i="22"/>
  <c r="F78" i="22" s="1"/>
  <c r="D80" i="22"/>
  <c r="F80" i="22" s="1"/>
  <c r="D82" i="22"/>
  <c r="F82" i="22" s="1"/>
  <c r="D84" i="22"/>
  <c r="F84" i="22" s="1"/>
  <c r="D86" i="22"/>
  <c r="F86" i="22" s="1"/>
  <c r="D88" i="22"/>
  <c r="F88" i="22" s="1"/>
  <c r="D90" i="22"/>
  <c r="F90" i="22" s="1"/>
  <c r="D92" i="22"/>
  <c r="F92" i="22" s="1"/>
  <c r="D94" i="22"/>
  <c r="F94" i="22" s="1"/>
  <c r="F36" i="29"/>
  <c r="F36" i="27"/>
  <c r="F36" i="25"/>
  <c r="F36" i="23"/>
  <c r="F36" i="21"/>
  <c r="F38" i="21"/>
  <c r="F40" i="21"/>
  <c r="F42" i="21"/>
  <c r="F44" i="21"/>
  <c r="F46" i="21"/>
  <c r="F48" i="21"/>
  <c r="F52" i="21"/>
  <c r="F54" i="21"/>
  <c r="F56" i="21"/>
  <c r="F58" i="21"/>
  <c r="F60" i="21"/>
  <c r="F62" i="21"/>
  <c r="D64" i="21"/>
  <c r="D68" i="21"/>
  <c r="F68" i="21" s="1"/>
  <c r="D70" i="21"/>
  <c r="F70" i="21" s="1"/>
  <c r="D72" i="21"/>
  <c r="F72" i="21" s="1"/>
  <c r="D74" i="21"/>
  <c r="F74" i="21" s="1"/>
  <c r="D76" i="21"/>
  <c r="F76" i="21" s="1"/>
  <c r="D78" i="21"/>
  <c r="F78" i="21" s="1"/>
  <c r="D80" i="21"/>
  <c r="F80" i="21" s="1"/>
  <c r="D82" i="21"/>
  <c r="F82" i="21" s="1"/>
  <c r="D84" i="21"/>
  <c r="F84" i="21" s="1"/>
  <c r="D86" i="21"/>
  <c r="F86" i="21" s="1"/>
  <c r="D88" i="21"/>
  <c r="F88" i="21" s="1"/>
  <c r="D90" i="21"/>
  <c r="F90" i="21" s="1"/>
  <c r="D92" i="21"/>
  <c r="F92" i="21" s="1"/>
  <c r="D94" i="21"/>
  <c r="F94" i="21" s="1"/>
  <c r="D5" i="20"/>
  <c r="D71" i="20"/>
  <c r="F71" i="20" s="1"/>
  <c r="D6" i="19"/>
  <c r="D8" i="19"/>
  <c r="F36" i="19"/>
  <c r="F38" i="19"/>
  <c r="F40" i="19"/>
  <c r="F42" i="19"/>
  <c r="F44" i="19"/>
  <c r="F46" i="19"/>
  <c r="F48" i="19"/>
  <c r="F52" i="19"/>
  <c r="F54" i="19"/>
  <c r="F56" i="19"/>
  <c r="F58" i="19"/>
  <c r="F60" i="19"/>
  <c r="F62" i="19"/>
  <c r="D64" i="19"/>
  <c r="D68" i="19"/>
  <c r="F68" i="19" s="1"/>
  <c r="D70" i="19"/>
  <c r="F70" i="19" s="1"/>
  <c r="D72" i="19"/>
  <c r="F72" i="19" s="1"/>
  <c r="D74" i="19"/>
  <c r="D76" i="19"/>
  <c r="F76" i="19" s="1"/>
  <c r="D78" i="19"/>
  <c r="F78" i="19" s="1"/>
  <c r="D80" i="19"/>
  <c r="F80" i="19" s="1"/>
  <c r="D82" i="19"/>
  <c r="F82" i="19" s="1"/>
  <c r="D84" i="19"/>
  <c r="F84" i="19" s="1"/>
  <c r="D86" i="19"/>
  <c r="F86" i="19" s="1"/>
  <c r="D88" i="19"/>
  <c r="F88" i="19" s="1"/>
  <c r="D90" i="19"/>
  <c r="F90" i="19" s="1"/>
  <c r="D92" i="19"/>
  <c r="F92" i="19" s="1"/>
  <c r="D94" i="19"/>
  <c r="F94" i="19" s="1"/>
  <c r="D9" i="18"/>
  <c r="D17" i="18"/>
  <c r="D25" i="18"/>
  <c r="D67" i="18"/>
  <c r="D75" i="18"/>
  <c r="F75" i="18" s="1"/>
  <c r="D83" i="18"/>
  <c r="F83" i="18" s="1"/>
  <c r="D91" i="18"/>
  <c r="F91" i="18" s="1"/>
  <c r="D6" i="17"/>
  <c r="D8" i="17"/>
  <c r="F36" i="17"/>
  <c r="F38" i="17"/>
  <c r="F40" i="17"/>
  <c r="F42" i="17"/>
  <c r="F44" i="17"/>
  <c r="F46" i="17"/>
  <c r="F48" i="17"/>
  <c r="F52" i="17"/>
  <c r="F54" i="17"/>
  <c r="F56" i="17"/>
  <c r="F58" i="17"/>
  <c r="F60" i="17"/>
  <c r="F62" i="17"/>
  <c r="D64" i="17"/>
  <c r="D68" i="17"/>
  <c r="F68" i="17" s="1"/>
  <c r="D70" i="17"/>
  <c r="F70" i="17" s="1"/>
  <c r="D72" i="17"/>
  <c r="F72" i="17" s="1"/>
  <c r="D74" i="17"/>
  <c r="D76" i="17"/>
  <c r="F76" i="17" s="1"/>
  <c r="D78" i="17"/>
  <c r="F78" i="17" s="1"/>
  <c r="D80" i="17"/>
  <c r="F80" i="17" s="1"/>
  <c r="D82" i="17"/>
  <c r="F82" i="17" s="1"/>
  <c r="D84" i="17"/>
  <c r="F84" i="17" s="1"/>
  <c r="D86" i="17"/>
  <c r="F86" i="17" s="1"/>
  <c r="D88" i="17"/>
  <c r="F88" i="17" s="1"/>
  <c r="D90" i="17"/>
  <c r="F90" i="17" s="1"/>
  <c r="D92" i="17"/>
  <c r="F92" i="17" s="1"/>
  <c r="D94" i="17"/>
  <c r="F94" i="17" s="1"/>
  <c r="D5" i="16"/>
  <c r="D7" i="16"/>
  <c r="D9" i="16"/>
  <c r="D11" i="16"/>
  <c r="D13" i="16"/>
  <c r="D15" i="16"/>
  <c r="D17" i="16"/>
  <c r="D19" i="16"/>
  <c r="D21" i="16"/>
  <c r="D23" i="16"/>
  <c r="D25" i="16"/>
  <c r="D27" i="16"/>
  <c r="D29" i="16"/>
  <c r="D31" i="16"/>
  <c r="D67" i="16"/>
  <c r="D69" i="16"/>
  <c r="F69" i="16" s="1"/>
  <c r="D71" i="16"/>
  <c r="F71" i="16" s="1"/>
  <c r="D73" i="16"/>
  <c r="F73" i="16" s="1"/>
  <c r="D75" i="16"/>
  <c r="F75" i="16" s="1"/>
  <c r="D77" i="16"/>
  <c r="F77" i="16" s="1"/>
  <c r="D79" i="16"/>
  <c r="F79" i="16" s="1"/>
  <c r="D81" i="16"/>
  <c r="F81" i="16" s="1"/>
  <c r="D83" i="16"/>
  <c r="F83" i="16" s="1"/>
  <c r="D85" i="16"/>
  <c r="F85" i="16" s="1"/>
  <c r="D87" i="16"/>
  <c r="F87" i="16" s="1"/>
  <c r="D89" i="16"/>
  <c r="F89" i="16" s="1"/>
  <c r="D91" i="16"/>
  <c r="F91" i="16" s="1"/>
  <c r="D93" i="16"/>
  <c r="F93" i="16" s="1"/>
  <c r="D6" i="15"/>
  <c r="D8" i="15"/>
  <c r="F36" i="15"/>
  <c r="F38" i="15"/>
  <c r="F40" i="15"/>
  <c r="F42" i="15"/>
  <c r="F44" i="15"/>
  <c r="F46" i="15"/>
  <c r="F48" i="15"/>
  <c r="F52" i="15"/>
  <c r="F54" i="15"/>
  <c r="F56" i="15"/>
  <c r="F58" i="15"/>
  <c r="F60" i="15"/>
  <c r="F62" i="15"/>
  <c r="D64" i="15"/>
  <c r="D68" i="15"/>
  <c r="F68" i="15" s="1"/>
  <c r="D70" i="15"/>
  <c r="F70" i="15" s="1"/>
  <c r="D72" i="15"/>
  <c r="F72" i="15" s="1"/>
  <c r="D74" i="15"/>
  <c r="F74" i="15" s="1"/>
  <c r="D76" i="15"/>
  <c r="F76" i="15" s="1"/>
  <c r="D78" i="15"/>
  <c r="F78" i="15" s="1"/>
  <c r="D80" i="15"/>
  <c r="F80" i="15" s="1"/>
  <c r="D82" i="15"/>
  <c r="F82" i="15" s="1"/>
  <c r="D84" i="15"/>
  <c r="F84" i="15" s="1"/>
  <c r="D86" i="15"/>
  <c r="F86" i="15" s="1"/>
  <c r="D88" i="15"/>
  <c r="F88" i="15" s="1"/>
  <c r="D90" i="15"/>
  <c r="F90" i="15" s="1"/>
  <c r="D92" i="15"/>
  <c r="F92" i="15" s="1"/>
  <c r="D94" i="15"/>
  <c r="F94" i="15" s="1"/>
  <c r="D5" i="14"/>
  <c r="F37" i="14"/>
  <c r="F39" i="14"/>
  <c r="F41" i="14"/>
  <c r="F45" i="14"/>
  <c r="F47" i="14"/>
  <c r="F49" i="14"/>
  <c r="F51" i="14"/>
  <c r="F53" i="14"/>
  <c r="F57" i="14"/>
  <c r="F59" i="14"/>
  <c r="F61" i="14"/>
  <c r="F36" i="16"/>
  <c r="F36" i="14"/>
  <c r="F38" i="14"/>
  <c r="F40" i="14"/>
  <c r="F42" i="14"/>
  <c r="F44" i="14"/>
  <c r="F46" i="14"/>
  <c r="F48" i="14"/>
  <c r="F52" i="14"/>
  <c r="F54" i="14"/>
  <c r="F56" i="14"/>
  <c r="F58" i="14"/>
  <c r="F60" i="14"/>
  <c r="D93" i="14"/>
  <c r="F93" i="14" s="1"/>
  <c r="F62" i="14"/>
  <c r="F63" i="14"/>
  <c r="D67" i="14"/>
  <c r="F37" i="13"/>
  <c r="F39" i="13"/>
  <c r="F41" i="13"/>
  <c r="F45" i="13"/>
  <c r="F47" i="13"/>
  <c r="F49" i="13"/>
  <c r="F51" i="13"/>
  <c r="F53" i="13"/>
  <c r="F55" i="13"/>
  <c r="F57" i="13"/>
  <c r="F59" i="13"/>
  <c r="F61" i="13"/>
  <c r="F63" i="13"/>
  <c r="D67" i="13"/>
  <c r="D69" i="13"/>
  <c r="F69" i="13" s="1"/>
  <c r="D71" i="13"/>
  <c r="F71" i="13" s="1"/>
  <c r="D73" i="13"/>
  <c r="F73" i="13" s="1"/>
  <c r="D75" i="13"/>
  <c r="F75" i="13" s="1"/>
  <c r="D77" i="13"/>
  <c r="F77" i="13" s="1"/>
  <c r="D79" i="13"/>
  <c r="F79" i="13" s="1"/>
  <c r="D81" i="13"/>
  <c r="F81" i="13" s="1"/>
  <c r="D83" i="13"/>
  <c r="F83" i="13" s="1"/>
  <c r="D85" i="13"/>
  <c r="F85" i="13" s="1"/>
  <c r="D87" i="13"/>
  <c r="F87" i="13" s="1"/>
  <c r="D89" i="13"/>
  <c r="F89" i="13" s="1"/>
  <c r="D91" i="13"/>
  <c r="F91" i="13" s="1"/>
  <c r="D93" i="13"/>
  <c r="F93" i="13" s="1"/>
  <c r="F36" i="12"/>
  <c r="F38" i="12"/>
  <c r="F40" i="12"/>
  <c r="F42" i="12"/>
  <c r="F44" i="12"/>
  <c r="F46" i="12"/>
  <c r="F48" i="12"/>
  <c r="F52" i="12"/>
  <c r="F54" i="12"/>
  <c r="F56" i="12"/>
  <c r="F58" i="12"/>
  <c r="F60" i="12"/>
  <c r="F62" i="12"/>
  <c r="D64" i="12"/>
  <c r="D68" i="12"/>
  <c r="F68" i="12" s="1"/>
  <c r="D70" i="12"/>
  <c r="F70" i="12" s="1"/>
  <c r="D72" i="12"/>
  <c r="F72" i="12" s="1"/>
  <c r="D74" i="12"/>
  <c r="D76" i="12"/>
  <c r="F76" i="12" s="1"/>
  <c r="D78" i="12"/>
  <c r="F78" i="12" s="1"/>
  <c r="D80" i="12"/>
  <c r="F80" i="12" s="1"/>
  <c r="D82" i="12"/>
  <c r="F82" i="12" s="1"/>
  <c r="D84" i="12"/>
  <c r="F84" i="12" s="1"/>
  <c r="D86" i="12"/>
  <c r="F86" i="12" s="1"/>
  <c r="D88" i="12"/>
  <c r="F88" i="12" s="1"/>
  <c r="D90" i="12"/>
  <c r="F90" i="12" s="1"/>
  <c r="D92" i="12"/>
  <c r="F92" i="12" s="1"/>
  <c r="D94" i="12"/>
  <c r="F94" i="12" s="1"/>
  <c r="F37" i="11"/>
  <c r="F39" i="11"/>
  <c r="F41" i="11"/>
  <c r="F43" i="11"/>
  <c r="F45" i="11"/>
  <c r="F47" i="11"/>
  <c r="F49" i="11"/>
  <c r="F51" i="11"/>
  <c r="F53" i="11"/>
  <c r="F55" i="11"/>
  <c r="F57" i="11"/>
  <c r="F59" i="11"/>
  <c r="F61" i="11"/>
  <c r="F63" i="11"/>
  <c r="D67" i="11"/>
  <c r="D69" i="11"/>
  <c r="F69" i="11" s="1"/>
  <c r="D71" i="11"/>
  <c r="F71" i="11" s="1"/>
  <c r="D73" i="11"/>
  <c r="F73" i="11" s="1"/>
  <c r="D75" i="11"/>
  <c r="F75" i="11" s="1"/>
  <c r="D77" i="11"/>
  <c r="F77" i="11" s="1"/>
  <c r="D79" i="11"/>
  <c r="F79" i="11" s="1"/>
  <c r="D81" i="11"/>
  <c r="F81" i="11" s="1"/>
  <c r="D83" i="11"/>
  <c r="F83" i="11" s="1"/>
  <c r="D85" i="11"/>
  <c r="F85" i="11" s="1"/>
  <c r="D87" i="11"/>
  <c r="F87" i="11" s="1"/>
  <c r="D89" i="11"/>
  <c r="F89" i="11" s="1"/>
  <c r="D91" i="11"/>
  <c r="F91" i="11" s="1"/>
  <c r="D93" i="11"/>
  <c r="F93" i="11" s="1"/>
  <c r="F67" i="9"/>
  <c r="F36" i="13"/>
  <c r="F36" i="11"/>
  <c r="F67" i="7"/>
  <c r="F37" i="10"/>
  <c r="F39" i="10"/>
  <c r="F41" i="10"/>
  <c r="F43" i="10"/>
  <c r="F45" i="10"/>
  <c r="F47" i="10"/>
  <c r="F49" i="10"/>
  <c r="F51" i="10"/>
  <c r="F53" i="10"/>
  <c r="F55" i="10"/>
  <c r="F57" i="10"/>
  <c r="F59" i="10"/>
  <c r="F61" i="10"/>
  <c r="F63" i="10"/>
  <c r="D67" i="10"/>
  <c r="D69" i="10"/>
  <c r="F69" i="10" s="1"/>
  <c r="D71" i="10"/>
  <c r="F71" i="10" s="1"/>
  <c r="D73" i="10"/>
  <c r="F73" i="10" s="1"/>
  <c r="D75" i="10"/>
  <c r="F75" i="10" s="1"/>
  <c r="D77" i="10"/>
  <c r="F77" i="10" s="1"/>
  <c r="D79" i="10"/>
  <c r="F79" i="10" s="1"/>
  <c r="D81" i="10"/>
  <c r="F81" i="10" s="1"/>
  <c r="D83" i="10"/>
  <c r="F83" i="10" s="1"/>
  <c r="D85" i="10"/>
  <c r="F85" i="10" s="1"/>
  <c r="D87" i="10"/>
  <c r="F87" i="10" s="1"/>
  <c r="D89" i="10"/>
  <c r="F89" i="10" s="1"/>
  <c r="D91" i="10"/>
  <c r="F91" i="10" s="1"/>
  <c r="D93" i="10"/>
  <c r="F93" i="10" s="1"/>
  <c r="F36" i="9"/>
  <c r="F38" i="9"/>
  <c r="F40" i="9"/>
  <c r="F42" i="9"/>
  <c r="F44" i="9"/>
  <c r="F46" i="9"/>
  <c r="F48" i="9"/>
  <c r="F52" i="9"/>
  <c r="F54" i="9"/>
  <c r="F56" i="9"/>
  <c r="F58" i="9"/>
  <c r="F60" i="9"/>
  <c r="F62" i="9"/>
  <c r="D64" i="9"/>
  <c r="D68" i="9"/>
  <c r="F68" i="9" s="1"/>
  <c r="D70" i="9"/>
  <c r="F70" i="9" s="1"/>
  <c r="D72" i="9"/>
  <c r="F72" i="9" s="1"/>
  <c r="D74" i="9"/>
  <c r="F74" i="9" s="1"/>
  <c r="D76" i="9"/>
  <c r="F76" i="9" s="1"/>
  <c r="D78" i="9"/>
  <c r="F78" i="9" s="1"/>
  <c r="D80" i="9"/>
  <c r="F80" i="9" s="1"/>
  <c r="D82" i="9"/>
  <c r="F82" i="9" s="1"/>
  <c r="D84" i="9"/>
  <c r="F84" i="9" s="1"/>
  <c r="D86" i="9"/>
  <c r="F86" i="9" s="1"/>
  <c r="D88" i="9"/>
  <c r="F88" i="9" s="1"/>
  <c r="D90" i="9"/>
  <c r="F90" i="9" s="1"/>
  <c r="D92" i="9"/>
  <c r="F92" i="9" s="1"/>
  <c r="D94" i="9"/>
  <c r="F94" i="9" s="1"/>
  <c r="F37" i="8"/>
  <c r="F39" i="8"/>
  <c r="F41" i="8"/>
  <c r="F45" i="8"/>
  <c r="F47" i="8"/>
  <c r="F49" i="8"/>
  <c r="F51" i="8"/>
  <c r="F53" i="8"/>
  <c r="F57" i="8"/>
  <c r="F59" i="8"/>
  <c r="F61" i="8"/>
  <c r="F63" i="8"/>
  <c r="D67" i="8"/>
  <c r="D69" i="8"/>
  <c r="F69" i="8" s="1"/>
  <c r="D71" i="8"/>
  <c r="F71" i="8" s="1"/>
  <c r="D73" i="8"/>
  <c r="F73" i="8" s="1"/>
  <c r="D75" i="8"/>
  <c r="F75" i="8" s="1"/>
  <c r="D77" i="8"/>
  <c r="F77" i="8" s="1"/>
  <c r="D79" i="8"/>
  <c r="F79" i="8" s="1"/>
  <c r="D81" i="8"/>
  <c r="F81" i="8" s="1"/>
  <c r="D83" i="8"/>
  <c r="F83" i="8" s="1"/>
  <c r="D85" i="8"/>
  <c r="F85" i="8" s="1"/>
  <c r="D87" i="8"/>
  <c r="F87" i="8" s="1"/>
  <c r="D89" i="8"/>
  <c r="F89" i="8" s="1"/>
  <c r="D91" i="8"/>
  <c r="F91" i="8" s="1"/>
  <c r="D93" i="8"/>
  <c r="F93" i="8" s="1"/>
  <c r="F36" i="7"/>
  <c r="F38" i="7"/>
  <c r="F40" i="7"/>
  <c r="F42" i="7"/>
  <c r="F44" i="7"/>
  <c r="F46" i="7"/>
  <c r="F48" i="7"/>
  <c r="F52" i="7"/>
  <c r="F54" i="7"/>
  <c r="F56" i="7"/>
  <c r="F58" i="7"/>
  <c r="F60" i="7"/>
  <c r="F62" i="7"/>
  <c r="D64" i="7"/>
  <c r="D68" i="7"/>
  <c r="F68" i="7" s="1"/>
  <c r="D70" i="7"/>
  <c r="F70" i="7" s="1"/>
  <c r="D72" i="7"/>
  <c r="F72" i="7" s="1"/>
  <c r="D74" i="7"/>
  <c r="F74" i="7" s="1"/>
  <c r="D76" i="7"/>
  <c r="F76" i="7" s="1"/>
  <c r="D78" i="7"/>
  <c r="F78" i="7" s="1"/>
  <c r="D80" i="7"/>
  <c r="F80" i="7" s="1"/>
  <c r="D82" i="7"/>
  <c r="F82" i="7" s="1"/>
  <c r="D84" i="7"/>
  <c r="F84" i="7" s="1"/>
  <c r="D86" i="7"/>
  <c r="F86" i="7" s="1"/>
  <c r="D88" i="7"/>
  <c r="F88" i="7" s="1"/>
  <c r="D90" i="7"/>
  <c r="F90" i="7" s="1"/>
  <c r="D92" i="7"/>
  <c r="F92" i="7" s="1"/>
  <c r="F36" i="10"/>
  <c r="D5" i="9"/>
  <c r="D6" i="8"/>
  <c r="F36" i="8"/>
  <c r="D5" i="7"/>
  <c r="D7" i="7"/>
  <c r="F63" i="7"/>
  <c r="D5" i="6"/>
  <c r="F37" i="6"/>
  <c r="F39" i="6"/>
  <c r="F41" i="6"/>
  <c r="F45" i="6"/>
  <c r="F47" i="6"/>
  <c r="F49" i="6"/>
  <c r="F51" i="6"/>
  <c r="F53" i="6"/>
  <c r="F57" i="6"/>
  <c r="F59" i="6"/>
  <c r="F61" i="6"/>
  <c r="F63" i="6"/>
  <c r="D67" i="6"/>
  <c r="D69" i="6"/>
  <c r="F69" i="6" s="1"/>
  <c r="D71" i="6"/>
  <c r="F71" i="6" s="1"/>
  <c r="D73" i="6"/>
  <c r="F73" i="6" s="1"/>
  <c r="D75" i="6"/>
  <c r="F75" i="6" s="1"/>
  <c r="D77" i="6"/>
  <c r="F77" i="6" s="1"/>
  <c r="D79" i="6"/>
  <c r="F79" i="6" s="1"/>
  <c r="D81" i="6"/>
  <c r="F81" i="6" s="1"/>
  <c r="D83" i="6"/>
  <c r="F83" i="6" s="1"/>
  <c r="D85" i="6"/>
  <c r="F85" i="6" s="1"/>
  <c r="D87" i="6"/>
  <c r="F87" i="6" s="1"/>
  <c r="D89" i="6"/>
  <c r="F89" i="6" s="1"/>
  <c r="D91" i="6"/>
  <c r="F91" i="6" s="1"/>
  <c r="D93" i="6"/>
  <c r="F93" i="6" s="1"/>
  <c r="D6" i="5"/>
  <c r="D8" i="5"/>
  <c r="D10" i="5"/>
  <c r="D12" i="5"/>
  <c r="D14" i="5"/>
  <c r="D16" i="5"/>
  <c r="D18" i="5"/>
  <c r="D20" i="5"/>
  <c r="D22" i="5"/>
  <c r="D24" i="5"/>
  <c r="D26" i="5"/>
  <c r="D28" i="5"/>
  <c r="D30" i="5"/>
  <c r="D32" i="5"/>
  <c r="F36" i="5"/>
  <c r="D68" i="5"/>
  <c r="F68" i="5" s="1"/>
  <c r="D70" i="5"/>
  <c r="F70" i="5" s="1"/>
  <c r="D72" i="5"/>
  <c r="F72" i="5" s="1"/>
  <c r="D74" i="5"/>
  <c r="F74" i="5" s="1"/>
  <c r="D76" i="5"/>
  <c r="F76" i="5" s="1"/>
  <c r="D78" i="5"/>
  <c r="F78" i="5" s="1"/>
  <c r="D80" i="5"/>
  <c r="F80" i="5" s="1"/>
  <c r="D82" i="5"/>
  <c r="F82" i="5" s="1"/>
  <c r="D84" i="5"/>
  <c r="F84" i="5" s="1"/>
  <c r="D86" i="5"/>
  <c r="F86" i="5" s="1"/>
  <c r="D88" i="5"/>
  <c r="F88" i="5" s="1"/>
  <c r="D90" i="5"/>
  <c r="F90" i="5" s="1"/>
  <c r="D92" i="5"/>
  <c r="F92" i="5" s="1"/>
  <c r="D94" i="5"/>
  <c r="F94" i="5" s="1"/>
  <c r="D33" i="4"/>
  <c r="F36" i="6"/>
  <c r="F37" i="4"/>
  <c r="F39" i="4"/>
  <c r="F41" i="4"/>
  <c r="F43" i="4"/>
  <c r="F45" i="4"/>
  <c r="F47" i="4"/>
  <c r="F49" i="4"/>
  <c r="F51" i="4"/>
  <c r="F53" i="4"/>
  <c r="F55" i="4"/>
  <c r="F57" i="4"/>
  <c r="F59" i="4"/>
  <c r="F61" i="4"/>
  <c r="F63" i="4"/>
  <c r="D67" i="4"/>
  <c r="D69" i="4"/>
  <c r="F69" i="4" s="1"/>
  <c r="D71" i="4"/>
  <c r="F71" i="4" s="1"/>
  <c r="D73" i="4"/>
  <c r="F73" i="4" s="1"/>
  <c r="D75" i="4"/>
  <c r="F75" i="4" s="1"/>
  <c r="D77" i="4"/>
  <c r="F77" i="4" s="1"/>
  <c r="D79" i="4"/>
  <c r="F79" i="4" s="1"/>
  <c r="D81" i="4"/>
  <c r="F81" i="4" s="1"/>
  <c r="D83" i="4"/>
  <c r="F83" i="4" s="1"/>
  <c r="D85" i="4"/>
  <c r="F85" i="4" s="1"/>
  <c r="D87" i="4"/>
  <c r="F87" i="4" s="1"/>
  <c r="D89" i="4"/>
  <c r="F89" i="4" s="1"/>
  <c r="D91" i="4"/>
  <c r="F91" i="4" s="1"/>
  <c r="D93" i="4"/>
  <c r="F93" i="4" s="1"/>
  <c r="F36" i="3"/>
  <c r="F38" i="3"/>
  <c r="F40" i="3"/>
  <c r="F42" i="3"/>
  <c r="F44" i="3"/>
  <c r="F46" i="3"/>
  <c r="F48" i="3"/>
  <c r="F52" i="3"/>
  <c r="F54" i="3"/>
  <c r="F56" i="3"/>
  <c r="F58" i="3"/>
  <c r="F60" i="3"/>
  <c r="F62" i="3"/>
  <c r="D64" i="3"/>
  <c r="D68" i="3"/>
  <c r="F68" i="3" s="1"/>
  <c r="D70" i="3"/>
  <c r="F70" i="3" s="1"/>
  <c r="D72" i="3"/>
  <c r="F72" i="3" s="1"/>
  <c r="D74" i="3"/>
  <c r="F74" i="3" s="1"/>
  <c r="D76" i="3"/>
  <c r="F76" i="3" s="1"/>
  <c r="D78" i="3"/>
  <c r="F78" i="3" s="1"/>
  <c r="D80" i="3"/>
  <c r="F80" i="3" s="1"/>
  <c r="D82" i="3"/>
  <c r="F82" i="3" s="1"/>
  <c r="D84" i="3"/>
  <c r="F84" i="3" s="1"/>
  <c r="D86" i="3"/>
  <c r="F86" i="3" s="1"/>
  <c r="D88" i="3"/>
  <c r="F88" i="3" s="1"/>
  <c r="D90" i="3"/>
  <c r="F90" i="3" s="1"/>
  <c r="D92" i="3"/>
  <c r="F92" i="3" s="1"/>
  <c r="D94" i="3"/>
  <c r="F94" i="3" s="1"/>
  <c r="F36" i="4"/>
  <c r="D6" i="59"/>
  <c r="F36" i="59"/>
  <c r="F38" i="59"/>
  <c r="F40" i="59"/>
  <c r="F42" i="59"/>
  <c r="F44" i="59"/>
  <c r="F46" i="59"/>
  <c r="F48" i="59"/>
  <c r="F52" i="59"/>
  <c r="F54" i="59"/>
  <c r="F56" i="59"/>
  <c r="F58" i="59"/>
  <c r="F60" i="59"/>
  <c r="F62" i="59"/>
  <c r="D64" i="59"/>
  <c r="D68" i="59"/>
  <c r="F68" i="59" s="1"/>
  <c r="D70" i="59"/>
  <c r="F70" i="59" s="1"/>
  <c r="D72" i="59"/>
  <c r="F72" i="59" s="1"/>
  <c r="D74" i="59"/>
  <c r="D76" i="59"/>
  <c r="F76" i="59" s="1"/>
  <c r="D78" i="59"/>
  <c r="F78" i="59" s="1"/>
  <c r="D80" i="59"/>
  <c r="F80" i="59" s="1"/>
  <c r="D82" i="59"/>
  <c r="F82" i="59" s="1"/>
  <c r="D84" i="59"/>
  <c r="F84" i="59" s="1"/>
  <c r="D86" i="59"/>
  <c r="F86" i="59" s="1"/>
  <c r="D88" i="59"/>
  <c r="F88" i="59" s="1"/>
  <c r="D90" i="59"/>
  <c r="F90" i="59" s="1"/>
  <c r="D92" i="59"/>
  <c r="F92" i="59" s="1"/>
  <c r="D94" i="59"/>
  <c r="F94" i="59" s="1"/>
  <c r="F37" i="1"/>
  <c r="F39" i="1"/>
  <c r="F41" i="1"/>
  <c r="F45" i="1"/>
  <c r="F47" i="1"/>
  <c r="F49" i="1"/>
  <c r="F51" i="1"/>
  <c r="F53" i="1"/>
  <c r="F57" i="1"/>
  <c r="F59" i="1"/>
  <c r="F61" i="1"/>
  <c r="F63" i="1"/>
  <c r="D67" i="1"/>
  <c r="D69" i="1"/>
  <c r="F69" i="1" s="1"/>
  <c r="D71" i="1"/>
  <c r="F71" i="1" s="1"/>
  <c r="D73" i="1"/>
  <c r="F73" i="1" s="1"/>
  <c r="D75" i="1"/>
  <c r="F75" i="1" s="1"/>
  <c r="D77" i="1"/>
  <c r="F77" i="1" s="1"/>
  <c r="D79" i="1"/>
  <c r="F79" i="1" s="1"/>
  <c r="D81" i="1"/>
  <c r="F81" i="1" s="1"/>
  <c r="D83" i="1"/>
  <c r="F83" i="1" s="1"/>
  <c r="D85" i="1"/>
  <c r="F85" i="1" s="1"/>
  <c r="D87" i="1"/>
  <c r="F87" i="1" s="1"/>
  <c r="D89" i="1"/>
  <c r="F89" i="1" s="1"/>
  <c r="D91" i="1"/>
  <c r="F91" i="1" s="1"/>
  <c r="D93" i="1"/>
  <c r="F93" i="1" s="1"/>
  <c r="F36" i="1"/>
  <c r="F55" i="1" l="1"/>
  <c r="F50" i="3"/>
  <c r="F50" i="7"/>
  <c r="F50" i="9"/>
  <c r="F43" i="13"/>
  <c r="F43" i="15"/>
  <c r="F55" i="15"/>
  <c r="F50" i="15"/>
  <c r="F50" i="17"/>
  <c r="F50" i="19"/>
  <c r="F43" i="21"/>
  <c r="F50" i="21"/>
  <c r="F43" i="23"/>
  <c r="F55" i="23"/>
  <c r="F43" i="27"/>
  <c r="F43" i="31"/>
  <c r="F55" i="33"/>
  <c r="F55" i="35"/>
  <c r="F50" i="35"/>
  <c r="F55" i="37"/>
  <c r="F43" i="39"/>
  <c r="F55" i="39"/>
  <c r="F43" i="41"/>
  <c r="F43" i="43"/>
  <c r="F55" i="43"/>
  <c r="F50" i="45"/>
  <c r="F50" i="47"/>
  <c r="F55" i="51"/>
  <c r="F50" i="53"/>
  <c r="F50" i="57"/>
  <c r="F50" i="59"/>
  <c r="F43" i="6"/>
  <c r="F55" i="6"/>
  <c r="F43" i="8"/>
  <c r="F55" i="8"/>
  <c r="F50" i="12"/>
  <c r="F43" i="14"/>
  <c r="F55" i="14"/>
  <c r="F50" i="14"/>
  <c r="F50" i="22"/>
  <c r="F50" i="24"/>
  <c r="F50" i="26"/>
  <c r="F55" i="30"/>
  <c r="F50" i="32"/>
  <c r="F55" i="34"/>
  <c r="F50" i="34"/>
  <c r="F50" i="36"/>
  <c r="F50" i="38"/>
  <c r="F50" i="40"/>
  <c r="F50" i="42"/>
  <c r="F55" i="44"/>
  <c r="F50" i="44"/>
  <c r="F55" i="48"/>
  <c r="F55" i="52"/>
  <c r="E55" i="60"/>
  <c r="E64" i="55"/>
  <c r="E64" i="50"/>
  <c r="M14" i="63" s="1"/>
  <c r="F64" i="55"/>
  <c r="F64" i="45"/>
  <c r="F43" i="17"/>
  <c r="F43" i="1"/>
  <c r="F74" i="59"/>
  <c r="F74" i="12"/>
  <c r="F74" i="17"/>
  <c r="F74" i="19"/>
  <c r="F74" i="22"/>
  <c r="E47" i="60"/>
  <c r="F87" i="18"/>
  <c r="F79" i="18"/>
  <c r="F71" i="18"/>
  <c r="F36" i="18"/>
  <c r="D87" i="20"/>
  <c r="F87" i="20" s="1"/>
  <c r="D21" i="20"/>
  <c r="D93" i="18"/>
  <c r="F93" i="18" s="1"/>
  <c r="D89" i="18"/>
  <c r="F89" i="18" s="1"/>
  <c r="D85" i="18"/>
  <c r="F85" i="18" s="1"/>
  <c r="D81" i="18"/>
  <c r="F81" i="18" s="1"/>
  <c r="D77" i="18"/>
  <c r="F77" i="18" s="1"/>
  <c r="D73" i="18"/>
  <c r="F73" i="18" s="1"/>
  <c r="D69" i="18"/>
  <c r="F69" i="18" s="1"/>
  <c r="D79" i="20"/>
  <c r="F79" i="20" s="1"/>
  <c r="D29" i="20"/>
  <c r="D13" i="20"/>
  <c r="F120" i="60"/>
  <c r="F114" i="11"/>
  <c r="F112" i="11"/>
  <c r="F110" i="11"/>
  <c r="F114" i="12"/>
  <c r="F112" i="12"/>
  <c r="F110" i="12"/>
  <c r="F112" i="17"/>
  <c r="F111" i="16"/>
  <c r="F113" i="19"/>
  <c r="D118" i="57"/>
  <c r="F94" i="33"/>
  <c r="F86" i="33"/>
  <c r="D118" i="48"/>
  <c r="E105" i="45"/>
  <c r="E105" i="44"/>
  <c r="F74" i="23"/>
  <c r="F74" i="35"/>
  <c r="F87" i="34"/>
  <c r="F87" i="51"/>
  <c r="F74" i="43"/>
  <c r="F74" i="33"/>
  <c r="F91" i="20"/>
  <c r="F83" i="20"/>
  <c r="F75" i="20"/>
  <c r="F38" i="57"/>
  <c r="F42" i="57"/>
  <c r="F48" i="57"/>
  <c r="F54" i="57"/>
  <c r="D67" i="20"/>
  <c r="D93" i="20"/>
  <c r="F93" i="20" s="1"/>
  <c r="D89" i="20"/>
  <c r="D85" i="20"/>
  <c r="F85" i="20" s="1"/>
  <c r="D81" i="20"/>
  <c r="D77" i="20"/>
  <c r="F77" i="20" s="1"/>
  <c r="D73" i="20"/>
  <c r="F73" i="20" s="1"/>
  <c r="D69" i="20"/>
  <c r="F69" i="20" s="1"/>
  <c r="D115" i="60"/>
  <c r="E113" i="60"/>
  <c r="E111" i="60"/>
  <c r="E94" i="60"/>
  <c r="E90" i="60"/>
  <c r="E86" i="60"/>
  <c r="E82" i="60"/>
  <c r="E78" i="60"/>
  <c r="E74" i="60"/>
  <c r="E70" i="60"/>
  <c r="E91" i="60"/>
  <c r="E87" i="60"/>
  <c r="E83" i="60"/>
  <c r="E79" i="60"/>
  <c r="E75" i="60"/>
  <c r="E71" i="60"/>
  <c r="F114" i="8"/>
  <c r="F112" i="8"/>
  <c r="F110" i="8"/>
  <c r="F114" i="38"/>
  <c r="F111" i="25"/>
  <c r="F112" i="37"/>
  <c r="F112" i="41"/>
  <c r="F112" i="54"/>
  <c r="F115" i="47"/>
  <c r="F111" i="47"/>
  <c r="E116" i="18"/>
  <c r="E116" i="3"/>
  <c r="F112" i="7"/>
  <c r="F110" i="7"/>
  <c r="E116" i="9"/>
  <c r="E118" i="9" s="1"/>
  <c r="E116" i="10"/>
  <c r="F116" i="10" s="1"/>
  <c r="E116" i="11"/>
  <c r="E116" i="12"/>
  <c r="E116" i="15"/>
  <c r="F116" i="15" s="1"/>
  <c r="E116" i="21"/>
  <c r="F116" i="21" s="1"/>
  <c r="E116" i="13"/>
  <c r="E118" i="13" s="1"/>
  <c r="E116" i="34"/>
  <c r="F116" i="34" s="1"/>
  <c r="E116" i="35"/>
  <c r="F116" i="35" s="1"/>
  <c r="F103" i="19"/>
  <c r="T45" i="63" s="1"/>
  <c r="E116" i="26"/>
  <c r="E116" i="27"/>
  <c r="E116" i="28"/>
  <c r="E116" i="29"/>
  <c r="F112" i="30"/>
  <c r="E116" i="30"/>
  <c r="E116" i="51"/>
  <c r="F116" i="51" s="1"/>
  <c r="E116" i="25"/>
  <c r="F116" i="25" s="1"/>
  <c r="E116" i="37"/>
  <c r="E116" i="41"/>
  <c r="F103" i="52"/>
  <c r="T12" i="63" s="1"/>
  <c r="E116" i="54"/>
  <c r="E116" i="40"/>
  <c r="F116" i="40" s="1"/>
  <c r="E116" i="49"/>
  <c r="F116" i="49" s="1"/>
  <c r="F102" i="49"/>
  <c r="E116" i="6"/>
  <c r="F116" i="6" s="1"/>
  <c r="E116" i="22"/>
  <c r="F116" i="22" s="1"/>
  <c r="E116" i="31"/>
  <c r="E116" i="24"/>
  <c r="F116" i="24" s="1"/>
  <c r="E116" i="45"/>
  <c r="F116" i="45" s="1"/>
  <c r="E116" i="32"/>
  <c r="F116" i="32" s="1"/>
  <c r="E116" i="48"/>
  <c r="F116" i="48" s="1"/>
  <c r="F102" i="48"/>
  <c r="E116" i="5"/>
  <c r="F116" i="5" s="1"/>
  <c r="E116" i="1"/>
  <c r="F116" i="1" s="1"/>
  <c r="E116" i="59"/>
  <c r="E116" i="4"/>
  <c r="F116" i="4" s="1"/>
  <c r="E116" i="7"/>
  <c r="F116" i="7" s="1"/>
  <c r="E116" i="8"/>
  <c r="E116" i="14"/>
  <c r="F116" i="14" s="1"/>
  <c r="E116" i="17"/>
  <c r="E116" i="23"/>
  <c r="F116" i="23" s="1"/>
  <c r="E116" i="33"/>
  <c r="F116" i="33" s="1"/>
  <c r="E116" i="16"/>
  <c r="E116" i="19"/>
  <c r="F116" i="31"/>
  <c r="E116" i="36"/>
  <c r="F116" i="36" s="1"/>
  <c r="E116" i="38"/>
  <c r="E116" i="39"/>
  <c r="E116" i="52"/>
  <c r="F116" i="52" s="1"/>
  <c r="E116" i="56"/>
  <c r="F116" i="56" s="1"/>
  <c r="F112" i="40"/>
  <c r="E116" i="42"/>
  <c r="E116" i="43"/>
  <c r="E116" i="47"/>
  <c r="F116" i="47" s="1"/>
  <c r="E116" i="53"/>
  <c r="F103" i="33"/>
  <c r="T31" i="63" s="1"/>
  <c r="E116" i="46"/>
  <c r="F116" i="46" s="1"/>
  <c r="E116" i="50"/>
  <c r="F116" i="50" s="1"/>
  <c r="E116" i="55"/>
  <c r="E118" i="55" s="1"/>
  <c r="E116" i="44"/>
  <c r="F116" i="44" s="1"/>
  <c r="E116" i="57"/>
  <c r="F116" i="57" s="1"/>
  <c r="E62" i="60"/>
  <c r="E60" i="60"/>
  <c r="E58" i="60"/>
  <c r="E56" i="60"/>
  <c r="E54" i="60"/>
  <c r="E52" i="60"/>
  <c r="E50" i="60"/>
  <c r="E48" i="60"/>
  <c r="E46" i="60"/>
  <c r="E44" i="60"/>
  <c r="E42" i="60"/>
  <c r="E40" i="60"/>
  <c r="E38" i="60"/>
  <c r="F113" i="5"/>
  <c r="F111" i="5"/>
  <c r="E118" i="59"/>
  <c r="F115" i="10"/>
  <c r="F115" i="17"/>
  <c r="D64" i="16"/>
  <c r="F40" i="16"/>
  <c r="F44" i="16"/>
  <c r="F48" i="16"/>
  <c r="F52" i="16"/>
  <c r="F56" i="16"/>
  <c r="F60" i="16"/>
  <c r="F89" i="20"/>
  <c r="F81" i="20"/>
  <c r="F68" i="41"/>
  <c r="F72" i="41"/>
  <c r="F76" i="41"/>
  <c r="E20" i="63"/>
  <c r="E19" i="63"/>
  <c r="M58" i="63"/>
  <c r="M19" i="63"/>
  <c r="D118" i="50"/>
  <c r="M9" i="63"/>
  <c r="B60" i="63"/>
  <c r="M20" i="63"/>
  <c r="F116" i="59"/>
  <c r="E101" i="60"/>
  <c r="E120" i="60"/>
  <c r="F116" i="19"/>
  <c r="E105" i="53"/>
  <c r="F68" i="43"/>
  <c r="F112" i="16"/>
  <c r="F90" i="33"/>
  <c r="F82" i="33"/>
  <c r="D83" i="21"/>
  <c r="F83" i="21" s="1"/>
  <c r="D21" i="21"/>
  <c r="D67" i="21"/>
  <c r="F67" i="21" s="1"/>
  <c r="D5" i="21"/>
  <c r="D87" i="21"/>
  <c r="F87" i="21" s="1"/>
  <c r="D25" i="21"/>
  <c r="D71" i="21"/>
  <c r="F71" i="21" s="1"/>
  <c r="D9" i="21"/>
  <c r="F115" i="41"/>
  <c r="E64" i="48"/>
  <c r="M16" i="63" s="1"/>
  <c r="D91" i="21"/>
  <c r="F91" i="21" s="1"/>
  <c r="D29" i="21"/>
  <c r="D75" i="21"/>
  <c r="F75" i="21" s="1"/>
  <c r="D13" i="21"/>
  <c r="D79" i="21"/>
  <c r="F79" i="21" s="1"/>
  <c r="D17" i="21"/>
  <c r="D87" i="40"/>
  <c r="F87" i="40" s="1"/>
  <c r="D25" i="40"/>
  <c r="D79" i="51"/>
  <c r="F79" i="51" s="1"/>
  <c r="D17" i="51"/>
  <c r="D87" i="47"/>
  <c r="F87" i="47" s="1"/>
  <c r="D25" i="47"/>
  <c r="F62" i="18"/>
  <c r="F60" i="18"/>
  <c r="F58" i="18"/>
  <c r="F56" i="18"/>
  <c r="F54" i="18"/>
  <c r="F52" i="18"/>
  <c r="F50" i="18"/>
  <c r="F48" i="18"/>
  <c r="F46" i="18"/>
  <c r="F44" i="18"/>
  <c r="F42" i="18"/>
  <c r="F40" i="18"/>
  <c r="F38" i="18"/>
  <c r="E105" i="6"/>
  <c r="F111" i="13"/>
  <c r="F113" i="13"/>
  <c r="F115" i="13"/>
  <c r="E118" i="23"/>
  <c r="E64" i="24"/>
  <c r="M40" i="63" s="1"/>
  <c r="F115" i="30"/>
  <c r="E105" i="31"/>
  <c r="E105" i="38"/>
  <c r="E105" i="46"/>
  <c r="E95" i="46"/>
  <c r="C109" i="46" s="1"/>
  <c r="C118" i="46" s="1"/>
  <c r="F115" i="48"/>
  <c r="E118" i="48"/>
  <c r="E105" i="50"/>
  <c r="E95" i="50"/>
  <c r="C109" i="50" s="1"/>
  <c r="C118" i="50" s="1"/>
  <c r="F115" i="55"/>
  <c r="D64" i="25"/>
  <c r="F40" i="25"/>
  <c r="F44" i="25"/>
  <c r="D64" i="27"/>
  <c r="D64" i="29"/>
  <c r="F40" i="29"/>
  <c r="F68" i="37"/>
  <c r="F72" i="37"/>
  <c r="F76" i="37"/>
  <c r="F80" i="37"/>
  <c r="F84" i="37"/>
  <c r="F68" i="39"/>
  <c r="F72" i="39"/>
  <c r="F76" i="39"/>
  <c r="F80" i="39"/>
  <c r="E105" i="52"/>
  <c r="D64" i="52"/>
  <c r="F115" i="54"/>
  <c r="F115" i="40"/>
  <c r="F115" i="42"/>
  <c r="F39" i="47"/>
  <c r="D81" i="15"/>
  <c r="F81" i="15" s="1"/>
  <c r="D19" i="15"/>
  <c r="D77" i="15"/>
  <c r="F77" i="15" s="1"/>
  <c r="D15" i="15"/>
  <c r="D73" i="15"/>
  <c r="F73" i="15" s="1"/>
  <c r="D11" i="15"/>
  <c r="D83" i="15"/>
  <c r="D21" i="15"/>
  <c r="D87" i="15"/>
  <c r="F87" i="15" s="1"/>
  <c r="D25" i="15"/>
  <c r="D91" i="15"/>
  <c r="D29" i="15"/>
  <c r="D69" i="47"/>
  <c r="D7" i="47"/>
  <c r="D91" i="34"/>
  <c r="D29" i="34"/>
  <c r="D64" i="35"/>
  <c r="F72" i="43"/>
  <c r="D118" i="46"/>
  <c r="D83" i="40"/>
  <c r="F83" i="40" s="1"/>
  <c r="D21" i="40"/>
  <c r="D75" i="49"/>
  <c r="F75" i="49" s="1"/>
  <c r="D13" i="49"/>
  <c r="D83" i="49"/>
  <c r="F83" i="49" s="1"/>
  <c r="D21" i="49"/>
  <c r="D91" i="49"/>
  <c r="F91" i="49" s="1"/>
  <c r="D29" i="49"/>
  <c r="E95" i="6"/>
  <c r="C109" i="6" s="1"/>
  <c r="F109" i="6" s="1"/>
  <c r="E118" i="15"/>
  <c r="F91" i="15"/>
  <c r="F83" i="15"/>
  <c r="E105" i="22"/>
  <c r="E95" i="22"/>
  <c r="C109" i="22" s="1"/>
  <c r="F109" i="22" s="1"/>
  <c r="F118" i="22" s="1"/>
  <c r="E64" i="14"/>
  <c r="M50" i="63" s="1"/>
  <c r="F115" i="23"/>
  <c r="E95" i="24"/>
  <c r="C109" i="24" s="1"/>
  <c r="C118" i="24" s="1"/>
  <c r="E105" i="24"/>
  <c r="F91" i="34"/>
  <c r="E105" i="32"/>
  <c r="E105" i="48"/>
  <c r="E95" i="48"/>
  <c r="E105" i="55"/>
  <c r="E95" i="55"/>
  <c r="E95" i="57"/>
  <c r="F69" i="47"/>
  <c r="D79" i="15"/>
  <c r="F79" i="15" s="1"/>
  <c r="D17" i="15"/>
  <c r="D75" i="15"/>
  <c r="F75" i="15" s="1"/>
  <c r="D13" i="15"/>
  <c r="D71" i="15"/>
  <c r="F71" i="15" s="1"/>
  <c r="D9" i="15"/>
  <c r="D67" i="15"/>
  <c r="F67" i="15" s="1"/>
  <c r="D5" i="15"/>
  <c r="D85" i="15"/>
  <c r="F85" i="15" s="1"/>
  <c r="D23" i="15"/>
  <c r="D89" i="15"/>
  <c r="F89" i="15" s="1"/>
  <c r="D27" i="15"/>
  <c r="D93" i="15"/>
  <c r="F93" i="15" s="1"/>
  <c r="D31" i="15"/>
  <c r="E64" i="22"/>
  <c r="F64" i="22" s="1"/>
  <c r="D93" i="34"/>
  <c r="F93" i="34" s="1"/>
  <c r="D31" i="34"/>
  <c r="D91" i="40"/>
  <c r="F91" i="40" s="1"/>
  <c r="D29" i="40"/>
  <c r="D69" i="49"/>
  <c r="F69" i="49" s="1"/>
  <c r="D7" i="49"/>
  <c r="D79" i="49"/>
  <c r="F79" i="49" s="1"/>
  <c r="D17" i="49"/>
  <c r="D87" i="49"/>
  <c r="F87" i="49" s="1"/>
  <c r="D25" i="49"/>
  <c r="D118" i="55"/>
  <c r="F109" i="46"/>
  <c r="F64" i="24"/>
  <c r="D33" i="57"/>
  <c r="B7" i="63" s="1"/>
  <c r="F115" i="1"/>
  <c r="D94" i="1"/>
  <c r="F94" i="1" s="1"/>
  <c r="D32" i="1"/>
  <c r="D92" i="1"/>
  <c r="F92" i="1" s="1"/>
  <c r="D30" i="1"/>
  <c r="D90" i="1"/>
  <c r="F90" i="1" s="1"/>
  <c r="D28" i="1"/>
  <c r="D88" i="1"/>
  <c r="F88" i="1" s="1"/>
  <c r="D26" i="1"/>
  <c r="D86" i="1"/>
  <c r="F86" i="1" s="1"/>
  <c r="D24" i="1"/>
  <c r="D84" i="1"/>
  <c r="F84" i="1" s="1"/>
  <c r="D22" i="1"/>
  <c r="D82" i="1"/>
  <c r="F82" i="1" s="1"/>
  <c r="D20" i="1"/>
  <c r="D80" i="1"/>
  <c r="F80" i="1" s="1"/>
  <c r="D18" i="1"/>
  <c r="D78" i="1"/>
  <c r="F78" i="1" s="1"/>
  <c r="D16" i="1"/>
  <c r="D76" i="1"/>
  <c r="F76" i="1" s="1"/>
  <c r="D14" i="1"/>
  <c r="D74" i="1"/>
  <c r="F74" i="1" s="1"/>
  <c r="D12" i="1"/>
  <c r="D72" i="1"/>
  <c r="F72" i="1" s="1"/>
  <c r="D10" i="1"/>
  <c r="D70" i="1"/>
  <c r="F70" i="1" s="1"/>
  <c r="D8" i="1"/>
  <c r="D68" i="1"/>
  <c r="F68" i="1" s="1"/>
  <c r="D6" i="1"/>
  <c r="D118" i="1"/>
  <c r="E105" i="1"/>
  <c r="E95" i="1"/>
  <c r="C109" i="1" s="1"/>
  <c r="E64" i="1"/>
  <c r="M63" i="63" s="1"/>
  <c r="D93" i="59"/>
  <c r="F93" i="59" s="1"/>
  <c r="D31" i="59"/>
  <c r="D91" i="59"/>
  <c r="F91" i="59" s="1"/>
  <c r="D29" i="59"/>
  <c r="D89" i="59"/>
  <c r="F89" i="59" s="1"/>
  <c r="D27" i="59"/>
  <c r="D87" i="59"/>
  <c r="F87" i="59" s="1"/>
  <c r="D25" i="59"/>
  <c r="D85" i="59"/>
  <c r="F85" i="59" s="1"/>
  <c r="D23" i="59"/>
  <c r="D83" i="59"/>
  <c r="F83" i="59" s="1"/>
  <c r="D21" i="59"/>
  <c r="D81" i="59"/>
  <c r="F81" i="59" s="1"/>
  <c r="D19" i="59"/>
  <c r="D79" i="59"/>
  <c r="F79" i="59" s="1"/>
  <c r="D17" i="59"/>
  <c r="D77" i="59"/>
  <c r="F77" i="59" s="1"/>
  <c r="D15" i="59"/>
  <c r="D75" i="59"/>
  <c r="F75" i="59" s="1"/>
  <c r="D13" i="59"/>
  <c r="D73" i="59"/>
  <c r="F73" i="59" s="1"/>
  <c r="D11" i="59"/>
  <c r="D71" i="59"/>
  <c r="F71" i="59" s="1"/>
  <c r="D9" i="59"/>
  <c r="D69" i="59"/>
  <c r="F69" i="59" s="1"/>
  <c r="D7" i="59"/>
  <c r="D67" i="59"/>
  <c r="F67" i="59" s="1"/>
  <c r="D5" i="59"/>
  <c r="F112" i="59"/>
  <c r="F110" i="59"/>
  <c r="F62" i="6"/>
  <c r="D31" i="6"/>
  <c r="F60" i="6"/>
  <c r="D29" i="6"/>
  <c r="F58" i="6"/>
  <c r="D27" i="6"/>
  <c r="F56" i="6"/>
  <c r="D25" i="6"/>
  <c r="F54" i="6"/>
  <c r="D23" i="6"/>
  <c r="F52" i="6"/>
  <c r="D21" i="6"/>
  <c r="F50" i="6"/>
  <c r="D19" i="6"/>
  <c r="F48" i="6"/>
  <c r="D17" i="6"/>
  <c r="F46" i="6"/>
  <c r="D15" i="6"/>
  <c r="F44" i="6"/>
  <c r="D13" i="6"/>
  <c r="F42" i="6"/>
  <c r="D11" i="6"/>
  <c r="F40" i="6"/>
  <c r="D9" i="6"/>
  <c r="F38" i="6"/>
  <c r="D7" i="6"/>
  <c r="D64" i="6"/>
  <c r="F64" i="6" s="1"/>
  <c r="N58" i="63" s="1"/>
  <c r="E118" i="6"/>
  <c r="F111" i="6"/>
  <c r="F115" i="6"/>
  <c r="E118" i="4"/>
  <c r="E105" i="7"/>
  <c r="E95" i="7"/>
  <c r="C109" i="7" s="1"/>
  <c r="E64" i="7"/>
  <c r="M57" i="63" s="1"/>
  <c r="D118" i="8"/>
  <c r="E105" i="8"/>
  <c r="E95" i="8"/>
  <c r="C109" i="8" s="1"/>
  <c r="E64" i="8"/>
  <c r="M56" i="63" s="1"/>
  <c r="F113" i="7"/>
  <c r="F111" i="7"/>
  <c r="E118" i="7"/>
  <c r="D94" i="7"/>
  <c r="F94" i="7" s="1"/>
  <c r="D32" i="7"/>
  <c r="F61" i="7"/>
  <c r="D30" i="7"/>
  <c r="F59" i="7"/>
  <c r="D28" i="7"/>
  <c r="F57" i="7"/>
  <c r="D26" i="7"/>
  <c r="F55" i="7"/>
  <c r="D24" i="7"/>
  <c r="F53" i="7"/>
  <c r="D22" i="7"/>
  <c r="F51" i="7"/>
  <c r="D20" i="7"/>
  <c r="F49" i="7"/>
  <c r="D18" i="7"/>
  <c r="F47" i="7"/>
  <c r="D16" i="7"/>
  <c r="F45" i="7"/>
  <c r="D14" i="7"/>
  <c r="F43" i="7"/>
  <c r="D12" i="7"/>
  <c r="F41" i="7"/>
  <c r="D10" i="7"/>
  <c r="F39" i="7"/>
  <c r="D8" i="7"/>
  <c r="F37" i="7"/>
  <c r="D6" i="7"/>
  <c r="F116" i="8"/>
  <c r="F115" i="8"/>
  <c r="F113" i="8"/>
  <c r="F111" i="8"/>
  <c r="E118" i="8"/>
  <c r="D94" i="8"/>
  <c r="F94" i="8" s="1"/>
  <c r="D32" i="8"/>
  <c r="D92" i="8"/>
  <c r="F92" i="8" s="1"/>
  <c r="D30" i="8"/>
  <c r="D90" i="8"/>
  <c r="F90" i="8" s="1"/>
  <c r="D28" i="8"/>
  <c r="D88" i="8"/>
  <c r="F88" i="8" s="1"/>
  <c r="D26" i="8"/>
  <c r="D86" i="8"/>
  <c r="F86" i="8" s="1"/>
  <c r="D24" i="8"/>
  <c r="D84" i="8"/>
  <c r="F84" i="8" s="1"/>
  <c r="D22" i="8"/>
  <c r="D82" i="8"/>
  <c r="F82" i="8" s="1"/>
  <c r="D20" i="8"/>
  <c r="D80" i="8"/>
  <c r="F80" i="8" s="1"/>
  <c r="D18" i="8"/>
  <c r="D78" i="8"/>
  <c r="F78" i="8" s="1"/>
  <c r="D16" i="8"/>
  <c r="D76" i="8"/>
  <c r="F76" i="8" s="1"/>
  <c r="D14" i="8"/>
  <c r="D74" i="8"/>
  <c r="F74" i="8" s="1"/>
  <c r="D12" i="8"/>
  <c r="D72" i="8"/>
  <c r="F72" i="8" s="1"/>
  <c r="D10" i="8"/>
  <c r="D70" i="8"/>
  <c r="F70" i="8" s="1"/>
  <c r="D8" i="8"/>
  <c r="F68" i="8"/>
  <c r="D93" i="9"/>
  <c r="F93" i="9" s="1"/>
  <c r="D31" i="9"/>
  <c r="D91" i="9"/>
  <c r="F91" i="9" s="1"/>
  <c r="D29" i="9"/>
  <c r="D89" i="9"/>
  <c r="F89" i="9" s="1"/>
  <c r="D27" i="9"/>
  <c r="D87" i="9"/>
  <c r="F87" i="9" s="1"/>
  <c r="D25" i="9"/>
  <c r="D85" i="9"/>
  <c r="F85" i="9" s="1"/>
  <c r="D23" i="9"/>
  <c r="D83" i="9"/>
  <c r="F83" i="9" s="1"/>
  <c r="D21" i="9"/>
  <c r="D81" i="9"/>
  <c r="F81" i="9" s="1"/>
  <c r="D19" i="9"/>
  <c r="D79" i="9"/>
  <c r="F79" i="9" s="1"/>
  <c r="D17" i="9"/>
  <c r="D77" i="9"/>
  <c r="F77" i="9" s="1"/>
  <c r="D15" i="9"/>
  <c r="D75" i="9"/>
  <c r="F75" i="9" s="1"/>
  <c r="D13" i="9"/>
  <c r="D73" i="9"/>
  <c r="F73" i="9" s="1"/>
  <c r="D11" i="9"/>
  <c r="D71" i="9"/>
  <c r="F71" i="9" s="1"/>
  <c r="D9" i="9"/>
  <c r="D69" i="9"/>
  <c r="F69" i="9" s="1"/>
  <c r="D7" i="9"/>
  <c r="D118" i="10"/>
  <c r="D94" i="10"/>
  <c r="F94" i="10" s="1"/>
  <c r="D32" i="10"/>
  <c r="D92" i="10"/>
  <c r="F92" i="10" s="1"/>
  <c r="D30" i="10"/>
  <c r="D90" i="10"/>
  <c r="F90" i="10" s="1"/>
  <c r="D28" i="10"/>
  <c r="D88" i="10"/>
  <c r="F88" i="10" s="1"/>
  <c r="D26" i="10"/>
  <c r="D86" i="10"/>
  <c r="F86" i="10" s="1"/>
  <c r="D24" i="10"/>
  <c r="D84" i="10"/>
  <c r="F84" i="10" s="1"/>
  <c r="D22" i="10"/>
  <c r="D82" i="10"/>
  <c r="F82" i="10" s="1"/>
  <c r="D20" i="10"/>
  <c r="D80" i="10"/>
  <c r="F80" i="10" s="1"/>
  <c r="D18" i="10"/>
  <c r="D78" i="10"/>
  <c r="F78" i="10" s="1"/>
  <c r="D16" i="10"/>
  <c r="D76" i="10"/>
  <c r="F76" i="10" s="1"/>
  <c r="D14" i="10"/>
  <c r="D74" i="10"/>
  <c r="F74" i="10" s="1"/>
  <c r="D12" i="10"/>
  <c r="D72" i="10"/>
  <c r="F72" i="10" s="1"/>
  <c r="D10" i="10"/>
  <c r="D70" i="10"/>
  <c r="F70" i="10" s="1"/>
  <c r="D8" i="10"/>
  <c r="D68" i="10"/>
  <c r="F68" i="10" s="1"/>
  <c r="D6" i="10"/>
  <c r="F116" i="11"/>
  <c r="F115" i="11"/>
  <c r="F113" i="11"/>
  <c r="F111" i="11"/>
  <c r="E118" i="11"/>
  <c r="D94" i="11"/>
  <c r="F94" i="11" s="1"/>
  <c r="D32" i="11"/>
  <c r="D92" i="11"/>
  <c r="F92" i="11" s="1"/>
  <c r="D30" i="11"/>
  <c r="D90" i="11"/>
  <c r="F90" i="11" s="1"/>
  <c r="D28" i="11"/>
  <c r="D88" i="11"/>
  <c r="F88" i="11" s="1"/>
  <c r="D26" i="11"/>
  <c r="D86" i="11"/>
  <c r="F86" i="11" s="1"/>
  <c r="D24" i="11"/>
  <c r="D84" i="11"/>
  <c r="F84" i="11" s="1"/>
  <c r="D22" i="11"/>
  <c r="D82" i="11"/>
  <c r="F82" i="11" s="1"/>
  <c r="D20" i="11"/>
  <c r="D80" i="11"/>
  <c r="F80" i="11" s="1"/>
  <c r="D18" i="11"/>
  <c r="D78" i="11"/>
  <c r="F78" i="11" s="1"/>
  <c r="D16" i="11"/>
  <c r="D76" i="11"/>
  <c r="F76" i="11" s="1"/>
  <c r="D14" i="11"/>
  <c r="D74" i="11"/>
  <c r="F74" i="11" s="1"/>
  <c r="D12" i="11"/>
  <c r="D72" i="11"/>
  <c r="F72" i="11" s="1"/>
  <c r="D10" i="11"/>
  <c r="D70" i="11"/>
  <c r="F70" i="11" s="1"/>
  <c r="D8" i="11"/>
  <c r="D68" i="11"/>
  <c r="F68" i="11" s="1"/>
  <c r="D6" i="11"/>
  <c r="F116" i="12"/>
  <c r="F115" i="12"/>
  <c r="F113" i="12"/>
  <c r="F111" i="12"/>
  <c r="E118" i="12"/>
  <c r="F63" i="12"/>
  <c r="D32" i="12"/>
  <c r="F61" i="12"/>
  <c r="D30" i="12"/>
  <c r="F59" i="12"/>
  <c r="D28" i="12"/>
  <c r="F57" i="12"/>
  <c r="D26" i="12"/>
  <c r="F55" i="12"/>
  <c r="D24" i="12"/>
  <c r="F53" i="12"/>
  <c r="D22" i="12"/>
  <c r="F51" i="12"/>
  <c r="D20" i="12"/>
  <c r="F49" i="12"/>
  <c r="D18" i="12"/>
  <c r="F47" i="12"/>
  <c r="D16" i="12"/>
  <c r="F45" i="12"/>
  <c r="D14" i="12"/>
  <c r="F43" i="12"/>
  <c r="D12" i="12"/>
  <c r="F41" i="12"/>
  <c r="D10" i="12"/>
  <c r="F39" i="12"/>
  <c r="D8" i="12"/>
  <c r="F37" i="12"/>
  <c r="D6" i="12"/>
  <c r="F44" i="13"/>
  <c r="D13" i="13"/>
  <c r="F42" i="13"/>
  <c r="D11" i="13"/>
  <c r="F40" i="13"/>
  <c r="D9" i="13"/>
  <c r="F38" i="13"/>
  <c r="D7" i="13"/>
  <c r="D64" i="13"/>
  <c r="D5" i="13"/>
  <c r="F115" i="14"/>
  <c r="E118" i="14"/>
  <c r="D94" i="14"/>
  <c r="F94" i="14" s="1"/>
  <c r="D32" i="14"/>
  <c r="D92" i="14"/>
  <c r="F92" i="14" s="1"/>
  <c r="D30" i="14"/>
  <c r="D90" i="14"/>
  <c r="F90" i="14" s="1"/>
  <c r="D28" i="14"/>
  <c r="D88" i="14"/>
  <c r="F88" i="14" s="1"/>
  <c r="D26" i="14"/>
  <c r="D86" i="14"/>
  <c r="F86" i="14" s="1"/>
  <c r="D24" i="14"/>
  <c r="D84" i="14"/>
  <c r="F84" i="14" s="1"/>
  <c r="D22" i="14"/>
  <c r="D82" i="14"/>
  <c r="F82" i="14" s="1"/>
  <c r="D20" i="14"/>
  <c r="D80" i="14"/>
  <c r="F80" i="14" s="1"/>
  <c r="D18" i="14"/>
  <c r="D78" i="14"/>
  <c r="F78" i="14" s="1"/>
  <c r="D16" i="14"/>
  <c r="D76" i="14"/>
  <c r="F76" i="14" s="1"/>
  <c r="D14" i="14"/>
  <c r="D74" i="14"/>
  <c r="F74" i="14" s="1"/>
  <c r="D12" i="14"/>
  <c r="D72" i="14"/>
  <c r="F72" i="14" s="1"/>
  <c r="D10" i="14"/>
  <c r="D70" i="14"/>
  <c r="F70" i="14" s="1"/>
  <c r="D8" i="14"/>
  <c r="D68" i="14"/>
  <c r="F68" i="14" s="1"/>
  <c r="D6" i="14"/>
  <c r="F63" i="22"/>
  <c r="D32" i="22"/>
  <c r="F61" i="22"/>
  <c r="D30" i="22"/>
  <c r="F59" i="22"/>
  <c r="D28" i="22"/>
  <c r="F57" i="22"/>
  <c r="D26" i="22"/>
  <c r="F55" i="22"/>
  <c r="D24" i="22"/>
  <c r="F53" i="22"/>
  <c r="D22" i="22"/>
  <c r="F51" i="22"/>
  <c r="D20" i="22"/>
  <c r="F49" i="22"/>
  <c r="D18" i="22"/>
  <c r="F47" i="22"/>
  <c r="D16" i="22"/>
  <c r="F45" i="22"/>
  <c r="D14" i="22"/>
  <c r="F43" i="22"/>
  <c r="D12" i="22"/>
  <c r="F41" i="22"/>
  <c r="D10" i="22"/>
  <c r="F39" i="22"/>
  <c r="D8" i="22"/>
  <c r="E64" i="13"/>
  <c r="M51" i="63" s="1"/>
  <c r="F46" i="13"/>
  <c r="D15" i="13"/>
  <c r="F48" i="13"/>
  <c r="D17" i="13"/>
  <c r="F50" i="13"/>
  <c r="D19" i="13"/>
  <c r="F52" i="13"/>
  <c r="D21" i="13"/>
  <c r="F54" i="13"/>
  <c r="D23" i="13"/>
  <c r="F56" i="13"/>
  <c r="D25" i="13"/>
  <c r="F58" i="13"/>
  <c r="D27" i="13"/>
  <c r="F60" i="13"/>
  <c r="D29" i="13"/>
  <c r="F62" i="13"/>
  <c r="D31" i="13"/>
  <c r="E95" i="13"/>
  <c r="C109" i="13" s="1"/>
  <c r="E105" i="13"/>
  <c r="F114" i="14"/>
  <c r="F112" i="14"/>
  <c r="F110" i="14"/>
  <c r="E105" i="16"/>
  <c r="E105" i="17"/>
  <c r="D67" i="17"/>
  <c r="F67" i="17" s="1"/>
  <c r="D5" i="17"/>
  <c r="D69" i="17"/>
  <c r="F69" i="17" s="1"/>
  <c r="D7" i="17"/>
  <c r="D71" i="17"/>
  <c r="F71" i="17" s="1"/>
  <c r="D9" i="17"/>
  <c r="D73" i="17"/>
  <c r="F73" i="17" s="1"/>
  <c r="D11" i="17"/>
  <c r="D75" i="17"/>
  <c r="F75" i="17" s="1"/>
  <c r="D13" i="17"/>
  <c r="D77" i="17"/>
  <c r="F77" i="17" s="1"/>
  <c r="D15" i="17"/>
  <c r="D79" i="17"/>
  <c r="F79" i="17" s="1"/>
  <c r="D17" i="17"/>
  <c r="D81" i="17"/>
  <c r="F81" i="17" s="1"/>
  <c r="D19" i="17"/>
  <c r="D83" i="17"/>
  <c r="F83" i="17" s="1"/>
  <c r="D21" i="17"/>
  <c r="D85" i="17"/>
  <c r="F85" i="17" s="1"/>
  <c r="D23" i="17"/>
  <c r="D87" i="17"/>
  <c r="F87" i="17" s="1"/>
  <c r="D25" i="17"/>
  <c r="D89" i="17"/>
  <c r="F89" i="17" s="1"/>
  <c r="D27" i="17"/>
  <c r="D91" i="17"/>
  <c r="F91" i="17" s="1"/>
  <c r="D29" i="17"/>
  <c r="D93" i="17"/>
  <c r="F93" i="17" s="1"/>
  <c r="D31" i="17"/>
  <c r="E118" i="19"/>
  <c r="F60" i="23"/>
  <c r="D29" i="23"/>
  <c r="F56" i="23"/>
  <c r="D25" i="23"/>
  <c r="F52" i="23"/>
  <c r="D21" i="23"/>
  <c r="F48" i="23"/>
  <c r="D17" i="23"/>
  <c r="F44" i="23"/>
  <c r="D13" i="23"/>
  <c r="F40" i="23"/>
  <c r="D9" i="23"/>
  <c r="D64" i="23"/>
  <c r="F110" i="23"/>
  <c r="F114" i="23"/>
  <c r="F39" i="24"/>
  <c r="D8" i="24"/>
  <c r="F41" i="24"/>
  <c r="D10" i="24"/>
  <c r="F43" i="24"/>
  <c r="D12" i="24"/>
  <c r="F45" i="24"/>
  <c r="D14" i="24"/>
  <c r="F47" i="24"/>
  <c r="D16" i="24"/>
  <c r="F49" i="24"/>
  <c r="D18" i="24"/>
  <c r="F51" i="24"/>
  <c r="D20" i="24"/>
  <c r="F53" i="24"/>
  <c r="D22" i="24"/>
  <c r="F55" i="24"/>
  <c r="D24" i="24"/>
  <c r="F57" i="24"/>
  <c r="D26" i="24"/>
  <c r="F59" i="24"/>
  <c r="D28" i="24"/>
  <c r="F61" i="24"/>
  <c r="D30" i="24"/>
  <c r="F63" i="24"/>
  <c r="D32" i="24"/>
  <c r="E118" i="24"/>
  <c r="F111" i="24"/>
  <c r="F115" i="24"/>
  <c r="F115" i="33"/>
  <c r="E118" i="33"/>
  <c r="F116" i="16"/>
  <c r="E118" i="16"/>
  <c r="E95" i="16"/>
  <c r="C109" i="16" s="1"/>
  <c r="E64" i="16"/>
  <c r="M48" i="63" s="1"/>
  <c r="F37" i="16"/>
  <c r="D68" i="16"/>
  <c r="F68" i="16" s="1"/>
  <c r="D6" i="16"/>
  <c r="F39" i="16"/>
  <c r="D8" i="16"/>
  <c r="D70" i="16"/>
  <c r="F70" i="16" s="1"/>
  <c r="F41" i="16"/>
  <c r="D72" i="16"/>
  <c r="F72" i="16" s="1"/>
  <c r="D10" i="16"/>
  <c r="F43" i="16"/>
  <c r="D74" i="16"/>
  <c r="F74" i="16" s="1"/>
  <c r="D12" i="16"/>
  <c r="F45" i="16"/>
  <c r="D76" i="16"/>
  <c r="F76" i="16" s="1"/>
  <c r="D14" i="16"/>
  <c r="F47" i="16"/>
  <c r="D16" i="16"/>
  <c r="D78" i="16"/>
  <c r="F78" i="16" s="1"/>
  <c r="F49" i="16"/>
  <c r="D80" i="16"/>
  <c r="F80" i="16" s="1"/>
  <c r="D18" i="16"/>
  <c r="F51" i="16"/>
  <c r="D82" i="16"/>
  <c r="F82" i="16" s="1"/>
  <c r="D20" i="16"/>
  <c r="F53" i="16"/>
  <c r="D84" i="16"/>
  <c r="F84" i="16" s="1"/>
  <c r="D22" i="16"/>
  <c r="F55" i="16"/>
  <c r="D24" i="16"/>
  <c r="D86" i="16"/>
  <c r="F86" i="16" s="1"/>
  <c r="F57" i="16"/>
  <c r="D88" i="16"/>
  <c r="F88" i="16" s="1"/>
  <c r="D26" i="16"/>
  <c r="F59" i="16"/>
  <c r="D90" i="16"/>
  <c r="F90" i="16" s="1"/>
  <c r="D28" i="16"/>
  <c r="F61" i="16"/>
  <c r="D92" i="16"/>
  <c r="F92" i="16" s="1"/>
  <c r="D30" i="16"/>
  <c r="F63" i="16"/>
  <c r="D32" i="16"/>
  <c r="D94" i="16"/>
  <c r="F94" i="16" s="1"/>
  <c r="E105" i="19"/>
  <c r="D67" i="19"/>
  <c r="F67" i="19" s="1"/>
  <c r="D5" i="19"/>
  <c r="D69" i="19"/>
  <c r="F69" i="19" s="1"/>
  <c r="D7" i="19"/>
  <c r="D71" i="19"/>
  <c r="F71" i="19" s="1"/>
  <c r="D9" i="19"/>
  <c r="D73" i="19"/>
  <c r="F73" i="19" s="1"/>
  <c r="D11" i="19"/>
  <c r="D75" i="19"/>
  <c r="F75" i="19" s="1"/>
  <c r="D13" i="19"/>
  <c r="D77" i="19"/>
  <c r="F77" i="19" s="1"/>
  <c r="D15" i="19"/>
  <c r="D79" i="19"/>
  <c r="F79" i="19" s="1"/>
  <c r="D17" i="19"/>
  <c r="D81" i="19"/>
  <c r="F81" i="19" s="1"/>
  <c r="D19" i="19"/>
  <c r="D83" i="19"/>
  <c r="F83" i="19" s="1"/>
  <c r="D21" i="19"/>
  <c r="D85" i="19"/>
  <c r="F85" i="19" s="1"/>
  <c r="D23" i="19"/>
  <c r="D87" i="19"/>
  <c r="F87" i="19" s="1"/>
  <c r="D25" i="19"/>
  <c r="D89" i="19"/>
  <c r="F89" i="19" s="1"/>
  <c r="D27" i="19"/>
  <c r="D91" i="19"/>
  <c r="F91" i="19" s="1"/>
  <c r="D29" i="19"/>
  <c r="D93" i="19"/>
  <c r="F93" i="19" s="1"/>
  <c r="D31" i="19"/>
  <c r="D33" i="21"/>
  <c r="E95" i="26"/>
  <c r="C109" i="26" s="1"/>
  <c r="E64" i="26"/>
  <c r="F64" i="26" s="1"/>
  <c r="E95" i="27"/>
  <c r="C109" i="27" s="1"/>
  <c r="E64" i="27"/>
  <c r="F64" i="27" s="1"/>
  <c r="N37" i="63" s="1"/>
  <c r="E95" i="30"/>
  <c r="C109" i="30" s="1"/>
  <c r="E64" i="30"/>
  <c r="M34" i="63" s="1"/>
  <c r="D68" i="30"/>
  <c r="F68" i="30" s="1"/>
  <c r="D6" i="30"/>
  <c r="D70" i="30"/>
  <c r="F70" i="30" s="1"/>
  <c r="D8" i="30"/>
  <c r="D72" i="30"/>
  <c r="F72" i="30" s="1"/>
  <c r="D10" i="30"/>
  <c r="D74" i="30"/>
  <c r="F74" i="30" s="1"/>
  <c r="D12" i="30"/>
  <c r="D76" i="30"/>
  <c r="F76" i="30" s="1"/>
  <c r="D14" i="30"/>
  <c r="D78" i="30"/>
  <c r="F78" i="30" s="1"/>
  <c r="D16" i="30"/>
  <c r="D80" i="30"/>
  <c r="F80" i="30" s="1"/>
  <c r="D18" i="30"/>
  <c r="D82" i="30"/>
  <c r="F82" i="30" s="1"/>
  <c r="D20" i="30"/>
  <c r="D84" i="30"/>
  <c r="F84" i="30" s="1"/>
  <c r="D22" i="30"/>
  <c r="D86" i="30"/>
  <c r="F86" i="30" s="1"/>
  <c r="D24" i="30"/>
  <c r="D88" i="30"/>
  <c r="F88" i="30" s="1"/>
  <c r="D26" i="30"/>
  <c r="D90" i="30"/>
  <c r="F90" i="30" s="1"/>
  <c r="D28" i="30"/>
  <c r="D92" i="30"/>
  <c r="F92" i="30" s="1"/>
  <c r="D30" i="30"/>
  <c r="D94" i="30"/>
  <c r="F94" i="30" s="1"/>
  <c r="D32" i="30"/>
  <c r="E118" i="30"/>
  <c r="F113" i="30"/>
  <c r="F116" i="30"/>
  <c r="D64" i="31"/>
  <c r="D5" i="31"/>
  <c r="D67" i="31"/>
  <c r="F38" i="31"/>
  <c r="D69" i="31"/>
  <c r="F69" i="31" s="1"/>
  <c r="D7" i="31"/>
  <c r="F40" i="31"/>
  <c r="D9" i="31"/>
  <c r="D71" i="31"/>
  <c r="F71" i="31" s="1"/>
  <c r="F42" i="31"/>
  <c r="D73" i="31"/>
  <c r="F73" i="31" s="1"/>
  <c r="D11" i="31"/>
  <c r="F44" i="31"/>
  <c r="D13" i="31"/>
  <c r="D75" i="31"/>
  <c r="F75" i="31" s="1"/>
  <c r="F46" i="31"/>
  <c r="D77" i="31"/>
  <c r="F77" i="31" s="1"/>
  <c r="D15" i="31"/>
  <c r="F48" i="31"/>
  <c r="D17" i="31"/>
  <c r="D79" i="31"/>
  <c r="F79" i="31" s="1"/>
  <c r="F50" i="31"/>
  <c r="D81" i="31"/>
  <c r="F81" i="31" s="1"/>
  <c r="D19" i="31"/>
  <c r="F52" i="31"/>
  <c r="D21" i="31"/>
  <c r="D83" i="31"/>
  <c r="F83" i="31" s="1"/>
  <c r="F54" i="31"/>
  <c r="D85" i="31"/>
  <c r="F85" i="31" s="1"/>
  <c r="D23" i="31"/>
  <c r="F56" i="31"/>
  <c r="D25" i="31"/>
  <c r="D87" i="31"/>
  <c r="F87" i="31" s="1"/>
  <c r="F58" i="31"/>
  <c r="D89" i="31"/>
  <c r="F89" i="31" s="1"/>
  <c r="D27" i="31"/>
  <c r="F60" i="31"/>
  <c r="D29" i="31"/>
  <c r="D91" i="31"/>
  <c r="F91" i="31" s="1"/>
  <c r="F62" i="31"/>
  <c r="D93" i="31"/>
  <c r="F93" i="31" s="1"/>
  <c r="D31" i="31"/>
  <c r="E95" i="31"/>
  <c r="C109" i="31" s="1"/>
  <c r="E95" i="32"/>
  <c r="C109" i="32" s="1"/>
  <c r="E64" i="32"/>
  <c r="F64" i="32" s="1"/>
  <c r="F37" i="32"/>
  <c r="D68" i="32"/>
  <c r="D6" i="32"/>
  <c r="F39" i="32"/>
  <c r="D70" i="32"/>
  <c r="F70" i="32" s="1"/>
  <c r="D8" i="32"/>
  <c r="F41" i="32"/>
  <c r="D72" i="32"/>
  <c r="F72" i="32" s="1"/>
  <c r="D10" i="32"/>
  <c r="F43" i="32"/>
  <c r="D12" i="32"/>
  <c r="D74" i="32"/>
  <c r="F74" i="32" s="1"/>
  <c r="F45" i="32"/>
  <c r="D76" i="32"/>
  <c r="F76" i="32" s="1"/>
  <c r="D14" i="32"/>
  <c r="F47" i="32"/>
  <c r="D78" i="32"/>
  <c r="F78" i="32" s="1"/>
  <c r="D16" i="32"/>
  <c r="F49" i="32"/>
  <c r="D80" i="32"/>
  <c r="F80" i="32" s="1"/>
  <c r="D18" i="32"/>
  <c r="F51" i="32"/>
  <c r="D20" i="32"/>
  <c r="D82" i="32"/>
  <c r="F82" i="32" s="1"/>
  <c r="F53" i="32"/>
  <c r="D84" i="32"/>
  <c r="F84" i="32" s="1"/>
  <c r="D22" i="32"/>
  <c r="F55" i="32"/>
  <c r="D86" i="32"/>
  <c r="F86" i="32" s="1"/>
  <c r="D24" i="32"/>
  <c r="F57" i="32"/>
  <c r="D88" i="32"/>
  <c r="F88" i="32" s="1"/>
  <c r="D26" i="32"/>
  <c r="F59" i="32"/>
  <c r="D28" i="32"/>
  <c r="D90" i="32"/>
  <c r="F90" i="32" s="1"/>
  <c r="F61" i="32"/>
  <c r="D92" i="32"/>
  <c r="F92" i="32" s="1"/>
  <c r="D30" i="32"/>
  <c r="F63" i="32"/>
  <c r="D94" i="32"/>
  <c r="F94" i="32" s="1"/>
  <c r="D32" i="32"/>
  <c r="E118" i="32"/>
  <c r="F111" i="32"/>
  <c r="F115" i="32"/>
  <c r="E118" i="36"/>
  <c r="E95" i="36"/>
  <c r="C109" i="36" s="1"/>
  <c r="E64" i="36"/>
  <c r="F64" i="36" s="1"/>
  <c r="F37" i="36"/>
  <c r="D68" i="36"/>
  <c r="D6" i="36"/>
  <c r="F39" i="36"/>
  <c r="D70" i="36"/>
  <c r="F70" i="36" s="1"/>
  <c r="D8" i="36"/>
  <c r="F41" i="36"/>
  <c r="D72" i="36"/>
  <c r="F72" i="36" s="1"/>
  <c r="D10" i="36"/>
  <c r="F43" i="36"/>
  <c r="D12" i="36"/>
  <c r="D74" i="36"/>
  <c r="F74" i="36" s="1"/>
  <c r="F45" i="36"/>
  <c r="D76" i="36"/>
  <c r="F76" i="36" s="1"/>
  <c r="D14" i="36"/>
  <c r="F47" i="36"/>
  <c r="D78" i="36"/>
  <c r="F78" i="36" s="1"/>
  <c r="D16" i="36"/>
  <c r="F49" i="36"/>
  <c r="D80" i="36"/>
  <c r="F80" i="36" s="1"/>
  <c r="D18" i="36"/>
  <c r="F51" i="36"/>
  <c r="D20" i="36"/>
  <c r="D82" i="36"/>
  <c r="F82" i="36" s="1"/>
  <c r="F53" i="36"/>
  <c r="D84" i="36"/>
  <c r="F84" i="36" s="1"/>
  <c r="D22" i="36"/>
  <c r="F55" i="36"/>
  <c r="D86" i="36"/>
  <c r="F86" i="36" s="1"/>
  <c r="D24" i="36"/>
  <c r="F57" i="36"/>
  <c r="D88" i="36"/>
  <c r="F88" i="36" s="1"/>
  <c r="D26" i="36"/>
  <c r="F59" i="36"/>
  <c r="D28" i="36"/>
  <c r="D90" i="36"/>
  <c r="F90" i="36" s="1"/>
  <c r="F61" i="36"/>
  <c r="D92" i="36"/>
  <c r="F92" i="36" s="1"/>
  <c r="D30" i="36"/>
  <c r="F63" i="36"/>
  <c r="D94" i="36"/>
  <c r="F94" i="36" s="1"/>
  <c r="D32" i="36"/>
  <c r="F62" i="46"/>
  <c r="D31" i="46"/>
  <c r="F60" i="46"/>
  <c r="D29" i="46"/>
  <c r="F58" i="46"/>
  <c r="D27" i="46"/>
  <c r="F56" i="46"/>
  <c r="D25" i="46"/>
  <c r="F54" i="46"/>
  <c r="D23" i="46"/>
  <c r="F52" i="46"/>
  <c r="D21" i="46"/>
  <c r="F50" i="46"/>
  <c r="D19" i="46"/>
  <c r="F48" i="46"/>
  <c r="D17" i="46"/>
  <c r="F46" i="46"/>
  <c r="D15" i="46"/>
  <c r="F44" i="46"/>
  <c r="D13" i="46"/>
  <c r="F42" i="46"/>
  <c r="D11" i="46"/>
  <c r="D64" i="46"/>
  <c r="F64" i="46" s="1"/>
  <c r="N18" i="63" s="1"/>
  <c r="D94" i="48"/>
  <c r="F94" i="48" s="1"/>
  <c r="D32" i="48"/>
  <c r="D92" i="48"/>
  <c r="F92" i="48" s="1"/>
  <c r="D30" i="48"/>
  <c r="D90" i="48"/>
  <c r="F90" i="48" s="1"/>
  <c r="D28" i="48"/>
  <c r="D88" i="48"/>
  <c r="F88" i="48" s="1"/>
  <c r="D26" i="48"/>
  <c r="D86" i="48"/>
  <c r="F86" i="48" s="1"/>
  <c r="D24" i="48"/>
  <c r="D84" i="48"/>
  <c r="F84" i="48" s="1"/>
  <c r="D22" i="48"/>
  <c r="D82" i="48"/>
  <c r="F82" i="48" s="1"/>
  <c r="D20" i="48"/>
  <c r="D80" i="48"/>
  <c r="F80" i="48" s="1"/>
  <c r="D18" i="48"/>
  <c r="D78" i="48"/>
  <c r="F78" i="48" s="1"/>
  <c r="D16" i="48"/>
  <c r="D76" i="48"/>
  <c r="F76" i="48" s="1"/>
  <c r="D14" i="48"/>
  <c r="D74" i="48"/>
  <c r="F74" i="48" s="1"/>
  <c r="D12" i="48"/>
  <c r="D72" i="48"/>
  <c r="F72" i="48" s="1"/>
  <c r="D10" i="48"/>
  <c r="D70" i="48"/>
  <c r="F70" i="48" s="1"/>
  <c r="D8" i="48"/>
  <c r="D68" i="48"/>
  <c r="F68" i="48" s="1"/>
  <c r="D6" i="48"/>
  <c r="F62" i="50"/>
  <c r="D31" i="50"/>
  <c r="F60" i="50"/>
  <c r="D29" i="50"/>
  <c r="F58" i="50"/>
  <c r="D27" i="50"/>
  <c r="F56" i="50"/>
  <c r="D25" i="50"/>
  <c r="F54" i="50"/>
  <c r="D23" i="50"/>
  <c r="F52" i="50"/>
  <c r="D21" i="50"/>
  <c r="F50" i="50"/>
  <c r="D19" i="50"/>
  <c r="F48" i="50"/>
  <c r="D17" i="50"/>
  <c r="F46" i="50"/>
  <c r="D15" i="50"/>
  <c r="F44" i="50"/>
  <c r="D13" i="50"/>
  <c r="F42" i="50"/>
  <c r="D11" i="50"/>
  <c r="D64" i="50"/>
  <c r="F64" i="50" s="1"/>
  <c r="N14" i="63" s="1"/>
  <c r="D118" i="51"/>
  <c r="E105" i="51"/>
  <c r="E95" i="51"/>
  <c r="C109" i="51" s="1"/>
  <c r="E13" i="63"/>
  <c r="E64" i="51"/>
  <c r="M13" i="63" s="1"/>
  <c r="F63" i="55"/>
  <c r="D32" i="55"/>
  <c r="F61" i="55"/>
  <c r="D30" i="55"/>
  <c r="F59" i="55"/>
  <c r="D28" i="55"/>
  <c r="F57" i="55"/>
  <c r="D26" i="55"/>
  <c r="F55" i="55"/>
  <c r="D24" i="55"/>
  <c r="F53" i="55"/>
  <c r="D22" i="55"/>
  <c r="F51" i="55"/>
  <c r="D20" i="55"/>
  <c r="F49" i="55"/>
  <c r="D18" i="55"/>
  <c r="F47" i="55"/>
  <c r="D16" i="55"/>
  <c r="F45" i="55"/>
  <c r="D14" i="55"/>
  <c r="F43" i="55"/>
  <c r="D12" i="55"/>
  <c r="F41" i="55"/>
  <c r="D10" i="55"/>
  <c r="F39" i="55"/>
  <c r="D8" i="55"/>
  <c r="F69" i="38"/>
  <c r="F71" i="38"/>
  <c r="F75" i="38"/>
  <c r="F79" i="38"/>
  <c r="F81" i="38"/>
  <c r="D83" i="38"/>
  <c r="F83" i="38" s="1"/>
  <c r="D21" i="38"/>
  <c r="D85" i="38"/>
  <c r="F85" i="38" s="1"/>
  <c r="D23" i="38"/>
  <c r="D87" i="38"/>
  <c r="F87" i="38" s="1"/>
  <c r="D25" i="38"/>
  <c r="D89" i="38"/>
  <c r="F89" i="38" s="1"/>
  <c r="D27" i="38"/>
  <c r="D91" i="38"/>
  <c r="F91" i="38" s="1"/>
  <c r="D29" i="38"/>
  <c r="D93" i="38"/>
  <c r="F93" i="38" s="1"/>
  <c r="D31" i="38"/>
  <c r="F111" i="15"/>
  <c r="E118" i="21"/>
  <c r="F94" i="23"/>
  <c r="F90" i="23"/>
  <c r="F86" i="23"/>
  <c r="F82" i="23"/>
  <c r="F78" i="23"/>
  <c r="F70" i="23"/>
  <c r="F115" i="25"/>
  <c r="F38" i="25"/>
  <c r="F42" i="25"/>
  <c r="F46" i="25"/>
  <c r="F48" i="25"/>
  <c r="F50" i="25"/>
  <c r="F52" i="25"/>
  <c r="F54" i="25"/>
  <c r="F56" i="25"/>
  <c r="F58" i="25"/>
  <c r="F60" i="25"/>
  <c r="F62" i="25"/>
  <c r="F110" i="25"/>
  <c r="F112" i="25"/>
  <c r="F114" i="25"/>
  <c r="F37" i="26"/>
  <c r="D6" i="26"/>
  <c r="F39" i="26"/>
  <c r="D8" i="26"/>
  <c r="F41" i="26"/>
  <c r="D10" i="26"/>
  <c r="F43" i="26"/>
  <c r="D12" i="26"/>
  <c r="F45" i="26"/>
  <c r="D14" i="26"/>
  <c r="F47" i="26"/>
  <c r="D16" i="26"/>
  <c r="F49" i="26"/>
  <c r="D18" i="26"/>
  <c r="F51" i="26"/>
  <c r="D20" i="26"/>
  <c r="F53" i="26"/>
  <c r="D22" i="26"/>
  <c r="F55" i="26"/>
  <c r="D24" i="26"/>
  <c r="F57" i="26"/>
  <c r="D26" i="26"/>
  <c r="F59" i="26"/>
  <c r="D28" i="26"/>
  <c r="F61" i="26"/>
  <c r="D30" i="26"/>
  <c r="F63" i="26"/>
  <c r="D32" i="26"/>
  <c r="E118" i="26"/>
  <c r="F111" i="26"/>
  <c r="F113" i="26"/>
  <c r="F115" i="26"/>
  <c r="F116" i="26"/>
  <c r="F38" i="27"/>
  <c r="F40" i="27"/>
  <c r="F42" i="27"/>
  <c r="F44" i="27"/>
  <c r="F46" i="27"/>
  <c r="F48" i="27"/>
  <c r="F50" i="27"/>
  <c r="F52" i="27"/>
  <c r="D21" i="27"/>
  <c r="F54" i="27"/>
  <c r="D23" i="27"/>
  <c r="F56" i="27"/>
  <c r="D25" i="27"/>
  <c r="F58" i="27"/>
  <c r="D27" i="27"/>
  <c r="F60" i="27"/>
  <c r="D29" i="27"/>
  <c r="F62" i="27"/>
  <c r="D31" i="27"/>
  <c r="E64" i="28"/>
  <c r="M36" i="63" s="1"/>
  <c r="F37" i="28"/>
  <c r="F39" i="28"/>
  <c r="F41" i="28"/>
  <c r="F43" i="28"/>
  <c r="F45" i="28"/>
  <c r="F47" i="28"/>
  <c r="F49" i="28"/>
  <c r="F51" i="28"/>
  <c r="F53" i="28"/>
  <c r="F55" i="28"/>
  <c r="F57" i="28"/>
  <c r="F59" i="28"/>
  <c r="F61" i="28"/>
  <c r="F63" i="28"/>
  <c r="E118" i="28"/>
  <c r="F111" i="28"/>
  <c r="F113" i="28"/>
  <c r="F115" i="28"/>
  <c r="F116" i="28"/>
  <c r="F38" i="29"/>
  <c r="F42" i="29"/>
  <c r="F44" i="29"/>
  <c r="F46" i="29"/>
  <c r="F48" i="29"/>
  <c r="F50" i="29"/>
  <c r="F52" i="29"/>
  <c r="F54" i="29"/>
  <c r="F56" i="29"/>
  <c r="F58" i="29"/>
  <c r="F60" i="29"/>
  <c r="F62" i="29"/>
  <c r="D118" i="37"/>
  <c r="E105" i="37"/>
  <c r="D64" i="37"/>
  <c r="D5" i="37"/>
  <c r="F38" i="37"/>
  <c r="D7" i="37"/>
  <c r="F40" i="37"/>
  <c r="D9" i="37"/>
  <c r="F42" i="37"/>
  <c r="D11" i="37"/>
  <c r="F44" i="37"/>
  <c r="D13" i="37"/>
  <c r="F46" i="37"/>
  <c r="D15" i="37"/>
  <c r="F48" i="37"/>
  <c r="D17" i="37"/>
  <c r="F50" i="37"/>
  <c r="D19" i="37"/>
  <c r="F52" i="37"/>
  <c r="D21" i="37"/>
  <c r="F54" i="37"/>
  <c r="D23" i="37"/>
  <c r="F56" i="37"/>
  <c r="D25" i="37"/>
  <c r="F58" i="37"/>
  <c r="D27" i="37"/>
  <c r="F60" i="37"/>
  <c r="D29" i="37"/>
  <c r="F62" i="37"/>
  <c r="D31" i="37"/>
  <c r="E64" i="39"/>
  <c r="M25" i="63" s="1"/>
  <c r="E95" i="39"/>
  <c r="C109" i="39" s="1"/>
  <c r="D64" i="39"/>
  <c r="F64" i="39" s="1"/>
  <c r="D5" i="39"/>
  <c r="F38" i="39"/>
  <c r="D7" i="39"/>
  <c r="F40" i="39"/>
  <c r="D9" i="39"/>
  <c r="F42" i="39"/>
  <c r="D11" i="39"/>
  <c r="F44" i="39"/>
  <c r="D13" i="39"/>
  <c r="F46" i="39"/>
  <c r="D15" i="39"/>
  <c r="F48" i="39"/>
  <c r="D17" i="39"/>
  <c r="F50" i="39"/>
  <c r="D19" i="39"/>
  <c r="F52" i="39"/>
  <c r="D21" i="39"/>
  <c r="F54" i="39"/>
  <c r="D23" i="39"/>
  <c r="F56" i="39"/>
  <c r="D25" i="39"/>
  <c r="F58" i="39"/>
  <c r="D27" i="39"/>
  <c r="F60" i="39"/>
  <c r="D29" i="39"/>
  <c r="F62" i="39"/>
  <c r="D31" i="39"/>
  <c r="E95" i="41"/>
  <c r="C109" i="41" s="1"/>
  <c r="E64" i="41"/>
  <c r="M23" i="63" s="1"/>
  <c r="D80" i="41"/>
  <c r="F80" i="41" s="1"/>
  <c r="D18" i="41"/>
  <c r="D82" i="41"/>
  <c r="F82" i="41" s="1"/>
  <c r="D20" i="41"/>
  <c r="D84" i="41"/>
  <c r="F84" i="41" s="1"/>
  <c r="D22" i="41"/>
  <c r="D86" i="41"/>
  <c r="F86" i="41" s="1"/>
  <c r="D24" i="41"/>
  <c r="D88" i="41"/>
  <c r="F88" i="41" s="1"/>
  <c r="D26" i="41"/>
  <c r="D90" i="41"/>
  <c r="F90" i="41" s="1"/>
  <c r="D28" i="41"/>
  <c r="D92" i="41"/>
  <c r="F92" i="41" s="1"/>
  <c r="D30" i="41"/>
  <c r="D94" i="41"/>
  <c r="F94" i="41" s="1"/>
  <c r="D32" i="41"/>
  <c r="E118" i="41"/>
  <c r="F113" i="41"/>
  <c r="F116" i="41"/>
  <c r="F40" i="52"/>
  <c r="D9" i="52"/>
  <c r="F42" i="52"/>
  <c r="D11" i="52"/>
  <c r="F44" i="52"/>
  <c r="D13" i="52"/>
  <c r="F46" i="52"/>
  <c r="D15" i="52"/>
  <c r="F48" i="52"/>
  <c r="D17" i="52"/>
  <c r="F50" i="52"/>
  <c r="D19" i="52"/>
  <c r="F52" i="52"/>
  <c r="D21" i="52"/>
  <c r="F54" i="52"/>
  <c r="D23" i="52"/>
  <c r="F56" i="52"/>
  <c r="D25" i="52"/>
  <c r="F58" i="52"/>
  <c r="D27" i="52"/>
  <c r="F60" i="52"/>
  <c r="D29" i="52"/>
  <c r="F62" i="52"/>
  <c r="D31" i="52"/>
  <c r="E95" i="54"/>
  <c r="C109" i="54" s="1"/>
  <c r="E64" i="54"/>
  <c r="M10" i="63" s="1"/>
  <c r="D68" i="54"/>
  <c r="F68" i="54" s="1"/>
  <c r="D6" i="54"/>
  <c r="D70" i="54"/>
  <c r="F70" i="54" s="1"/>
  <c r="D8" i="54"/>
  <c r="D72" i="54"/>
  <c r="F72" i="54" s="1"/>
  <c r="D10" i="54"/>
  <c r="D74" i="54"/>
  <c r="F74" i="54" s="1"/>
  <c r="D12" i="54"/>
  <c r="D76" i="54"/>
  <c r="F76" i="54" s="1"/>
  <c r="D14" i="54"/>
  <c r="D78" i="54"/>
  <c r="F78" i="54" s="1"/>
  <c r="D16" i="54"/>
  <c r="D80" i="54"/>
  <c r="F80" i="54" s="1"/>
  <c r="D18" i="54"/>
  <c r="D82" i="54"/>
  <c r="F82" i="54" s="1"/>
  <c r="D20" i="54"/>
  <c r="D84" i="54"/>
  <c r="F84" i="54" s="1"/>
  <c r="D22" i="54"/>
  <c r="D86" i="54"/>
  <c r="F86" i="54" s="1"/>
  <c r="D24" i="54"/>
  <c r="D88" i="54"/>
  <c r="F88" i="54" s="1"/>
  <c r="D26" i="54"/>
  <c r="D90" i="54"/>
  <c r="F90" i="54" s="1"/>
  <c r="D28" i="54"/>
  <c r="D92" i="54"/>
  <c r="F92" i="54" s="1"/>
  <c r="D30" i="54"/>
  <c r="D94" i="54"/>
  <c r="F94" i="54" s="1"/>
  <c r="D32" i="54"/>
  <c r="E118" i="54"/>
  <c r="F113" i="54"/>
  <c r="F116" i="54"/>
  <c r="F56" i="56"/>
  <c r="D25" i="56"/>
  <c r="F46" i="56"/>
  <c r="D15" i="56"/>
  <c r="D64" i="56"/>
  <c r="F110" i="56"/>
  <c r="F114" i="56"/>
  <c r="E118" i="34"/>
  <c r="F61" i="40"/>
  <c r="D30" i="40"/>
  <c r="F57" i="40"/>
  <c r="D26" i="40"/>
  <c r="F53" i="40"/>
  <c r="D22" i="40"/>
  <c r="F49" i="40"/>
  <c r="D18" i="40"/>
  <c r="F45" i="40"/>
  <c r="D14" i="40"/>
  <c r="F41" i="40"/>
  <c r="D10" i="40"/>
  <c r="F37" i="40"/>
  <c r="D6" i="40"/>
  <c r="E118" i="40"/>
  <c r="F113" i="40"/>
  <c r="E95" i="42"/>
  <c r="C109" i="42" s="1"/>
  <c r="E64" i="42"/>
  <c r="F64" i="42" s="1"/>
  <c r="F37" i="42"/>
  <c r="D6" i="42"/>
  <c r="F39" i="42"/>
  <c r="D8" i="42"/>
  <c r="F41" i="42"/>
  <c r="D10" i="42"/>
  <c r="F43" i="42"/>
  <c r="D12" i="42"/>
  <c r="F45" i="42"/>
  <c r="D14" i="42"/>
  <c r="F47" i="42"/>
  <c r="D16" i="42"/>
  <c r="F49" i="42"/>
  <c r="D18" i="42"/>
  <c r="F51" i="42"/>
  <c r="D20" i="42"/>
  <c r="F53" i="42"/>
  <c r="D22" i="42"/>
  <c r="F55" i="42"/>
  <c r="D24" i="42"/>
  <c r="F57" i="42"/>
  <c r="D26" i="42"/>
  <c r="F59" i="42"/>
  <c r="D28" i="42"/>
  <c r="F61" i="42"/>
  <c r="D30" i="42"/>
  <c r="F63" i="42"/>
  <c r="D32" i="42"/>
  <c r="E118" i="42"/>
  <c r="F113" i="42"/>
  <c r="F116" i="42"/>
  <c r="F62" i="43"/>
  <c r="D31" i="43"/>
  <c r="F58" i="43"/>
  <c r="D27" i="43"/>
  <c r="F54" i="43"/>
  <c r="D23" i="43"/>
  <c r="F50" i="43"/>
  <c r="D19" i="43"/>
  <c r="F46" i="43"/>
  <c r="D15" i="43"/>
  <c r="F42" i="43"/>
  <c r="D11" i="43"/>
  <c r="F38" i="43"/>
  <c r="D7" i="43"/>
  <c r="E64" i="43"/>
  <c r="M21" i="63" s="1"/>
  <c r="E95" i="43"/>
  <c r="C109" i="43" s="1"/>
  <c r="E105" i="43"/>
  <c r="D68" i="44"/>
  <c r="F68" i="44" s="1"/>
  <c r="D6" i="44"/>
  <c r="D70" i="44"/>
  <c r="F70" i="44" s="1"/>
  <c r="D8" i="44"/>
  <c r="D72" i="44"/>
  <c r="F72" i="44" s="1"/>
  <c r="D10" i="44"/>
  <c r="D74" i="44"/>
  <c r="F74" i="44" s="1"/>
  <c r="D12" i="44"/>
  <c r="D76" i="44"/>
  <c r="F76" i="44" s="1"/>
  <c r="D14" i="44"/>
  <c r="D78" i="44"/>
  <c r="F78" i="44" s="1"/>
  <c r="D16" i="44"/>
  <c r="D80" i="44"/>
  <c r="F80" i="44" s="1"/>
  <c r="D18" i="44"/>
  <c r="D82" i="44"/>
  <c r="F82" i="44" s="1"/>
  <c r="D20" i="44"/>
  <c r="D84" i="44"/>
  <c r="F84" i="44" s="1"/>
  <c r="D22" i="44"/>
  <c r="D86" i="44"/>
  <c r="F86" i="44" s="1"/>
  <c r="D24" i="44"/>
  <c r="D88" i="44"/>
  <c r="F88" i="44" s="1"/>
  <c r="D26" i="44"/>
  <c r="D90" i="44"/>
  <c r="F90" i="44" s="1"/>
  <c r="D28" i="44"/>
  <c r="D92" i="44"/>
  <c r="F92" i="44" s="1"/>
  <c r="D30" i="44"/>
  <c r="D94" i="44"/>
  <c r="F94" i="44" s="1"/>
  <c r="D32" i="44"/>
  <c r="E118" i="44"/>
  <c r="F111" i="44"/>
  <c r="F115" i="44"/>
  <c r="D67" i="45"/>
  <c r="F67" i="45" s="1"/>
  <c r="D5" i="45"/>
  <c r="D69" i="45"/>
  <c r="F69" i="45" s="1"/>
  <c r="D7" i="45"/>
  <c r="D71" i="45"/>
  <c r="F71" i="45" s="1"/>
  <c r="D9" i="45"/>
  <c r="D73" i="45"/>
  <c r="F73" i="45" s="1"/>
  <c r="D11" i="45"/>
  <c r="D75" i="45"/>
  <c r="F75" i="45" s="1"/>
  <c r="D13" i="45"/>
  <c r="D77" i="45"/>
  <c r="F77" i="45" s="1"/>
  <c r="D15" i="45"/>
  <c r="D79" i="45"/>
  <c r="F79" i="45" s="1"/>
  <c r="D17" i="45"/>
  <c r="D81" i="45"/>
  <c r="F81" i="45" s="1"/>
  <c r="D19" i="45"/>
  <c r="D83" i="45"/>
  <c r="F83" i="45" s="1"/>
  <c r="D21" i="45"/>
  <c r="D85" i="45"/>
  <c r="F85" i="45" s="1"/>
  <c r="D23" i="45"/>
  <c r="D87" i="45"/>
  <c r="F87" i="45" s="1"/>
  <c r="D25" i="45"/>
  <c r="D89" i="45"/>
  <c r="F89" i="45" s="1"/>
  <c r="D27" i="45"/>
  <c r="D91" i="45"/>
  <c r="F91" i="45" s="1"/>
  <c r="D29" i="45"/>
  <c r="D93" i="45"/>
  <c r="F93" i="45" s="1"/>
  <c r="D31" i="45"/>
  <c r="E118" i="47"/>
  <c r="F63" i="47"/>
  <c r="D32" i="47"/>
  <c r="F59" i="47"/>
  <c r="D28" i="47"/>
  <c r="F55" i="47"/>
  <c r="D24" i="47"/>
  <c r="F51" i="47"/>
  <c r="D20" i="47"/>
  <c r="F47" i="47"/>
  <c r="D16" i="47"/>
  <c r="F43" i="47"/>
  <c r="D12" i="47"/>
  <c r="E64" i="47"/>
  <c r="M17" i="63" s="1"/>
  <c r="E95" i="47"/>
  <c r="C109" i="47" s="1"/>
  <c r="E105" i="47"/>
  <c r="F61" i="49"/>
  <c r="D30" i="49"/>
  <c r="F57" i="49"/>
  <c r="D26" i="49"/>
  <c r="F53" i="49"/>
  <c r="D22" i="49"/>
  <c r="F49" i="49"/>
  <c r="D18" i="49"/>
  <c r="F45" i="49"/>
  <c r="D14" i="49"/>
  <c r="F112" i="49"/>
  <c r="F115" i="52"/>
  <c r="F111" i="52"/>
  <c r="D67" i="53"/>
  <c r="F67" i="53" s="1"/>
  <c r="D5" i="53"/>
  <c r="D69" i="53"/>
  <c r="F69" i="53" s="1"/>
  <c r="D7" i="53"/>
  <c r="D71" i="53"/>
  <c r="F71" i="53" s="1"/>
  <c r="D9" i="53"/>
  <c r="D73" i="53"/>
  <c r="F73" i="53" s="1"/>
  <c r="D11" i="53"/>
  <c r="D75" i="53"/>
  <c r="F75" i="53" s="1"/>
  <c r="D13" i="53"/>
  <c r="D77" i="53"/>
  <c r="F77" i="53" s="1"/>
  <c r="D15" i="53"/>
  <c r="D79" i="53"/>
  <c r="F79" i="53" s="1"/>
  <c r="D17" i="53"/>
  <c r="D81" i="53"/>
  <c r="F81" i="53" s="1"/>
  <c r="D19" i="53"/>
  <c r="D83" i="53"/>
  <c r="F83" i="53" s="1"/>
  <c r="D21" i="53"/>
  <c r="D85" i="53"/>
  <c r="F85" i="53" s="1"/>
  <c r="D23" i="53"/>
  <c r="D87" i="53"/>
  <c r="F87" i="53" s="1"/>
  <c r="D25" i="53"/>
  <c r="D89" i="53"/>
  <c r="F89" i="53" s="1"/>
  <c r="D27" i="53"/>
  <c r="D91" i="53"/>
  <c r="F91" i="53" s="1"/>
  <c r="D29" i="53"/>
  <c r="D93" i="53"/>
  <c r="F93" i="53" s="1"/>
  <c r="D31" i="53"/>
  <c r="F114" i="54"/>
  <c r="F110" i="54"/>
  <c r="F115" i="56"/>
  <c r="F111" i="56"/>
  <c r="D92" i="56"/>
  <c r="F92" i="56" s="1"/>
  <c r="D30" i="56"/>
  <c r="D88" i="56"/>
  <c r="F88" i="56" s="1"/>
  <c r="D26" i="56"/>
  <c r="D84" i="56"/>
  <c r="F84" i="56" s="1"/>
  <c r="D22" i="56"/>
  <c r="D80" i="56"/>
  <c r="F80" i="56" s="1"/>
  <c r="D18" i="56"/>
  <c r="D76" i="56"/>
  <c r="F76" i="56" s="1"/>
  <c r="D14" i="56"/>
  <c r="D72" i="56"/>
  <c r="F72" i="56" s="1"/>
  <c r="D10" i="56"/>
  <c r="D68" i="56"/>
  <c r="F68" i="56" s="1"/>
  <c r="D6" i="56"/>
  <c r="F85" i="57"/>
  <c r="F69" i="57"/>
  <c r="F71" i="49"/>
  <c r="F69" i="51"/>
  <c r="F113" i="52"/>
  <c r="E95" i="52"/>
  <c r="C109" i="52" s="1"/>
  <c r="F58" i="56"/>
  <c r="D27" i="56"/>
  <c r="F52" i="56"/>
  <c r="D21" i="56"/>
  <c r="F44" i="56"/>
  <c r="D13" i="56"/>
  <c r="F38" i="56"/>
  <c r="D7" i="56"/>
  <c r="F64" i="7"/>
  <c r="N57" i="63" s="1"/>
  <c r="D33" i="31"/>
  <c r="F64" i="51"/>
  <c r="N13" i="63" s="1"/>
  <c r="F62" i="1"/>
  <c r="D31" i="1"/>
  <c r="F60" i="1"/>
  <c r="D29" i="1"/>
  <c r="F58" i="1"/>
  <c r="D27" i="1"/>
  <c r="F56" i="1"/>
  <c r="D25" i="1"/>
  <c r="F54" i="1"/>
  <c r="D23" i="1"/>
  <c r="F52" i="1"/>
  <c r="D21" i="1"/>
  <c r="F50" i="1"/>
  <c r="D19" i="1"/>
  <c r="F48" i="1"/>
  <c r="D17" i="1"/>
  <c r="F46" i="1"/>
  <c r="D15" i="1"/>
  <c r="F44" i="1"/>
  <c r="D13" i="1"/>
  <c r="F42" i="1"/>
  <c r="D11" i="1"/>
  <c r="F40" i="1"/>
  <c r="D9" i="1"/>
  <c r="F38" i="1"/>
  <c r="D7" i="1"/>
  <c r="D64" i="1"/>
  <c r="F64" i="1" s="1"/>
  <c r="N63" i="63" s="1"/>
  <c r="D5" i="1"/>
  <c r="F114" i="1"/>
  <c r="F112" i="1"/>
  <c r="F110" i="1"/>
  <c r="F63" i="59"/>
  <c r="D32" i="59"/>
  <c r="F61" i="59"/>
  <c r="D30" i="59"/>
  <c r="F59" i="59"/>
  <c r="D28" i="59"/>
  <c r="F57" i="59"/>
  <c r="D26" i="59"/>
  <c r="F55" i="59"/>
  <c r="D24" i="59"/>
  <c r="F53" i="59"/>
  <c r="D22" i="59"/>
  <c r="F51" i="59"/>
  <c r="D20" i="59"/>
  <c r="F49" i="59"/>
  <c r="D18" i="59"/>
  <c r="F47" i="59"/>
  <c r="D16" i="59"/>
  <c r="F45" i="59"/>
  <c r="D14" i="59"/>
  <c r="F43" i="59"/>
  <c r="D12" i="59"/>
  <c r="F41" i="59"/>
  <c r="D10" i="59"/>
  <c r="F39" i="59"/>
  <c r="D8" i="59"/>
  <c r="F115" i="59"/>
  <c r="D118" i="59"/>
  <c r="E105" i="59"/>
  <c r="E95" i="59"/>
  <c r="C109" i="59" s="1"/>
  <c r="E64" i="59"/>
  <c r="F64" i="59" s="1"/>
  <c r="N62" i="63" s="1"/>
  <c r="D118" i="4"/>
  <c r="E105" i="4"/>
  <c r="E95" i="4"/>
  <c r="C109" i="4" s="1"/>
  <c r="E64" i="4"/>
  <c r="M60" i="63" s="1"/>
  <c r="D94" i="6"/>
  <c r="F94" i="6" s="1"/>
  <c r="D32" i="6"/>
  <c r="D92" i="6"/>
  <c r="F92" i="6" s="1"/>
  <c r="D30" i="6"/>
  <c r="D90" i="6"/>
  <c r="F90" i="6" s="1"/>
  <c r="D28" i="6"/>
  <c r="D88" i="6"/>
  <c r="F88" i="6" s="1"/>
  <c r="D26" i="6"/>
  <c r="D86" i="6"/>
  <c r="F86" i="6" s="1"/>
  <c r="D24" i="6"/>
  <c r="D84" i="6"/>
  <c r="F84" i="6" s="1"/>
  <c r="D22" i="6"/>
  <c r="D82" i="6"/>
  <c r="F82" i="6" s="1"/>
  <c r="D20" i="6"/>
  <c r="D80" i="6"/>
  <c r="F80" i="6" s="1"/>
  <c r="D18" i="6"/>
  <c r="D78" i="6"/>
  <c r="F78" i="6" s="1"/>
  <c r="D16" i="6"/>
  <c r="D76" i="6"/>
  <c r="F76" i="6" s="1"/>
  <c r="D14" i="6"/>
  <c r="D74" i="6"/>
  <c r="F74" i="6" s="1"/>
  <c r="D12" i="6"/>
  <c r="D72" i="6"/>
  <c r="F72" i="6" s="1"/>
  <c r="D10" i="6"/>
  <c r="D70" i="6"/>
  <c r="F70" i="6" s="1"/>
  <c r="D8" i="6"/>
  <c r="D68" i="6"/>
  <c r="F68" i="6" s="1"/>
  <c r="D6" i="6"/>
  <c r="F114" i="7"/>
  <c r="F115" i="7"/>
  <c r="D93" i="7"/>
  <c r="F93" i="7" s="1"/>
  <c r="D31" i="7"/>
  <c r="D91" i="7"/>
  <c r="F91" i="7" s="1"/>
  <c r="D29" i="7"/>
  <c r="D89" i="7"/>
  <c r="F89" i="7" s="1"/>
  <c r="D27" i="7"/>
  <c r="D87" i="7"/>
  <c r="F87" i="7" s="1"/>
  <c r="D25" i="7"/>
  <c r="D85" i="7"/>
  <c r="F85" i="7" s="1"/>
  <c r="D23" i="7"/>
  <c r="D83" i="7"/>
  <c r="F83" i="7" s="1"/>
  <c r="D21" i="7"/>
  <c r="D81" i="7"/>
  <c r="F81" i="7" s="1"/>
  <c r="D19" i="7"/>
  <c r="D79" i="7"/>
  <c r="F79" i="7" s="1"/>
  <c r="D17" i="7"/>
  <c r="D77" i="7"/>
  <c r="F77" i="7" s="1"/>
  <c r="D15" i="7"/>
  <c r="D75" i="7"/>
  <c r="F75" i="7" s="1"/>
  <c r="D13" i="7"/>
  <c r="D73" i="7"/>
  <c r="F73" i="7" s="1"/>
  <c r="D11" i="7"/>
  <c r="D71" i="7"/>
  <c r="F71" i="7" s="1"/>
  <c r="D9" i="7"/>
  <c r="F69" i="7"/>
  <c r="F62" i="8"/>
  <c r="D31" i="8"/>
  <c r="F60" i="8"/>
  <c r="D29" i="8"/>
  <c r="F58" i="8"/>
  <c r="D27" i="8"/>
  <c r="F56" i="8"/>
  <c r="D25" i="8"/>
  <c r="F54" i="8"/>
  <c r="D23" i="8"/>
  <c r="F52" i="8"/>
  <c r="D21" i="8"/>
  <c r="F50" i="8"/>
  <c r="D19" i="8"/>
  <c r="F48" i="8"/>
  <c r="D17" i="8"/>
  <c r="F46" i="8"/>
  <c r="D15" i="8"/>
  <c r="F44" i="8"/>
  <c r="D13" i="8"/>
  <c r="F42" i="8"/>
  <c r="D11" i="8"/>
  <c r="F40" i="8"/>
  <c r="D9" i="8"/>
  <c r="F38" i="8"/>
  <c r="D7" i="8"/>
  <c r="D64" i="8"/>
  <c r="F64" i="8" s="1"/>
  <c r="N56" i="63" s="1"/>
  <c r="D5" i="8"/>
  <c r="E105" i="9"/>
  <c r="E95" i="9"/>
  <c r="C109" i="9" s="1"/>
  <c r="E64" i="9"/>
  <c r="F64" i="9" s="1"/>
  <c r="E118" i="10"/>
  <c r="E105" i="10"/>
  <c r="E95" i="10"/>
  <c r="C109" i="10" s="1"/>
  <c r="E64" i="10"/>
  <c r="M54" i="63" s="1"/>
  <c r="D118" i="11"/>
  <c r="E105" i="11"/>
  <c r="E95" i="11"/>
  <c r="C109" i="11" s="1"/>
  <c r="E64" i="11"/>
  <c r="M53" i="63" s="1"/>
  <c r="D118" i="12"/>
  <c r="E105" i="12"/>
  <c r="E95" i="12"/>
  <c r="C109" i="12" s="1"/>
  <c r="E64" i="12"/>
  <c r="F64" i="12" s="1"/>
  <c r="N52" i="63" s="1"/>
  <c r="F63" i="9"/>
  <c r="D32" i="9"/>
  <c r="F61" i="9"/>
  <c r="D30" i="9"/>
  <c r="F59" i="9"/>
  <c r="D28" i="9"/>
  <c r="F57" i="9"/>
  <c r="D26" i="9"/>
  <c r="F55" i="9"/>
  <c r="D24" i="9"/>
  <c r="F53" i="9"/>
  <c r="D22" i="9"/>
  <c r="F51" i="9"/>
  <c r="D20" i="9"/>
  <c r="F49" i="9"/>
  <c r="D18" i="9"/>
  <c r="F47" i="9"/>
  <c r="D16" i="9"/>
  <c r="F45" i="9"/>
  <c r="D14" i="9"/>
  <c r="F43" i="9"/>
  <c r="D12" i="9"/>
  <c r="F41" i="9"/>
  <c r="D10" i="9"/>
  <c r="F39" i="9"/>
  <c r="D8" i="9"/>
  <c r="F37" i="9"/>
  <c r="D6" i="9"/>
  <c r="F111" i="9"/>
  <c r="F113" i="9"/>
  <c r="F115" i="9"/>
  <c r="F116" i="9"/>
  <c r="F114" i="10"/>
  <c r="F112" i="10"/>
  <c r="F110" i="10"/>
  <c r="F62" i="10"/>
  <c r="D31" i="10"/>
  <c r="F60" i="10"/>
  <c r="D29" i="10"/>
  <c r="F58" i="10"/>
  <c r="D27" i="10"/>
  <c r="F56" i="10"/>
  <c r="D25" i="10"/>
  <c r="F54" i="10"/>
  <c r="D23" i="10"/>
  <c r="F52" i="10"/>
  <c r="D21" i="10"/>
  <c r="F50" i="10"/>
  <c r="D19" i="10"/>
  <c r="F48" i="10"/>
  <c r="D17" i="10"/>
  <c r="F46" i="10"/>
  <c r="D15" i="10"/>
  <c r="F44" i="10"/>
  <c r="D13" i="10"/>
  <c r="F42" i="10"/>
  <c r="D11" i="10"/>
  <c r="F40" i="10"/>
  <c r="D9" i="10"/>
  <c r="F38" i="10"/>
  <c r="D7" i="10"/>
  <c r="D64" i="10"/>
  <c r="D5" i="10"/>
  <c r="F62" i="11"/>
  <c r="D31" i="11"/>
  <c r="F60" i="11"/>
  <c r="D29" i="11"/>
  <c r="F58" i="11"/>
  <c r="D27" i="11"/>
  <c r="F56" i="11"/>
  <c r="D25" i="11"/>
  <c r="F54" i="11"/>
  <c r="D23" i="11"/>
  <c r="F52" i="11"/>
  <c r="D21" i="11"/>
  <c r="F50" i="11"/>
  <c r="D19" i="11"/>
  <c r="F48" i="11"/>
  <c r="D17" i="11"/>
  <c r="F46" i="11"/>
  <c r="D15" i="11"/>
  <c r="F44" i="11"/>
  <c r="D13" i="11"/>
  <c r="F42" i="11"/>
  <c r="D11" i="11"/>
  <c r="F40" i="11"/>
  <c r="D9" i="11"/>
  <c r="F38" i="11"/>
  <c r="D7" i="11"/>
  <c r="D64" i="11"/>
  <c r="D5" i="11"/>
  <c r="D93" i="12"/>
  <c r="F93" i="12" s="1"/>
  <c r="D31" i="12"/>
  <c r="D91" i="12"/>
  <c r="F91" i="12" s="1"/>
  <c r="D29" i="12"/>
  <c r="D89" i="12"/>
  <c r="F89" i="12" s="1"/>
  <c r="D27" i="12"/>
  <c r="D87" i="12"/>
  <c r="F87" i="12" s="1"/>
  <c r="D25" i="12"/>
  <c r="D85" i="12"/>
  <c r="F85" i="12" s="1"/>
  <c r="D23" i="12"/>
  <c r="D83" i="12"/>
  <c r="F83" i="12" s="1"/>
  <c r="D21" i="12"/>
  <c r="D81" i="12"/>
  <c r="F81" i="12" s="1"/>
  <c r="D19" i="12"/>
  <c r="D79" i="12"/>
  <c r="F79" i="12" s="1"/>
  <c r="D17" i="12"/>
  <c r="D77" i="12"/>
  <c r="F77" i="12" s="1"/>
  <c r="D15" i="12"/>
  <c r="D75" i="12"/>
  <c r="F75" i="12" s="1"/>
  <c r="D13" i="12"/>
  <c r="D73" i="12"/>
  <c r="F73" i="12" s="1"/>
  <c r="D11" i="12"/>
  <c r="D71" i="12"/>
  <c r="F71" i="12" s="1"/>
  <c r="D9" i="12"/>
  <c r="D69" i="12"/>
  <c r="F69" i="12" s="1"/>
  <c r="D7" i="12"/>
  <c r="D67" i="12"/>
  <c r="F67" i="12" s="1"/>
  <c r="D5" i="12"/>
  <c r="D74" i="13"/>
  <c r="F74" i="13" s="1"/>
  <c r="D12" i="13"/>
  <c r="D72" i="13"/>
  <c r="F72" i="13" s="1"/>
  <c r="D10" i="13"/>
  <c r="D70" i="13"/>
  <c r="F70" i="13" s="1"/>
  <c r="D8" i="13"/>
  <c r="D68" i="13"/>
  <c r="F68" i="13" s="1"/>
  <c r="D6" i="13"/>
  <c r="D91" i="14"/>
  <c r="F91" i="14" s="1"/>
  <c r="D29" i="14"/>
  <c r="D89" i="14"/>
  <c r="F89" i="14" s="1"/>
  <c r="D27" i="14"/>
  <c r="D87" i="14"/>
  <c r="F87" i="14" s="1"/>
  <c r="D25" i="14"/>
  <c r="D85" i="14"/>
  <c r="F85" i="14" s="1"/>
  <c r="D23" i="14"/>
  <c r="D83" i="14"/>
  <c r="F83" i="14" s="1"/>
  <c r="D21" i="14"/>
  <c r="D81" i="14"/>
  <c r="F81" i="14" s="1"/>
  <c r="D19" i="14"/>
  <c r="D79" i="14"/>
  <c r="F79" i="14" s="1"/>
  <c r="D17" i="14"/>
  <c r="D77" i="14"/>
  <c r="F77" i="14" s="1"/>
  <c r="D15" i="14"/>
  <c r="D75" i="14"/>
  <c r="F75" i="14" s="1"/>
  <c r="D13" i="14"/>
  <c r="D73" i="14"/>
  <c r="F73" i="14" s="1"/>
  <c r="D11" i="14"/>
  <c r="D71" i="14"/>
  <c r="F71" i="14" s="1"/>
  <c r="D9" i="14"/>
  <c r="D69" i="14"/>
  <c r="F69" i="14" s="1"/>
  <c r="D7" i="14"/>
  <c r="D33" i="14" s="1"/>
  <c r="B50" i="63" s="1"/>
  <c r="D64" i="14"/>
  <c r="F64" i="14" s="1"/>
  <c r="N50" i="63" s="1"/>
  <c r="D118" i="15"/>
  <c r="E105" i="15"/>
  <c r="E95" i="15"/>
  <c r="C109" i="15" s="1"/>
  <c r="E64" i="15"/>
  <c r="F64" i="15" s="1"/>
  <c r="N49" i="63" s="1"/>
  <c r="D118" i="21"/>
  <c r="E105" i="21"/>
  <c r="E95" i="21"/>
  <c r="C109" i="21" s="1"/>
  <c r="E64" i="21"/>
  <c r="F64" i="21" s="1"/>
  <c r="N43" i="63" s="1"/>
  <c r="D118" i="22"/>
  <c r="D93" i="22"/>
  <c r="F93" i="22" s="1"/>
  <c r="D31" i="22"/>
  <c r="D91" i="22"/>
  <c r="F91" i="22" s="1"/>
  <c r="D29" i="22"/>
  <c r="D89" i="22"/>
  <c r="F89" i="22" s="1"/>
  <c r="D27" i="22"/>
  <c r="D87" i="22"/>
  <c r="F87" i="22" s="1"/>
  <c r="D25" i="22"/>
  <c r="D85" i="22"/>
  <c r="F85" i="22" s="1"/>
  <c r="D23" i="22"/>
  <c r="D83" i="22"/>
  <c r="F83" i="22" s="1"/>
  <c r="D21" i="22"/>
  <c r="D81" i="22"/>
  <c r="F81" i="22" s="1"/>
  <c r="D19" i="22"/>
  <c r="D79" i="22"/>
  <c r="F79" i="22" s="1"/>
  <c r="D17" i="22"/>
  <c r="D77" i="22"/>
  <c r="F77" i="22" s="1"/>
  <c r="D15" i="22"/>
  <c r="D75" i="22"/>
  <c r="F75" i="22" s="1"/>
  <c r="D13" i="22"/>
  <c r="D73" i="22"/>
  <c r="F73" i="22" s="1"/>
  <c r="D11" i="22"/>
  <c r="D71" i="22"/>
  <c r="F71" i="22" s="1"/>
  <c r="D9" i="22"/>
  <c r="D69" i="22"/>
  <c r="F69" i="22" s="1"/>
  <c r="D7" i="22"/>
  <c r="D67" i="22"/>
  <c r="F67" i="22" s="1"/>
  <c r="D5" i="22"/>
  <c r="D76" i="13"/>
  <c r="F76" i="13" s="1"/>
  <c r="D14" i="13"/>
  <c r="D78" i="13"/>
  <c r="F78" i="13" s="1"/>
  <c r="D16" i="13"/>
  <c r="D80" i="13"/>
  <c r="F80" i="13" s="1"/>
  <c r="D18" i="13"/>
  <c r="D82" i="13"/>
  <c r="F82" i="13" s="1"/>
  <c r="D20" i="13"/>
  <c r="D84" i="13"/>
  <c r="F84" i="13" s="1"/>
  <c r="D22" i="13"/>
  <c r="D86" i="13"/>
  <c r="F86" i="13" s="1"/>
  <c r="D24" i="13"/>
  <c r="D88" i="13"/>
  <c r="F88" i="13" s="1"/>
  <c r="D26" i="13"/>
  <c r="D90" i="13"/>
  <c r="F90" i="13" s="1"/>
  <c r="D28" i="13"/>
  <c r="D92" i="13"/>
  <c r="F92" i="13" s="1"/>
  <c r="D30" i="13"/>
  <c r="D94" i="13"/>
  <c r="F94" i="13" s="1"/>
  <c r="D32" i="13"/>
  <c r="F110" i="13"/>
  <c r="F112" i="13"/>
  <c r="F114" i="13"/>
  <c r="D118" i="14"/>
  <c r="E105" i="14"/>
  <c r="E95" i="14"/>
  <c r="C109" i="14" s="1"/>
  <c r="F69" i="15"/>
  <c r="E95" i="17"/>
  <c r="C109" i="17" s="1"/>
  <c r="E64" i="17"/>
  <c r="F64" i="17" s="1"/>
  <c r="F41" i="17"/>
  <c r="D10" i="17"/>
  <c r="D12" i="17"/>
  <c r="F45" i="17"/>
  <c r="D14" i="17"/>
  <c r="F47" i="17"/>
  <c r="D16" i="17"/>
  <c r="F49" i="17"/>
  <c r="D18" i="17"/>
  <c r="F51" i="17"/>
  <c r="D20" i="17"/>
  <c r="F53" i="17"/>
  <c r="D22" i="17"/>
  <c r="F55" i="17"/>
  <c r="N47" i="63" s="1"/>
  <c r="D24" i="17"/>
  <c r="F57" i="17"/>
  <c r="D26" i="17"/>
  <c r="F59" i="17"/>
  <c r="D28" i="17"/>
  <c r="F61" i="17"/>
  <c r="D30" i="17"/>
  <c r="F63" i="17"/>
  <c r="D32" i="17"/>
  <c r="E118" i="17"/>
  <c r="F113" i="17"/>
  <c r="F116" i="17"/>
  <c r="F62" i="23"/>
  <c r="D31" i="23"/>
  <c r="F58" i="23"/>
  <c r="D27" i="23"/>
  <c r="F54" i="23"/>
  <c r="D23" i="23"/>
  <c r="F50" i="23"/>
  <c r="D19" i="23"/>
  <c r="F46" i="23"/>
  <c r="D15" i="23"/>
  <c r="F42" i="23"/>
  <c r="D11" i="23"/>
  <c r="F38" i="23"/>
  <c r="D7" i="23"/>
  <c r="E64" i="23"/>
  <c r="M41" i="63" s="1"/>
  <c r="E95" i="23"/>
  <c r="C109" i="23" s="1"/>
  <c r="E105" i="23"/>
  <c r="D71" i="24"/>
  <c r="F71" i="24" s="1"/>
  <c r="D9" i="24"/>
  <c r="D69" i="24"/>
  <c r="F69" i="24" s="1"/>
  <c r="D7" i="24"/>
  <c r="D67" i="24"/>
  <c r="F67" i="24" s="1"/>
  <c r="D5" i="24"/>
  <c r="D33" i="24" s="1"/>
  <c r="D73" i="24"/>
  <c r="F73" i="24" s="1"/>
  <c r="D11" i="24"/>
  <c r="D75" i="24"/>
  <c r="F75" i="24" s="1"/>
  <c r="D13" i="24"/>
  <c r="D77" i="24"/>
  <c r="F77" i="24" s="1"/>
  <c r="D15" i="24"/>
  <c r="D79" i="24"/>
  <c r="F79" i="24" s="1"/>
  <c r="D17" i="24"/>
  <c r="D81" i="24"/>
  <c r="F81" i="24" s="1"/>
  <c r="D19" i="24"/>
  <c r="D83" i="24"/>
  <c r="F83" i="24" s="1"/>
  <c r="D21" i="24"/>
  <c r="D85" i="24"/>
  <c r="F85" i="24" s="1"/>
  <c r="D23" i="24"/>
  <c r="D87" i="24"/>
  <c r="F87" i="24" s="1"/>
  <c r="D25" i="24"/>
  <c r="D89" i="24"/>
  <c r="F89" i="24" s="1"/>
  <c r="D27" i="24"/>
  <c r="D91" i="24"/>
  <c r="F91" i="24" s="1"/>
  <c r="D29" i="24"/>
  <c r="D93" i="24"/>
  <c r="F93" i="24" s="1"/>
  <c r="D31" i="24"/>
  <c r="E105" i="33"/>
  <c r="E95" i="33"/>
  <c r="C109" i="33" s="1"/>
  <c r="E64" i="33"/>
  <c r="M31" i="63" s="1"/>
  <c r="D118" i="34"/>
  <c r="E105" i="34"/>
  <c r="E95" i="34"/>
  <c r="C109" i="34" s="1"/>
  <c r="E64" i="34"/>
  <c r="F64" i="34" s="1"/>
  <c r="N30" i="63" s="1"/>
  <c r="D118" i="35"/>
  <c r="E105" i="35"/>
  <c r="E95" i="35"/>
  <c r="C109" i="35" s="1"/>
  <c r="E64" i="35"/>
  <c r="F115" i="16"/>
  <c r="F64" i="16"/>
  <c r="F38" i="16"/>
  <c r="F42" i="16"/>
  <c r="F46" i="16"/>
  <c r="F50" i="16"/>
  <c r="F54" i="16"/>
  <c r="F58" i="16"/>
  <c r="F62" i="16"/>
  <c r="F110" i="16"/>
  <c r="F114" i="16"/>
  <c r="E95" i="19"/>
  <c r="C109" i="19" s="1"/>
  <c r="E64" i="19"/>
  <c r="F64" i="19" s="1"/>
  <c r="F37" i="19"/>
  <c r="F39" i="19"/>
  <c r="F41" i="19"/>
  <c r="D10" i="19"/>
  <c r="F43" i="19"/>
  <c r="D12" i="19"/>
  <c r="F45" i="19"/>
  <c r="D14" i="19"/>
  <c r="F47" i="19"/>
  <c r="D16" i="19"/>
  <c r="F49" i="19"/>
  <c r="D18" i="19"/>
  <c r="F51" i="19"/>
  <c r="D20" i="19"/>
  <c r="F53" i="19"/>
  <c r="D22" i="19"/>
  <c r="F55" i="19"/>
  <c r="D24" i="19"/>
  <c r="F57" i="19"/>
  <c r="D26" i="19"/>
  <c r="F59" i="19"/>
  <c r="D28" i="19"/>
  <c r="F61" i="19"/>
  <c r="D30" i="19"/>
  <c r="F63" i="19"/>
  <c r="D32" i="19"/>
  <c r="F110" i="19"/>
  <c r="F112" i="19"/>
  <c r="F114" i="19"/>
  <c r="E105" i="25"/>
  <c r="E105" i="26"/>
  <c r="E105" i="27"/>
  <c r="E105" i="28"/>
  <c r="E105" i="29"/>
  <c r="E105" i="30"/>
  <c r="D64" i="30"/>
  <c r="F64" i="30" s="1"/>
  <c r="F40" i="30"/>
  <c r="D9" i="30"/>
  <c r="D71" i="30"/>
  <c r="F71" i="30" s="1"/>
  <c r="F42" i="30"/>
  <c r="D73" i="30"/>
  <c r="F73" i="30" s="1"/>
  <c r="D11" i="30"/>
  <c r="F44" i="30"/>
  <c r="D13" i="30"/>
  <c r="D75" i="30"/>
  <c r="F75" i="30" s="1"/>
  <c r="F46" i="30"/>
  <c r="D77" i="30"/>
  <c r="F77" i="30" s="1"/>
  <c r="D15" i="30"/>
  <c r="F48" i="30"/>
  <c r="D17" i="30"/>
  <c r="D79" i="30"/>
  <c r="F79" i="30" s="1"/>
  <c r="F50" i="30"/>
  <c r="D81" i="30"/>
  <c r="F81" i="30" s="1"/>
  <c r="D19" i="30"/>
  <c r="F52" i="30"/>
  <c r="D21" i="30"/>
  <c r="D83" i="30"/>
  <c r="F83" i="30" s="1"/>
  <c r="F54" i="30"/>
  <c r="D85" i="30"/>
  <c r="F85" i="30" s="1"/>
  <c r="D23" i="30"/>
  <c r="F56" i="30"/>
  <c r="D25" i="30"/>
  <c r="D87" i="30"/>
  <c r="F87" i="30" s="1"/>
  <c r="F58" i="30"/>
  <c r="D89" i="30"/>
  <c r="F89" i="30" s="1"/>
  <c r="D27" i="30"/>
  <c r="F60" i="30"/>
  <c r="D29" i="30"/>
  <c r="D91" i="30"/>
  <c r="F91" i="30" s="1"/>
  <c r="F62" i="30"/>
  <c r="D93" i="30"/>
  <c r="F93" i="30" s="1"/>
  <c r="D31" i="30"/>
  <c r="E64" i="31"/>
  <c r="M33" i="63" s="1"/>
  <c r="F72" i="31"/>
  <c r="F80" i="31"/>
  <c r="F88" i="31"/>
  <c r="E118" i="31"/>
  <c r="F111" i="31"/>
  <c r="F115" i="31"/>
  <c r="F75" i="32"/>
  <c r="F83" i="32"/>
  <c r="F91" i="32"/>
  <c r="F115" i="36"/>
  <c r="F111" i="36"/>
  <c r="F75" i="36"/>
  <c r="F83" i="36"/>
  <c r="F91" i="36"/>
  <c r="F112" i="36"/>
  <c r="E95" i="38"/>
  <c r="C109" i="38" s="1"/>
  <c r="E64" i="38"/>
  <c r="F64" i="38" s="1"/>
  <c r="F115" i="46"/>
  <c r="E118" i="46"/>
  <c r="D94" i="46"/>
  <c r="F94" i="46" s="1"/>
  <c r="D32" i="46"/>
  <c r="D92" i="46"/>
  <c r="F92" i="46" s="1"/>
  <c r="D30" i="46"/>
  <c r="D90" i="46"/>
  <c r="F90" i="46" s="1"/>
  <c r="D28" i="46"/>
  <c r="D88" i="46"/>
  <c r="F88" i="46" s="1"/>
  <c r="D26" i="46"/>
  <c r="D86" i="46"/>
  <c r="F86" i="46" s="1"/>
  <c r="D24" i="46"/>
  <c r="D84" i="46"/>
  <c r="F84" i="46" s="1"/>
  <c r="D22" i="46"/>
  <c r="D82" i="46"/>
  <c r="F82" i="46" s="1"/>
  <c r="D20" i="46"/>
  <c r="D80" i="46"/>
  <c r="F80" i="46" s="1"/>
  <c r="D18" i="46"/>
  <c r="D78" i="46"/>
  <c r="F78" i="46" s="1"/>
  <c r="D16" i="46"/>
  <c r="D76" i="46"/>
  <c r="F76" i="46" s="1"/>
  <c r="D14" i="46"/>
  <c r="D74" i="46"/>
  <c r="F74" i="46" s="1"/>
  <c r="D12" i="46"/>
  <c r="D72" i="46"/>
  <c r="F72" i="46" s="1"/>
  <c r="D10" i="46"/>
  <c r="D70" i="46"/>
  <c r="F70" i="46" s="1"/>
  <c r="D8" i="46"/>
  <c r="D68" i="46"/>
  <c r="F68" i="46" s="1"/>
  <c r="D6" i="46"/>
  <c r="D33" i="46" s="1"/>
  <c r="B18" i="63" s="1"/>
  <c r="F62" i="48"/>
  <c r="D31" i="48"/>
  <c r="F60" i="48"/>
  <c r="D29" i="48"/>
  <c r="F58" i="48"/>
  <c r="D27" i="48"/>
  <c r="F56" i="48"/>
  <c r="D25" i="48"/>
  <c r="F54" i="48"/>
  <c r="D23" i="48"/>
  <c r="F52" i="48"/>
  <c r="D21" i="48"/>
  <c r="F50" i="48"/>
  <c r="D19" i="48"/>
  <c r="F48" i="48"/>
  <c r="D17" i="48"/>
  <c r="F46" i="48"/>
  <c r="D15" i="48"/>
  <c r="F44" i="48"/>
  <c r="D13" i="48"/>
  <c r="F42" i="48"/>
  <c r="D11" i="48"/>
  <c r="D33" i="48" s="1"/>
  <c r="B16" i="63" s="1"/>
  <c r="D64" i="48"/>
  <c r="F64" i="48" s="1"/>
  <c r="N16" i="63" s="1"/>
  <c r="F115" i="50"/>
  <c r="E118" i="50"/>
  <c r="D94" i="50"/>
  <c r="F94" i="50" s="1"/>
  <c r="D32" i="50"/>
  <c r="D92" i="50"/>
  <c r="F92" i="50" s="1"/>
  <c r="D30" i="50"/>
  <c r="D90" i="50"/>
  <c r="F90" i="50" s="1"/>
  <c r="D28" i="50"/>
  <c r="D88" i="50"/>
  <c r="F88" i="50" s="1"/>
  <c r="D26" i="50"/>
  <c r="D86" i="50"/>
  <c r="F86" i="50" s="1"/>
  <c r="D24" i="50"/>
  <c r="D84" i="50"/>
  <c r="F84" i="50" s="1"/>
  <c r="D22" i="50"/>
  <c r="D82" i="50"/>
  <c r="F82" i="50" s="1"/>
  <c r="D20" i="50"/>
  <c r="D80" i="50"/>
  <c r="F80" i="50" s="1"/>
  <c r="D18" i="50"/>
  <c r="D78" i="50"/>
  <c r="F78" i="50" s="1"/>
  <c r="D16" i="50"/>
  <c r="D76" i="50"/>
  <c r="F76" i="50" s="1"/>
  <c r="D14" i="50"/>
  <c r="D74" i="50"/>
  <c r="F74" i="50" s="1"/>
  <c r="D12" i="50"/>
  <c r="D72" i="50"/>
  <c r="F72" i="50" s="1"/>
  <c r="D10" i="50"/>
  <c r="D70" i="50"/>
  <c r="F70" i="50" s="1"/>
  <c r="D8" i="50"/>
  <c r="D68" i="50"/>
  <c r="F68" i="50" s="1"/>
  <c r="D6" i="50"/>
  <c r="D93" i="55"/>
  <c r="F93" i="55" s="1"/>
  <c r="D31" i="55"/>
  <c r="D91" i="55"/>
  <c r="F91" i="55" s="1"/>
  <c r="D29" i="55"/>
  <c r="D89" i="55"/>
  <c r="F89" i="55" s="1"/>
  <c r="D27" i="55"/>
  <c r="D87" i="55"/>
  <c r="F87" i="55" s="1"/>
  <c r="D25" i="55"/>
  <c r="D85" i="55"/>
  <c r="F85" i="55" s="1"/>
  <c r="D23" i="55"/>
  <c r="D83" i="55"/>
  <c r="F83" i="55" s="1"/>
  <c r="D21" i="55"/>
  <c r="D81" i="55"/>
  <c r="F81" i="55" s="1"/>
  <c r="D19" i="55"/>
  <c r="D79" i="55"/>
  <c r="F79" i="55" s="1"/>
  <c r="D17" i="55"/>
  <c r="D77" i="55"/>
  <c r="F77" i="55" s="1"/>
  <c r="D15" i="55"/>
  <c r="D75" i="55"/>
  <c r="F75" i="55" s="1"/>
  <c r="D13" i="55"/>
  <c r="D73" i="55"/>
  <c r="F73" i="55" s="1"/>
  <c r="D11" i="55"/>
  <c r="D71" i="55"/>
  <c r="F71" i="55" s="1"/>
  <c r="D9" i="55"/>
  <c r="D69" i="55"/>
  <c r="F69" i="55" s="1"/>
  <c r="F69" i="60" s="1"/>
  <c r="D7" i="55"/>
  <c r="D67" i="55"/>
  <c r="F67" i="55" s="1"/>
  <c r="D5" i="55"/>
  <c r="F115" i="57"/>
  <c r="E118" i="57"/>
  <c r="E105" i="57"/>
  <c r="E64" i="57"/>
  <c r="F64" i="57" s="1"/>
  <c r="F37" i="38"/>
  <c r="D6" i="38"/>
  <c r="F39" i="38"/>
  <c r="D8" i="38"/>
  <c r="F41" i="38"/>
  <c r="D10" i="38"/>
  <c r="F43" i="38"/>
  <c r="D12" i="38"/>
  <c r="F45" i="38"/>
  <c r="D14" i="38"/>
  <c r="F47" i="38"/>
  <c r="D16" i="38"/>
  <c r="F49" i="38"/>
  <c r="D18" i="38"/>
  <c r="F51" i="38"/>
  <c r="D20" i="38"/>
  <c r="F53" i="38"/>
  <c r="D22" i="38"/>
  <c r="F55" i="38"/>
  <c r="D24" i="38"/>
  <c r="F57" i="38"/>
  <c r="D26" i="38"/>
  <c r="F59" i="38"/>
  <c r="D28" i="38"/>
  <c r="F61" i="38"/>
  <c r="D30" i="38"/>
  <c r="F63" i="38"/>
  <c r="D32" i="38"/>
  <c r="E118" i="38"/>
  <c r="F113" i="38"/>
  <c r="F115" i="38"/>
  <c r="F116" i="38"/>
  <c r="E118" i="22"/>
  <c r="E118" i="25"/>
  <c r="E95" i="25"/>
  <c r="C109" i="25" s="1"/>
  <c r="E64" i="25"/>
  <c r="F64" i="25" s="1"/>
  <c r="F37" i="25"/>
  <c r="D68" i="25"/>
  <c r="F68" i="25" s="1"/>
  <c r="D6" i="25"/>
  <c r="F39" i="25"/>
  <c r="D8" i="25"/>
  <c r="D70" i="25"/>
  <c r="F70" i="25" s="1"/>
  <c r="F41" i="25"/>
  <c r="D72" i="25"/>
  <c r="F72" i="25" s="1"/>
  <c r="D10" i="25"/>
  <c r="F43" i="25"/>
  <c r="D74" i="25"/>
  <c r="F74" i="25" s="1"/>
  <c r="D12" i="25"/>
  <c r="F45" i="25"/>
  <c r="D76" i="25"/>
  <c r="F76" i="25" s="1"/>
  <c r="D14" i="25"/>
  <c r="F47" i="25"/>
  <c r="D16" i="25"/>
  <c r="D78" i="25"/>
  <c r="F78" i="25" s="1"/>
  <c r="F49" i="25"/>
  <c r="D80" i="25"/>
  <c r="F80" i="25" s="1"/>
  <c r="D18" i="25"/>
  <c r="F51" i="25"/>
  <c r="D82" i="25"/>
  <c r="F82" i="25" s="1"/>
  <c r="D20" i="25"/>
  <c r="F53" i="25"/>
  <c r="D84" i="25"/>
  <c r="F84" i="25" s="1"/>
  <c r="D22" i="25"/>
  <c r="F55" i="25"/>
  <c r="D24" i="25"/>
  <c r="D86" i="25"/>
  <c r="F86" i="25" s="1"/>
  <c r="F57" i="25"/>
  <c r="D88" i="25"/>
  <c r="F88" i="25" s="1"/>
  <c r="D26" i="25"/>
  <c r="F59" i="25"/>
  <c r="D90" i="25"/>
  <c r="F90" i="25" s="1"/>
  <c r="D28" i="25"/>
  <c r="F61" i="25"/>
  <c r="D92" i="25"/>
  <c r="F92" i="25" s="1"/>
  <c r="D30" i="25"/>
  <c r="F63" i="25"/>
  <c r="D32" i="25"/>
  <c r="D94" i="25"/>
  <c r="F94" i="25" s="1"/>
  <c r="D67" i="26"/>
  <c r="F67" i="26" s="1"/>
  <c r="D5" i="26"/>
  <c r="D69" i="26"/>
  <c r="F69" i="26" s="1"/>
  <c r="D7" i="26"/>
  <c r="D71" i="26"/>
  <c r="F71" i="26" s="1"/>
  <c r="D9" i="26"/>
  <c r="D73" i="26"/>
  <c r="F73" i="26" s="1"/>
  <c r="D11" i="26"/>
  <c r="D75" i="26"/>
  <c r="F75" i="26" s="1"/>
  <c r="D13" i="26"/>
  <c r="D77" i="26"/>
  <c r="F77" i="26" s="1"/>
  <c r="D15" i="26"/>
  <c r="D79" i="26"/>
  <c r="F79" i="26" s="1"/>
  <c r="D17" i="26"/>
  <c r="D81" i="26"/>
  <c r="F81" i="26" s="1"/>
  <c r="D19" i="26"/>
  <c r="D83" i="26"/>
  <c r="F83" i="26" s="1"/>
  <c r="D21" i="26"/>
  <c r="D85" i="26"/>
  <c r="F85" i="26" s="1"/>
  <c r="D23" i="26"/>
  <c r="D87" i="26"/>
  <c r="F87" i="26" s="1"/>
  <c r="D25" i="26"/>
  <c r="D89" i="26"/>
  <c r="F89" i="26" s="1"/>
  <c r="D27" i="26"/>
  <c r="D91" i="26"/>
  <c r="F91" i="26" s="1"/>
  <c r="D29" i="26"/>
  <c r="D93" i="26"/>
  <c r="F93" i="26" s="1"/>
  <c r="D31" i="26"/>
  <c r="D68" i="27"/>
  <c r="F68" i="27" s="1"/>
  <c r="D6" i="27"/>
  <c r="D70" i="27"/>
  <c r="F70" i="27" s="1"/>
  <c r="D8" i="27"/>
  <c r="D72" i="27"/>
  <c r="F72" i="27" s="1"/>
  <c r="D10" i="27"/>
  <c r="D74" i="27"/>
  <c r="F74" i="27" s="1"/>
  <c r="D12" i="27"/>
  <c r="D76" i="27"/>
  <c r="F76" i="27" s="1"/>
  <c r="D14" i="27"/>
  <c r="D78" i="27"/>
  <c r="F78" i="27" s="1"/>
  <c r="D16" i="27"/>
  <c r="D80" i="27"/>
  <c r="F80" i="27" s="1"/>
  <c r="D18" i="27"/>
  <c r="D82" i="27"/>
  <c r="F82" i="27" s="1"/>
  <c r="D20" i="27"/>
  <c r="D84" i="27"/>
  <c r="F84" i="27" s="1"/>
  <c r="D22" i="27"/>
  <c r="D86" i="27"/>
  <c r="F86" i="27" s="1"/>
  <c r="D24" i="27"/>
  <c r="D88" i="27"/>
  <c r="F88" i="27" s="1"/>
  <c r="D26" i="27"/>
  <c r="D90" i="27"/>
  <c r="F90" i="27" s="1"/>
  <c r="D28" i="27"/>
  <c r="D92" i="27"/>
  <c r="F92" i="27" s="1"/>
  <c r="D30" i="27"/>
  <c r="D94" i="27"/>
  <c r="F94" i="27" s="1"/>
  <c r="D32" i="27"/>
  <c r="E118" i="27"/>
  <c r="F111" i="27"/>
  <c r="F113" i="27"/>
  <c r="F115" i="27"/>
  <c r="F116" i="27"/>
  <c r="D64" i="28"/>
  <c r="F64" i="28" s="1"/>
  <c r="N36" i="63" s="1"/>
  <c r="D5" i="28"/>
  <c r="D67" i="28"/>
  <c r="F67" i="28" s="1"/>
  <c r="F38" i="28"/>
  <c r="D69" i="28"/>
  <c r="F69" i="28" s="1"/>
  <c r="D7" i="28"/>
  <c r="F40" i="28"/>
  <c r="D9" i="28"/>
  <c r="D71" i="28"/>
  <c r="F71" i="28" s="1"/>
  <c r="F42" i="28"/>
  <c r="D73" i="28"/>
  <c r="F73" i="28" s="1"/>
  <c r="D11" i="28"/>
  <c r="F44" i="28"/>
  <c r="D13" i="28"/>
  <c r="D75" i="28"/>
  <c r="F75" i="28" s="1"/>
  <c r="F46" i="28"/>
  <c r="D77" i="28"/>
  <c r="F77" i="28" s="1"/>
  <c r="D15" i="28"/>
  <c r="F48" i="28"/>
  <c r="D17" i="28"/>
  <c r="D79" i="28"/>
  <c r="F79" i="28" s="1"/>
  <c r="F50" i="28"/>
  <c r="D81" i="28"/>
  <c r="F81" i="28" s="1"/>
  <c r="D19" i="28"/>
  <c r="F52" i="28"/>
  <c r="D21" i="28"/>
  <c r="D83" i="28"/>
  <c r="F83" i="28" s="1"/>
  <c r="F54" i="28"/>
  <c r="D85" i="28"/>
  <c r="F85" i="28" s="1"/>
  <c r="D23" i="28"/>
  <c r="F56" i="28"/>
  <c r="D25" i="28"/>
  <c r="D87" i="28"/>
  <c r="F87" i="28" s="1"/>
  <c r="F58" i="28"/>
  <c r="D89" i="28"/>
  <c r="F89" i="28" s="1"/>
  <c r="D27" i="28"/>
  <c r="F60" i="28"/>
  <c r="D29" i="28"/>
  <c r="D91" i="28"/>
  <c r="F91" i="28" s="1"/>
  <c r="F62" i="28"/>
  <c r="D93" i="28"/>
  <c r="F93" i="28" s="1"/>
  <c r="D31" i="28"/>
  <c r="E95" i="28"/>
  <c r="C109" i="28" s="1"/>
  <c r="E95" i="29"/>
  <c r="C109" i="29" s="1"/>
  <c r="E64" i="29"/>
  <c r="F64" i="29" s="1"/>
  <c r="F37" i="29"/>
  <c r="D68" i="29"/>
  <c r="F68" i="29" s="1"/>
  <c r="D6" i="29"/>
  <c r="F39" i="29"/>
  <c r="D8" i="29"/>
  <c r="D70" i="29"/>
  <c r="F70" i="29" s="1"/>
  <c r="F41" i="29"/>
  <c r="D72" i="29"/>
  <c r="F72" i="29" s="1"/>
  <c r="D10" i="29"/>
  <c r="F43" i="29"/>
  <c r="D74" i="29"/>
  <c r="F74" i="29" s="1"/>
  <c r="D12" i="29"/>
  <c r="F45" i="29"/>
  <c r="D76" i="29"/>
  <c r="F76" i="29" s="1"/>
  <c r="D14" i="29"/>
  <c r="F47" i="29"/>
  <c r="D16" i="29"/>
  <c r="D78" i="29"/>
  <c r="F78" i="29" s="1"/>
  <c r="F49" i="29"/>
  <c r="D80" i="29"/>
  <c r="F80" i="29" s="1"/>
  <c r="D18" i="29"/>
  <c r="F51" i="29"/>
  <c r="D82" i="29"/>
  <c r="F82" i="29" s="1"/>
  <c r="D20" i="29"/>
  <c r="F53" i="29"/>
  <c r="D84" i="29"/>
  <c r="F84" i="29" s="1"/>
  <c r="D22" i="29"/>
  <c r="F55" i="29"/>
  <c r="D24" i="29"/>
  <c r="D86" i="29"/>
  <c r="F86" i="29" s="1"/>
  <c r="F57" i="29"/>
  <c r="D88" i="29"/>
  <c r="F88" i="29" s="1"/>
  <c r="D26" i="29"/>
  <c r="F59" i="29"/>
  <c r="D90" i="29"/>
  <c r="F90" i="29" s="1"/>
  <c r="D28" i="29"/>
  <c r="F61" i="29"/>
  <c r="D92" i="29"/>
  <c r="F92" i="29" s="1"/>
  <c r="D30" i="29"/>
  <c r="F63" i="29"/>
  <c r="D32" i="29"/>
  <c r="D94" i="29"/>
  <c r="F94" i="29" s="1"/>
  <c r="E118" i="29"/>
  <c r="F111" i="29"/>
  <c r="F113" i="29"/>
  <c r="F115" i="29"/>
  <c r="F116" i="29"/>
  <c r="E105" i="36"/>
  <c r="E95" i="37"/>
  <c r="C109" i="37" s="1"/>
  <c r="E64" i="37"/>
  <c r="M27" i="63" s="1"/>
  <c r="D88" i="37"/>
  <c r="F88" i="37" s="1"/>
  <c r="D26" i="37"/>
  <c r="D90" i="37"/>
  <c r="F90" i="37" s="1"/>
  <c r="D28" i="37"/>
  <c r="D92" i="37"/>
  <c r="F92" i="37" s="1"/>
  <c r="D30" i="37"/>
  <c r="D94" i="37"/>
  <c r="F94" i="37" s="1"/>
  <c r="D32" i="37"/>
  <c r="E118" i="37"/>
  <c r="F111" i="37"/>
  <c r="F113" i="37"/>
  <c r="F115" i="37"/>
  <c r="F116" i="37"/>
  <c r="E118" i="35"/>
  <c r="E105" i="39"/>
  <c r="D118" i="39"/>
  <c r="D84" i="39"/>
  <c r="F84" i="39" s="1"/>
  <c r="D22" i="39"/>
  <c r="D86" i="39"/>
  <c r="F86" i="39" s="1"/>
  <c r="D24" i="39"/>
  <c r="D88" i="39"/>
  <c r="F88" i="39" s="1"/>
  <c r="D26" i="39"/>
  <c r="D90" i="39"/>
  <c r="F90" i="39" s="1"/>
  <c r="D28" i="39"/>
  <c r="D92" i="39"/>
  <c r="F92" i="39" s="1"/>
  <c r="D30" i="39"/>
  <c r="D94" i="39"/>
  <c r="F94" i="39" s="1"/>
  <c r="D32" i="39"/>
  <c r="E118" i="39"/>
  <c r="F111" i="39"/>
  <c r="F113" i="39"/>
  <c r="F115" i="39"/>
  <c r="F116" i="39"/>
  <c r="E105" i="41"/>
  <c r="D64" i="41"/>
  <c r="F64" i="41" s="1"/>
  <c r="D5" i="41"/>
  <c r="F38" i="41"/>
  <c r="D7" i="41"/>
  <c r="F40" i="41"/>
  <c r="D9" i="41"/>
  <c r="F42" i="41"/>
  <c r="D11" i="41"/>
  <c r="F44" i="41"/>
  <c r="D13" i="41"/>
  <c r="F46" i="41"/>
  <c r="D15" i="41"/>
  <c r="F48" i="41"/>
  <c r="D17" i="41"/>
  <c r="F50" i="41"/>
  <c r="D19" i="41"/>
  <c r="F52" i="41"/>
  <c r="D21" i="41"/>
  <c r="F54" i="41"/>
  <c r="D23" i="41"/>
  <c r="F56" i="41"/>
  <c r="D25" i="41"/>
  <c r="F58" i="41"/>
  <c r="D27" i="41"/>
  <c r="F60" i="41"/>
  <c r="D29" i="41"/>
  <c r="F62" i="41"/>
  <c r="D31" i="41"/>
  <c r="E64" i="52"/>
  <c r="F64" i="52" s="1"/>
  <c r="N12" i="63" s="1"/>
  <c r="D68" i="52"/>
  <c r="F68" i="52" s="1"/>
  <c r="D6" i="52"/>
  <c r="D70" i="52"/>
  <c r="F70" i="52" s="1"/>
  <c r="D8" i="52"/>
  <c r="D72" i="52"/>
  <c r="F72" i="52" s="1"/>
  <c r="D10" i="52"/>
  <c r="D74" i="52"/>
  <c r="F74" i="52" s="1"/>
  <c r="D12" i="52"/>
  <c r="D76" i="52"/>
  <c r="F76" i="52" s="1"/>
  <c r="D14" i="52"/>
  <c r="D78" i="52"/>
  <c r="F78" i="52" s="1"/>
  <c r="D16" i="52"/>
  <c r="D80" i="52"/>
  <c r="F80" i="52" s="1"/>
  <c r="D18" i="52"/>
  <c r="D82" i="52"/>
  <c r="F82" i="52" s="1"/>
  <c r="D20" i="52"/>
  <c r="D84" i="52"/>
  <c r="F84" i="52" s="1"/>
  <c r="D22" i="52"/>
  <c r="D86" i="52"/>
  <c r="F86" i="52" s="1"/>
  <c r="D24" i="52"/>
  <c r="D88" i="52"/>
  <c r="F88" i="52" s="1"/>
  <c r="D26" i="52"/>
  <c r="D90" i="52"/>
  <c r="F90" i="52" s="1"/>
  <c r="D28" i="52"/>
  <c r="D92" i="52"/>
  <c r="F92" i="52" s="1"/>
  <c r="D30" i="52"/>
  <c r="D94" i="52"/>
  <c r="F94" i="52" s="1"/>
  <c r="D32" i="52"/>
  <c r="F110" i="52"/>
  <c r="F114" i="52"/>
  <c r="E105" i="54"/>
  <c r="D64" i="54"/>
  <c r="F64" i="54" s="1"/>
  <c r="F38" i="54"/>
  <c r="F40" i="54"/>
  <c r="D9" i="54"/>
  <c r="F42" i="54"/>
  <c r="D11" i="54"/>
  <c r="F44" i="54"/>
  <c r="D13" i="54"/>
  <c r="F46" i="54"/>
  <c r="D15" i="54"/>
  <c r="F48" i="54"/>
  <c r="D17" i="54"/>
  <c r="F50" i="54"/>
  <c r="D19" i="54"/>
  <c r="F52" i="54"/>
  <c r="D21" i="54"/>
  <c r="F54" i="54"/>
  <c r="D23" i="54"/>
  <c r="F56" i="54"/>
  <c r="D25" i="54"/>
  <c r="F58" i="54"/>
  <c r="D27" i="54"/>
  <c r="F60" i="54"/>
  <c r="D29" i="54"/>
  <c r="F62" i="54"/>
  <c r="D31" i="54"/>
  <c r="F60" i="56"/>
  <c r="D29" i="56"/>
  <c r="F50" i="56"/>
  <c r="F50" i="60" s="1"/>
  <c r="D19" i="56"/>
  <c r="F40" i="56"/>
  <c r="D9" i="56"/>
  <c r="E64" i="56"/>
  <c r="M8" i="63" s="1"/>
  <c r="E95" i="56"/>
  <c r="C109" i="56" s="1"/>
  <c r="E105" i="56"/>
  <c r="F63" i="40"/>
  <c r="D32" i="40"/>
  <c r="F59" i="40"/>
  <c r="D28" i="40"/>
  <c r="F55" i="40"/>
  <c r="D24" i="40"/>
  <c r="F51" i="40"/>
  <c r="D20" i="40"/>
  <c r="F47" i="40"/>
  <c r="D16" i="40"/>
  <c r="F43" i="40"/>
  <c r="D12" i="40"/>
  <c r="F39" i="40"/>
  <c r="D8" i="40"/>
  <c r="D33" i="40" s="1"/>
  <c r="B24" i="63" s="1"/>
  <c r="E64" i="40"/>
  <c r="F64" i="40" s="1"/>
  <c r="N24" i="63" s="1"/>
  <c r="E95" i="40"/>
  <c r="C109" i="40" s="1"/>
  <c r="E105" i="40"/>
  <c r="F114" i="41"/>
  <c r="F110" i="41"/>
  <c r="E105" i="42"/>
  <c r="F71" i="42"/>
  <c r="F75" i="42"/>
  <c r="D79" i="42"/>
  <c r="F79" i="42" s="1"/>
  <c r="D17" i="42"/>
  <c r="D81" i="42"/>
  <c r="F81" i="42" s="1"/>
  <c r="D19" i="42"/>
  <c r="D83" i="42"/>
  <c r="F83" i="42" s="1"/>
  <c r="D21" i="42"/>
  <c r="D85" i="42"/>
  <c r="F85" i="42" s="1"/>
  <c r="D23" i="42"/>
  <c r="D87" i="42"/>
  <c r="F87" i="42" s="1"/>
  <c r="D25" i="42"/>
  <c r="D89" i="42"/>
  <c r="F89" i="42" s="1"/>
  <c r="D27" i="42"/>
  <c r="D91" i="42"/>
  <c r="F91" i="42" s="1"/>
  <c r="D29" i="42"/>
  <c r="D93" i="42"/>
  <c r="F93" i="42" s="1"/>
  <c r="D31" i="42"/>
  <c r="F60" i="43"/>
  <c r="D29" i="43"/>
  <c r="F56" i="43"/>
  <c r="D25" i="43"/>
  <c r="F52" i="43"/>
  <c r="D21" i="43"/>
  <c r="F48" i="43"/>
  <c r="D17" i="43"/>
  <c r="F44" i="43"/>
  <c r="D13" i="43"/>
  <c r="F40" i="43"/>
  <c r="D9" i="43"/>
  <c r="D64" i="43"/>
  <c r="F64" i="43" s="1"/>
  <c r="N21" i="63" s="1"/>
  <c r="D5" i="43"/>
  <c r="E118" i="43"/>
  <c r="F111" i="43"/>
  <c r="F115" i="43"/>
  <c r="F116" i="43"/>
  <c r="D64" i="44"/>
  <c r="F64" i="44" s="1"/>
  <c r="N20" i="63" s="1"/>
  <c r="F44" i="44"/>
  <c r="D13" i="44"/>
  <c r="F46" i="44"/>
  <c r="D15" i="44"/>
  <c r="F48" i="44"/>
  <c r="D17" i="44"/>
  <c r="D81" i="44"/>
  <c r="F81" i="44" s="1"/>
  <c r="D19" i="44"/>
  <c r="D83" i="44"/>
  <c r="F83" i="44" s="1"/>
  <c r="D21" i="44"/>
  <c r="D85" i="44"/>
  <c r="F85" i="44" s="1"/>
  <c r="D23" i="44"/>
  <c r="D87" i="44"/>
  <c r="F87" i="44" s="1"/>
  <c r="D25" i="44"/>
  <c r="D89" i="44"/>
  <c r="F89" i="44" s="1"/>
  <c r="D27" i="44"/>
  <c r="D91" i="44"/>
  <c r="F91" i="44" s="1"/>
  <c r="D29" i="44"/>
  <c r="D93" i="44"/>
  <c r="F93" i="44" s="1"/>
  <c r="D31" i="44"/>
  <c r="F37" i="45"/>
  <c r="F39" i="45"/>
  <c r="F41" i="45"/>
  <c r="F43" i="45"/>
  <c r="F45" i="45"/>
  <c r="D14" i="45"/>
  <c r="F47" i="45"/>
  <c r="D16" i="45"/>
  <c r="F49" i="45"/>
  <c r="D18" i="45"/>
  <c r="F51" i="45"/>
  <c r="D20" i="45"/>
  <c r="F53" i="45"/>
  <c r="D22" i="45"/>
  <c r="F55" i="45"/>
  <c r="D24" i="45"/>
  <c r="F57" i="45"/>
  <c r="D26" i="45"/>
  <c r="F59" i="45"/>
  <c r="D28" i="45"/>
  <c r="F61" i="45"/>
  <c r="D30" i="45"/>
  <c r="F63" i="45"/>
  <c r="D32" i="45"/>
  <c r="E118" i="45"/>
  <c r="F111" i="45"/>
  <c r="F115" i="45"/>
  <c r="F61" i="47"/>
  <c r="D30" i="47"/>
  <c r="F57" i="47"/>
  <c r="D26" i="47"/>
  <c r="F53" i="47"/>
  <c r="D22" i="47"/>
  <c r="F49" i="47"/>
  <c r="D18" i="47"/>
  <c r="F45" i="47"/>
  <c r="D14" i="47"/>
  <c r="D33" i="47" s="1"/>
  <c r="B17" i="63" s="1"/>
  <c r="F112" i="47"/>
  <c r="E118" i="49"/>
  <c r="F63" i="49"/>
  <c r="D32" i="49"/>
  <c r="F59" i="49"/>
  <c r="D28" i="49"/>
  <c r="F55" i="49"/>
  <c r="D24" i="49"/>
  <c r="F51" i="49"/>
  <c r="D20" i="49"/>
  <c r="F47" i="49"/>
  <c r="D16" i="49"/>
  <c r="F43" i="49"/>
  <c r="D12" i="49"/>
  <c r="D33" i="49" s="1"/>
  <c r="B15" i="63" s="1"/>
  <c r="F39" i="49"/>
  <c r="E64" i="49"/>
  <c r="F64" i="49" s="1"/>
  <c r="E95" i="49"/>
  <c r="C109" i="49" s="1"/>
  <c r="E105" i="49"/>
  <c r="E118" i="52"/>
  <c r="E95" i="53"/>
  <c r="C109" i="53" s="1"/>
  <c r="E64" i="53"/>
  <c r="F64" i="53" s="1"/>
  <c r="F41" i="53"/>
  <c r="D10" i="53"/>
  <c r="F43" i="53"/>
  <c r="D12" i="53"/>
  <c r="F45" i="53"/>
  <c r="D14" i="53"/>
  <c r="F47" i="53"/>
  <c r="D16" i="53"/>
  <c r="F49" i="53"/>
  <c r="D18" i="53"/>
  <c r="F51" i="53"/>
  <c r="D20" i="53"/>
  <c r="F53" i="53"/>
  <c r="D22" i="53"/>
  <c r="F55" i="53"/>
  <c r="D24" i="53"/>
  <c r="F57" i="53"/>
  <c r="D26" i="53"/>
  <c r="F59" i="53"/>
  <c r="D28" i="53"/>
  <c r="F61" i="53"/>
  <c r="D30" i="53"/>
  <c r="F63" i="53"/>
  <c r="D32" i="53"/>
  <c r="E118" i="53"/>
  <c r="F113" i="53"/>
  <c r="F115" i="53"/>
  <c r="F116" i="53"/>
  <c r="E118" i="56"/>
  <c r="D94" i="56"/>
  <c r="F94" i="56" s="1"/>
  <c r="D32" i="56"/>
  <c r="D90" i="56"/>
  <c r="F90" i="56" s="1"/>
  <c r="D28" i="56"/>
  <c r="D86" i="56"/>
  <c r="F86" i="56" s="1"/>
  <c r="D24" i="56"/>
  <c r="D82" i="56"/>
  <c r="F82" i="56" s="1"/>
  <c r="D20" i="56"/>
  <c r="D78" i="56"/>
  <c r="F78" i="56" s="1"/>
  <c r="D16" i="56"/>
  <c r="D74" i="56"/>
  <c r="F74" i="56" s="1"/>
  <c r="D12" i="56"/>
  <c r="D70" i="56"/>
  <c r="F70" i="56" s="1"/>
  <c r="D8" i="56"/>
  <c r="F93" i="57"/>
  <c r="F77" i="57"/>
  <c r="F62" i="56"/>
  <c r="D31" i="56"/>
  <c r="F54" i="56"/>
  <c r="D23" i="56"/>
  <c r="F48" i="56"/>
  <c r="D17" i="56"/>
  <c r="F42" i="56"/>
  <c r="D11" i="56"/>
  <c r="E118" i="51"/>
  <c r="D93" i="3"/>
  <c r="F93" i="3" s="1"/>
  <c r="D31" i="3"/>
  <c r="D91" i="3"/>
  <c r="F91" i="3" s="1"/>
  <c r="D29" i="3"/>
  <c r="D89" i="3"/>
  <c r="F89" i="3" s="1"/>
  <c r="D27" i="3"/>
  <c r="D87" i="3"/>
  <c r="F87" i="3" s="1"/>
  <c r="D25" i="3"/>
  <c r="D85" i="3"/>
  <c r="F85" i="3" s="1"/>
  <c r="D23" i="3"/>
  <c r="D83" i="3"/>
  <c r="F83" i="3" s="1"/>
  <c r="D21" i="3"/>
  <c r="D81" i="3"/>
  <c r="F81" i="3" s="1"/>
  <c r="D19" i="3"/>
  <c r="D79" i="3"/>
  <c r="F79" i="3" s="1"/>
  <c r="D17" i="3"/>
  <c r="D77" i="3"/>
  <c r="F77" i="3" s="1"/>
  <c r="D15" i="3"/>
  <c r="D75" i="3"/>
  <c r="F75" i="3" s="1"/>
  <c r="D13" i="3"/>
  <c r="D73" i="3"/>
  <c r="F73" i="3" s="1"/>
  <c r="D11" i="3"/>
  <c r="D71" i="3"/>
  <c r="F71" i="3" s="1"/>
  <c r="D9" i="3"/>
  <c r="D69" i="3"/>
  <c r="F69" i="3" s="1"/>
  <c r="D7" i="3"/>
  <c r="D67" i="3"/>
  <c r="F67" i="3" s="1"/>
  <c r="D5" i="3"/>
  <c r="D118" i="3"/>
  <c r="F63" i="3"/>
  <c r="D32" i="3"/>
  <c r="F61" i="3"/>
  <c r="D30" i="3"/>
  <c r="F59" i="3"/>
  <c r="D28" i="3"/>
  <c r="F57" i="3"/>
  <c r="D26" i="3"/>
  <c r="F55" i="3"/>
  <c r="D24" i="3"/>
  <c r="F53" i="3"/>
  <c r="D22" i="3"/>
  <c r="F51" i="3"/>
  <c r="D20" i="3"/>
  <c r="F49" i="3"/>
  <c r="D18" i="3"/>
  <c r="F47" i="3"/>
  <c r="D16" i="3"/>
  <c r="F45" i="3"/>
  <c r="D14" i="3"/>
  <c r="F43" i="3"/>
  <c r="D12" i="3"/>
  <c r="F41" i="3"/>
  <c r="D10" i="3"/>
  <c r="F39" i="3"/>
  <c r="D8" i="3"/>
  <c r="F37" i="3"/>
  <c r="D6" i="3"/>
  <c r="F116" i="3"/>
  <c r="F115" i="3"/>
  <c r="F113" i="3"/>
  <c r="F111" i="3"/>
  <c r="E118" i="3"/>
  <c r="E105" i="3"/>
  <c r="E95" i="3"/>
  <c r="C109" i="3" s="1"/>
  <c r="E64" i="3"/>
  <c r="F64" i="3" s="1"/>
  <c r="F115" i="5"/>
  <c r="E118" i="5"/>
  <c r="E105" i="5"/>
  <c r="E64" i="5"/>
  <c r="M59" i="63" s="1"/>
  <c r="F114" i="5"/>
  <c r="F112" i="5"/>
  <c r="F110" i="5"/>
  <c r="E95" i="5"/>
  <c r="C109" i="5" s="1"/>
  <c r="F62" i="5"/>
  <c r="D31" i="5"/>
  <c r="D93" i="5"/>
  <c r="F93" i="5" s="1"/>
  <c r="F60" i="5"/>
  <c r="D91" i="5"/>
  <c r="F91" i="5" s="1"/>
  <c r="D29" i="5"/>
  <c r="F58" i="5"/>
  <c r="D27" i="5"/>
  <c r="D89" i="5"/>
  <c r="F89" i="5" s="1"/>
  <c r="F56" i="5"/>
  <c r="D87" i="5"/>
  <c r="F87" i="5" s="1"/>
  <c r="D25" i="5"/>
  <c r="F54" i="5"/>
  <c r="D23" i="5"/>
  <c r="D85" i="5"/>
  <c r="F85" i="5" s="1"/>
  <c r="F52" i="5"/>
  <c r="D83" i="5"/>
  <c r="F83" i="5" s="1"/>
  <c r="D21" i="5"/>
  <c r="F50" i="5"/>
  <c r="D19" i="5"/>
  <c r="D81" i="5"/>
  <c r="F81" i="5" s="1"/>
  <c r="F48" i="5"/>
  <c r="D79" i="5"/>
  <c r="F79" i="5" s="1"/>
  <c r="D17" i="5"/>
  <c r="F46" i="5"/>
  <c r="D15" i="5"/>
  <c r="D77" i="5"/>
  <c r="F77" i="5" s="1"/>
  <c r="F44" i="5"/>
  <c r="D75" i="5"/>
  <c r="F75" i="5" s="1"/>
  <c r="D13" i="5"/>
  <c r="F42" i="5"/>
  <c r="D11" i="5"/>
  <c r="D73" i="5"/>
  <c r="F73" i="5" s="1"/>
  <c r="F40" i="5"/>
  <c r="D71" i="5"/>
  <c r="F71" i="5" s="1"/>
  <c r="D9" i="5"/>
  <c r="F38" i="5"/>
  <c r="D7" i="5"/>
  <c r="D69" i="5"/>
  <c r="F69" i="5" s="1"/>
  <c r="D64" i="5"/>
  <c r="D67" i="5"/>
  <c r="F67" i="5" s="1"/>
  <c r="D5" i="5"/>
  <c r="D33" i="5" s="1"/>
  <c r="D118" i="5"/>
  <c r="F63" i="5"/>
  <c r="F61" i="5"/>
  <c r="F59" i="5"/>
  <c r="F57" i="5"/>
  <c r="F55" i="5"/>
  <c r="F53" i="5"/>
  <c r="F51" i="5"/>
  <c r="F49" i="5"/>
  <c r="F47" i="5"/>
  <c r="F45" i="5"/>
  <c r="F43" i="5"/>
  <c r="F41" i="5"/>
  <c r="F39" i="5"/>
  <c r="F37" i="5"/>
  <c r="D64" i="18"/>
  <c r="D118" i="18"/>
  <c r="F63" i="18"/>
  <c r="D94" i="18"/>
  <c r="F94" i="18" s="1"/>
  <c r="D32" i="18"/>
  <c r="F61" i="18"/>
  <c r="D92" i="18"/>
  <c r="F92" i="18" s="1"/>
  <c r="D30" i="18"/>
  <c r="F59" i="18"/>
  <c r="D90" i="18"/>
  <c r="F90" i="18" s="1"/>
  <c r="D28" i="18"/>
  <c r="F57" i="18"/>
  <c r="D88" i="18"/>
  <c r="F88" i="18" s="1"/>
  <c r="D26" i="18"/>
  <c r="F55" i="18"/>
  <c r="D86" i="18"/>
  <c r="F86" i="18" s="1"/>
  <c r="D24" i="18"/>
  <c r="F53" i="18"/>
  <c r="D84" i="18"/>
  <c r="F84" i="18" s="1"/>
  <c r="D22" i="18"/>
  <c r="F51" i="18"/>
  <c r="D82" i="18"/>
  <c r="F82" i="18" s="1"/>
  <c r="D20" i="18"/>
  <c r="F49" i="18"/>
  <c r="D80" i="18"/>
  <c r="F80" i="18" s="1"/>
  <c r="D18" i="18"/>
  <c r="F47" i="18"/>
  <c r="D78" i="18"/>
  <c r="F78" i="18" s="1"/>
  <c r="D16" i="18"/>
  <c r="F45" i="18"/>
  <c r="D76" i="18"/>
  <c r="F76" i="18" s="1"/>
  <c r="D14" i="18"/>
  <c r="F43" i="18"/>
  <c r="D74" i="18"/>
  <c r="F74" i="18" s="1"/>
  <c r="D12" i="18"/>
  <c r="F41" i="18"/>
  <c r="D72" i="18"/>
  <c r="F72" i="18" s="1"/>
  <c r="D10" i="18"/>
  <c r="F39" i="18"/>
  <c r="D70" i="18"/>
  <c r="F70" i="18" s="1"/>
  <c r="D8" i="18"/>
  <c r="F37" i="18"/>
  <c r="D68" i="18"/>
  <c r="F68" i="18" s="1"/>
  <c r="D6" i="18"/>
  <c r="F116" i="18"/>
  <c r="F115" i="18"/>
  <c r="F113" i="18"/>
  <c r="F111" i="18"/>
  <c r="E118" i="18"/>
  <c r="E105" i="18"/>
  <c r="E95" i="18"/>
  <c r="C109" i="18" s="1"/>
  <c r="E64" i="18"/>
  <c r="M46" i="63" s="1"/>
  <c r="F117" i="20"/>
  <c r="F117" i="60" s="1"/>
  <c r="D117" i="60"/>
  <c r="F114" i="20"/>
  <c r="C114" i="60"/>
  <c r="F112" i="20"/>
  <c r="C112" i="60"/>
  <c r="F110" i="20"/>
  <c r="F110" i="60" s="1"/>
  <c r="C110" i="60"/>
  <c r="E116" i="20"/>
  <c r="E116" i="60" s="1"/>
  <c r="E102" i="60"/>
  <c r="F62" i="20"/>
  <c r="D62" i="60"/>
  <c r="F60" i="20"/>
  <c r="D60" i="60"/>
  <c r="F58" i="20"/>
  <c r="D58" i="60"/>
  <c r="F56" i="20"/>
  <c r="D56" i="60"/>
  <c r="F54" i="20"/>
  <c r="D54" i="60"/>
  <c r="F52" i="20"/>
  <c r="D52" i="60"/>
  <c r="F50" i="20"/>
  <c r="D50" i="60"/>
  <c r="F48" i="20"/>
  <c r="D48" i="60"/>
  <c r="F46" i="20"/>
  <c r="D46" i="60"/>
  <c r="F44" i="20"/>
  <c r="D44" i="60"/>
  <c r="F42" i="20"/>
  <c r="D42" i="60"/>
  <c r="F40" i="20"/>
  <c r="D40" i="60"/>
  <c r="F38" i="20"/>
  <c r="D38" i="60"/>
  <c r="D64" i="20"/>
  <c r="D36" i="60"/>
  <c r="E104" i="60"/>
  <c r="E99" i="60"/>
  <c r="D118" i="20"/>
  <c r="D109" i="60"/>
  <c r="D118" i="60" s="1"/>
  <c r="F63" i="20"/>
  <c r="D94" i="20"/>
  <c r="F94" i="20" s="1"/>
  <c r="D32" i="20"/>
  <c r="D63" i="60"/>
  <c r="F61" i="20"/>
  <c r="D92" i="20"/>
  <c r="F92" i="20" s="1"/>
  <c r="D30" i="20"/>
  <c r="D61" i="60"/>
  <c r="F59" i="20"/>
  <c r="D90" i="20"/>
  <c r="F90" i="20" s="1"/>
  <c r="D28" i="20"/>
  <c r="D59" i="60"/>
  <c r="F57" i="20"/>
  <c r="D88" i="20"/>
  <c r="F88" i="20" s="1"/>
  <c r="D26" i="20"/>
  <c r="D57" i="60"/>
  <c r="F55" i="20"/>
  <c r="D86" i="20"/>
  <c r="F86" i="20" s="1"/>
  <c r="D24" i="20"/>
  <c r="D55" i="60"/>
  <c r="F53" i="20"/>
  <c r="D84" i="20"/>
  <c r="F84" i="20" s="1"/>
  <c r="D22" i="20"/>
  <c r="D53" i="60"/>
  <c r="F51" i="20"/>
  <c r="D82" i="20"/>
  <c r="F82" i="20" s="1"/>
  <c r="D20" i="20"/>
  <c r="D51" i="60"/>
  <c r="F49" i="20"/>
  <c r="D80" i="20"/>
  <c r="F80" i="20" s="1"/>
  <c r="D18" i="20"/>
  <c r="D49" i="60"/>
  <c r="F47" i="20"/>
  <c r="D78" i="20"/>
  <c r="F78" i="20" s="1"/>
  <c r="D16" i="20"/>
  <c r="D47" i="60"/>
  <c r="F45" i="20"/>
  <c r="D76" i="20"/>
  <c r="F76" i="20" s="1"/>
  <c r="D14" i="20"/>
  <c r="D45" i="60"/>
  <c r="F43" i="20"/>
  <c r="D74" i="20"/>
  <c r="D12" i="20"/>
  <c r="D43" i="60"/>
  <c r="F41" i="20"/>
  <c r="D72" i="20"/>
  <c r="F72" i="20" s="1"/>
  <c r="D10" i="20"/>
  <c r="D41" i="60"/>
  <c r="F39" i="20"/>
  <c r="D70" i="20"/>
  <c r="F70" i="20" s="1"/>
  <c r="D8" i="20"/>
  <c r="D39" i="60"/>
  <c r="F37" i="20"/>
  <c r="D68" i="20"/>
  <c r="F68" i="20" s="1"/>
  <c r="D6" i="20"/>
  <c r="D37" i="60"/>
  <c r="F116" i="20"/>
  <c r="C116" i="60"/>
  <c r="F115" i="20"/>
  <c r="C115" i="60"/>
  <c r="F113" i="20"/>
  <c r="C113" i="60"/>
  <c r="F111" i="20"/>
  <c r="C111" i="60"/>
  <c r="E118" i="20"/>
  <c r="E109" i="60"/>
  <c r="E103" i="60"/>
  <c r="E100" i="60"/>
  <c r="E105" i="20"/>
  <c r="E98" i="60"/>
  <c r="E95" i="20"/>
  <c r="C109" i="20" s="1"/>
  <c r="E44" i="63"/>
  <c r="E67" i="60"/>
  <c r="E64" i="20"/>
  <c r="M44" i="63" s="1"/>
  <c r="E36" i="60"/>
  <c r="D95" i="1"/>
  <c r="F67" i="1"/>
  <c r="D95" i="59"/>
  <c r="D95" i="4"/>
  <c r="F67" i="4"/>
  <c r="D95" i="6"/>
  <c r="F67" i="6"/>
  <c r="D95" i="5"/>
  <c r="D33" i="9"/>
  <c r="B55" i="63" s="1"/>
  <c r="D95" i="7"/>
  <c r="D95" i="9"/>
  <c r="D95" i="11"/>
  <c r="F67" i="11"/>
  <c r="D95" i="13"/>
  <c r="F67" i="13"/>
  <c r="D95" i="14"/>
  <c r="F67" i="14"/>
  <c r="D95" i="16"/>
  <c r="F67" i="16"/>
  <c r="D33" i="16"/>
  <c r="B48" i="63" s="1"/>
  <c r="F67" i="20"/>
  <c r="D33" i="20"/>
  <c r="D33" i="15"/>
  <c r="D33" i="19"/>
  <c r="D33" i="23"/>
  <c r="B41" i="63" s="1"/>
  <c r="D95" i="25"/>
  <c r="F67" i="25"/>
  <c r="D33" i="25"/>
  <c r="B39" i="63" s="1"/>
  <c r="F67" i="29"/>
  <c r="D95" i="30"/>
  <c r="F67" i="30"/>
  <c r="D33" i="30"/>
  <c r="B34" i="63" s="1"/>
  <c r="D33" i="34"/>
  <c r="B30" i="63" s="1"/>
  <c r="D33" i="38"/>
  <c r="B26" i="63" s="1"/>
  <c r="D95" i="22"/>
  <c r="D33" i="28"/>
  <c r="D33" i="33"/>
  <c r="B31" i="63" s="1"/>
  <c r="S31" i="63" s="1"/>
  <c r="D95" i="34"/>
  <c r="D95" i="46"/>
  <c r="F67" i="46"/>
  <c r="F67" i="50"/>
  <c r="D95" i="52"/>
  <c r="F67" i="52"/>
  <c r="D95" i="47"/>
  <c r="D95" i="51"/>
  <c r="D95" i="45"/>
  <c r="D33" i="45"/>
  <c r="D95" i="53"/>
  <c r="D95" i="57"/>
  <c r="D33" i="59"/>
  <c r="D33" i="6"/>
  <c r="B58" i="63" s="1"/>
  <c r="D33" i="7"/>
  <c r="B57" i="63" s="1"/>
  <c r="D95" i="8"/>
  <c r="F67" i="8"/>
  <c r="D95" i="10"/>
  <c r="F67" i="10"/>
  <c r="D95" i="12"/>
  <c r="F67" i="18"/>
  <c r="D95" i="15"/>
  <c r="D95" i="21"/>
  <c r="D95" i="17"/>
  <c r="D95" i="19"/>
  <c r="D95" i="23"/>
  <c r="F67" i="23"/>
  <c r="F67" i="27"/>
  <c r="D33" i="27"/>
  <c r="B37" i="63" s="1"/>
  <c r="D95" i="28"/>
  <c r="D33" i="32"/>
  <c r="B32" i="63" s="1"/>
  <c r="D33" i="36"/>
  <c r="B28" i="63" s="1"/>
  <c r="D95" i="24"/>
  <c r="D95" i="33"/>
  <c r="F67" i="33"/>
  <c r="D95" i="35"/>
  <c r="F67" i="35"/>
  <c r="D95" i="37"/>
  <c r="F67" i="37"/>
  <c r="D95" i="39"/>
  <c r="F67" i="39"/>
  <c r="D95" i="41"/>
  <c r="F67" i="41"/>
  <c r="D95" i="43"/>
  <c r="F67" i="43"/>
  <c r="D33" i="35"/>
  <c r="B29" i="63" s="1"/>
  <c r="D95" i="40"/>
  <c r="D33" i="37"/>
  <c r="D95" i="38"/>
  <c r="D33" i="39"/>
  <c r="D33" i="41"/>
  <c r="D95" i="42"/>
  <c r="F67" i="44"/>
  <c r="D33" i="44"/>
  <c r="B20" i="63" s="1"/>
  <c r="D95" i="48"/>
  <c r="F67" i="48"/>
  <c r="D33" i="50"/>
  <c r="B14" i="63" s="1"/>
  <c r="D95" i="54"/>
  <c r="F67" i="54"/>
  <c r="D33" i="54"/>
  <c r="B10" i="63" s="1"/>
  <c r="D95" i="56"/>
  <c r="F67" i="56"/>
  <c r="F41" i="60"/>
  <c r="N7" i="63"/>
  <c r="F36" i="60"/>
  <c r="D95" i="49"/>
  <c r="D33" i="51"/>
  <c r="B13" i="63" s="1"/>
  <c r="D33" i="53"/>
  <c r="D33" i="29" l="1"/>
  <c r="B35" i="63" s="1"/>
  <c r="F61" i="60"/>
  <c r="F92" i="60"/>
  <c r="D95" i="50"/>
  <c r="F54" i="63"/>
  <c r="N48" i="63"/>
  <c r="N25" i="63"/>
  <c r="N10" i="63"/>
  <c r="N23" i="63"/>
  <c r="N34" i="63"/>
  <c r="N15" i="63"/>
  <c r="N19" i="63"/>
  <c r="N9" i="63"/>
  <c r="N28" i="63"/>
  <c r="D95" i="26"/>
  <c r="D95" i="27"/>
  <c r="D95" i="55"/>
  <c r="D95" i="29"/>
  <c r="F70" i="60"/>
  <c r="F72" i="60"/>
  <c r="F76" i="60"/>
  <c r="F78" i="60"/>
  <c r="F80" i="60"/>
  <c r="F82" i="60"/>
  <c r="F84" i="60"/>
  <c r="F86" i="60"/>
  <c r="F88" i="60"/>
  <c r="F90" i="60"/>
  <c r="F58" i="60"/>
  <c r="F42" i="60"/>
  <c r="F49" i="60"/>
  <c r="F37" i="60"/>
  <c r="F45" i="60"/>
  <c r="F53" i="60"/>
  <c r="F38" i="60"/>
  <c r="F46" i="60"/>
  <c r="F54" i="60"/>
  <c r="M39" i="63"/>
  <c r="M32" i="63"/>
  <c r="E17" i="63"/>
  <c r="E21" i="63"/>
  <c r="E28" i="63"/>
  <c r="E32" i="63"/>
  <c r="E33" i="63"/>
  <c r="B44" i="63"/>
  <c r="E46" i="63"/>
  <c r="E39" i="63"/>
  <c r="E118" i="1"/>
  <c r="F116" i="55"/>
  <c r="F116" i="13"/>
  <c r="F74" i="20"/>
  <c r="F74" i="60" s="1"/>
  <c r="D33" i="18"/>
  <c r="B46" i="63" s="1"/>
  <c r="F83" i="60"/>
  <c r="F109" i="24"/>
  <c r="F52" i="60"/>
  <c r="F47" i="60"/>
  <c r="F109" i="50"/>
  <c r="D33" i="42"/>
  <c r="B22" i="63" s="1"/>
  <c r="F39" i="60"/>
  <c r="F57" i="60"/>
  <c r="F55" i="60"/>
  <c r="F60" i="60"/>
  <c r="F44" i="60"/>
  <c r="N22" i="63"/>
  <c r="D95" i="18"/>
  <c r="D95" i="3"/>
  <c r="D33" i="56"/>
  <c r="B8" i="63" s="1"/>
  <c r="F59" i="60"/>
  <c r="F51" i="60"/>
  <c r="F43" i="60"/>
  <c r="F40" i="60"/>
  <c r="F56" i="60"/>
  <c r="F48" i="60"/>
  <c r="D33" i="52"/>
  <c r="B12" i="63" s="1"/>
  <c r="S12" i="63" s="1"/>
  <c r="D95" i="44"/>
  <c r="F113" i="60"/>
  <c r="F114" i="60"/>
  <c r="N11" i="63"/>
  <c r="N35" i="63"/>
  <c r="N61" i="63"/>
  <c r="N39" i="63"/>
  <c r="N26" i="63"/>
  <c r="N45" i="63"/>
  <c r="N32" i="63"/>
  <c r="N38" i="63"/>
  <c r="N40" i="63"/>
  <c r="F116" i="60"/>
  <c r="N55" i="63"/>
  <c r="N42" i="63"/>
  <c r="C118" i="22"/>
  <c r="M61" i="63"/>
  <c r="E61" i="63"/>
  <c r="E11" i="63"/>
  <c r="E15" i="63"/>
  <c r="M15" i="63"/>
  <c r="F118" i="45"/>
  <c r="E54" i="63"/>
  <c r="M55" i="63"/>
  <c r="E55" i="63"/>
  <c r="F64" i="4"/>
  <c r="N60" i="63" s="1"/>
  <c r="F64" i="47"/>
  <c r="N17" i="63" s="1"/>
  <c r="E23" i="63"/>
  <c r="E25" i="63"/>
  <c r="M28" i="63"/>
  <c r="F64" i="5"/>
  <c r="N59" i="63" s="1"/>
  <c r="E59" i="63"/>
  <c r="M11" i="63"/>
  <c r="E57" i="63"/>
  <c r="E63" i="63"/>
  <c r="M42" i="63"/>
  <c r="M24" i="63"/>
  <c r="E8" i="63"/>
  <c r="M26" i="63"/>
  <c r="E26" i="63"/>
  <c r="F64" i="33"/>
  <c r="N31" i="63" s="1"/>
  <c r="M45" i="63"/>
  <c r="E45" i="63"/>
  <c r="M47" i="63"/>
  <c r="E47" i="63"/>
  <c r="E12" i="63"/>
  <c r="E22" i="63"/>
  <c r="E10" i="63"/>
  <c r="E24" i="63"/>
  <c r="M12" i="63"/>
  <c r="B23" i="63"/>
  <c r="E27" i="63"/>
  <c r="M35" i="63"/>
  <c r="E35" i="63"/>
  <c r="E36" i="63"/>
  <c r="B36" i="63"/>
  <c r="M7" i="63"/>
  <c r="F64" i="35"/>
  <c r="N29" i="63" s="1"/>
  <c r="M29" i="63"/>
  <c r="B59" i="63"/>
  <c r="E29" i="63"/>
  <c r="M30" i="63"/>
  <c r="E30" i="63"/>
  <c r="E31" i="63"/>
  <c r="E41" i="63"/>
  <c r="E50" i="63"/>
  <c r="M43" i="63"/>
  <c r="E43" i="63"/>
  <c r="M49" i="63"/>
  <c r="E49" i="63"/>
  <c r="M52" i="63"/>
  <c r="E52" i="63"/>
  <c r="E53" i="63"/>
  <c r="B11" i="63"/>
  <c r="M22" i="63"/>
  <c r="B25" i="63"/>
  <c r="B27" i="63"/>
  <c r="B33" i="63"/>
  <c r="B45" i="63"/>
  <c r="S45" i="63" s="1"/>
  <c r="C118" i="6"/>
  <c r="C109" i="57"/>
  <c r="E7" i="63"/>
  <c r="E14" i="63"/>
  <c r="B40" i="63"/>
  <c r="E60" i="63"/>
  <c r="M62" i="63"/>
  <c r="E62" i="63"/>
  <c r="B19" i="63"/>
  <c r="F118" i="44"/>
  <c r="E34" i="63"/>
  <c r="M37" i="63"/>
  <c r="E37" i="63"/>
  <c r="M38" i="63"/>
  <c r="E38" i="63"/>
  <c r="E48" i="63"/>
  <c r="E51" i="63"/>
  <c r="E56" i="63"/>
  <c r="B62" i="63"/>
  <c r="B49" i="63"/>
  <c r="C109" i="55"/>
  <c r="E9" i="63"/>
  <c r="C109" i="48"/>
  <c r="C109" i="60" s="1"/>
  <c r="C118" i="60" s="1"/>
  <c r="E16" i="63"/>
  <c r="B43" i="63"/>
  <c r="E18" i="63"/>
  <c r="E40" i="63"/>
  <c r="E42" i="63"/>
  <c r="E58" i="63"/>
  <c r="F91" i="60"/>
  <c r="E118" i="60"/>
  <c r="F75" i="60"/>
  <c r="F87" i="60"/>
  <c r="F79" i="60"/>
  <c r="F89" i="60"/>
  <c r="F85" i="60"/>
  <c r="F71" i="60"/>
  <c r="F73" i="60"/>
  <c r="F77" i="60"/>
  <c r="F81" i="60"/>
  <c r="D33" i="17"/>
  <c r="B47" i="63" s="1"/>
  <c r="C118" i="53"/>
  <c r="F109" i="53"/>
  <c r="F118" i="53" s="1"/>
  <c r="F109" i="49"/>
  <c r="F118" i="49" s="1"/>
  <c r="C118" i="49"/>
  <c r="C118" i="56"/>
  <c r="F109" i="56"/>
  <c r="F118" i="56" s="1"/>
  <c r="F109" i="25"/>
  <c r="F118" i="25" s="1"/>
  <c r="C118" i="25"/>
  <c r="F109" i="35"/>
  <c r="F118" i="35" s="1"/>
  <c r="C118" i="35"/>
  <c r="C118" i="34"/>
  <c r="F109" i="34"/>
  <c r="F118" i="34" s="1"/>
  <c r="F109" i="33"/>
  <c r="F118" i="33" s="1"/>
  <c r="C118" i="33"/>
  <c r="C118" i="23"/>
  <c r="F109" i="23"/>
  <c r="F118" i="23" s="1"/>
  <c r="C118" i="14"/>
  <c r="F109" i="14"/>
  <c r="F118" i="14" s="1"/>
  <c r="F109" i="21"/>
  <c r="F118" i="21" s="1"/>
  <c r="C118" i="21"/>
  <c r="F109" i="15"/>
  <c r="F118" i="15" s="1"/>
  <c r="C118" i="15"/>
  <c r="D33" i="12"/>
  <c r="B52" i="63" s="1"/>
  <c r="D33" i="11"/>
  <c r="B53" i="63" s="1"/>
  <c r="D33" i="10"/>
  <c r="B54" i="63" s="1"/>
  <c r="F109" i="12"/>
  <c r="F118" i="12" s="1"/>
  <c r="C118" i="12"/>
  <c r="C118" i="11"/>
  <c r="F109" i="11"/>
  <c r="F118" i="11" s="1"/>
  <c r="F109" i="10"/>
  <c r="F118" i="10" s="1"/>
  <c r="C118" i="10"/>
  <c r="C118" i="9"/>
  <c r="F109" i="9"/>
  <c r="F118" i="9" s="1"/>
  <c r="D33" i="1"/>
  <c r="B63" i="63" s="1"/>
  <c r="F109" i="52"/>
  <c r="F118" i="52" s="1"/>
  <c r="C118" i="52"/>
  <c r="F109" i="47"/>
  <c r="F118" i="47" s="1"/>
  <c r="C118" i="47"/>
  <c r="F109" i="42"/>
  <c r="F118" i="42" s="1"/>
  <c r="C118" i="42"/>
  <c r="F64" i="56"/>
  <c r="N8" i="63" s="1"/>
  <c r="F109" i="51"/>
  <c r="F118" i="51" s="1"/>
  <c r="C118" i="51"/>
  <c r="C118" i="36"/>
  <c r="F109" i="36"/>
  <c r="F118" i="36" s="1"/>
  <c r="F109" i="32"/>
  <c r="F118" i="32" s="1"/>
  <c r="C118" i="32"/>
  <c r="F109" i="31"/>
  <c r="F118" i="31" s="1"/>
  <c r="C118" i="31"/>
  <c r="F67" i="31"/>
  <c r="F67" i="60" s="1"/>
  <c r="D95" i="31"/>
  <c r="F64" i="31"/>
  <c r="N33" i="63" s="1"/>
  <c r="C118" i="16"/>
  <c r="F109" i="16"/>
  <c r="F118" i="16" s="1"/>
  <c r="F64" i="23"/>
  <c r="N41" i="63" s="1"/>
  <c r="C118" i="13"/>
  <c r="F109" i="13"/>
  <c r="F118" i="13" s="1"/>
  <c r="F64" i="13"/>
  <c r="N51" i="63" s="1"/>
  <c r="F109" i="8"/>
  <c r="F118" i="8" s="1"/>
  <c r="C118" i="8"/>
  <c r="F109" i="7"/>
  <c r="F118" i="7" s="1"/>
  <c r="C118" i="7"/>
  <c r="C118" i="1"/>
  <c r="F109" i="1"/>
  <c r="F118" i="1" s="1"/>
  <c r="D33" i="55"/>
  <c r="B9" i="63" s="1"/>
  <c r="D33" i="22"/>
  <c r="B42" i="63" s="1"/>
  <c r="F118" i="50"/>
  <c r="F118" i="46"/>
  <c r="F118" i="24"/>
  <c r="F118" i="6"/>
  <c r="F111" i="60"/>
  <c r="F115" i="60"/>
  <c r="F112" i="60"/>
  <c r="F109" i="40"/>
  <c r="F118" i="40" s="1"/>
  <c r="C118" i="40"/>
  <c r="F109" i="37"/>
  <c r="F118" i="37" s="1"/>
  <c r="C118" i="37"/>
  <c r="F109" i="29"/>
  <c r="F118" i="29" s="1"/>
  <c r="C118" i="29"/>
  <c r="F109" i="28"/>
  <c r="F118" i="28" s="1"/>
  <c r="C118" i="28"/>
  <c r="D33" i="26"/>
  <c r="B38" i="63" s="1"/>
  <c r="C118" i="38"/>
  <c r="F109" i="38"/>
  <c r="F118" i="38" s="1"/>
  <c r="F109" i="19"/>
  <c r="F118" i="19" s="1"/>
  <c r="C118" i="19"/>
  <c r="F109" i="17"/>
  <c r="F118" i="17" s="1"/>
  <c r="C118" i="17"/>
  <c r="F64" i="11"/>
  <c r="N53" i="63" s="1"/>
  <c r="F64" i="10"/>
  <c r="N54" i="63" s="1"/>
  <c r="F109" i="4"/>
  <c r="F118" i="4" s="1"/>
  <c r="C118" i="4"/>
  <c r="F109" i="59"/>
  <c r="F118" i="59" s="1"/>
  <c r="C118" i="59"/>
  <c r="D33" i="43"/>
  <c r="B21" i="63" s="1"/>
  <c r="D33" i="8"/>
  <c r="B56" i="63" s="1"/>
  <c r="F109" i="43"/>
  <c r="F118" i="43" s="1"/>
  <c r="C118" i="43"/>
  <c r="F109" i="54"/>
  <c r="F118" i="54" s="1"/>
  <c r="C118" i="54"/>
  <c r="C118" i="41"/>
  <c r="F109" i="41"/>
  <c r="F118" i="41" s="1"/>
  <c r="F109" i="39"/>
  <c r="F118" i="39" s="1"/>
  <c r="C118" i="39"/>
  <c r="F64" i="37"/>
  <c r="N27" i="63" s="1"/>
  <c r="F68" i="36"/>
  <c r="D95" i="36"/>
  <c r="F68" i="32"/>
  <c r="D95" i="32"/>
  <c r="F109" i="30"/>
  <c r="F118" i="30" s="1"/>
  <c r="C118" i="30"/>
  <c r="F109" i="27"/>
  <c r="F118" i="27" s="1"/>
  <c r="C118" i="27"/>
  <c r="C118" i="26"/>
  <c r="F109" i="26"/>
  <c r="F118" i="26" s="1"/>
  <c r="D33" i="13"/>
  <c r="B51" i="63" s="1"/>
  <c r="F109" i="3"/>
  <c r="F118" i="3" s="1"/>
  <c r="C118" i="3"/>
  <c r="D33" i="3"/>
  <c r="B61" i="63" s="1"/>
  <c r="C118" i="5"/>
  <c r="F109" i="5"/>
  <c r="F118" i="5" s="1"/>
  <c r="C118" i="18"/>
  <c r="F109" i="18"/>
  <c r="F118" i="18" s="1"/>
  <c r="F64" i="18"/>
  <c r="N46" i="63" s="1"/>
  <c r="E95" i="60"/>
  <c r="E64" i="63" s="1"/>
  <c r="C118" i="20"/>
  <c r="F109" i="20"/>
  <c r="D68" i="60"/>
  <c r="D6" i="60"/>
  <c r="D70" i="60"/>
  <c r="D8" i="60"/>
  <c r="D72" i="60"/>
  <c r="D10" i="60"/>
  <c r="D74" i="60"/>
  <c r="D12" i="60"/>
  <c r="D76" i="60"/>
  <c r="D14" i="60"/>
  <c r="D78" i="60"/>
  <c r="D16" i="60"/>
  <c r="D80" i="60"/>
  <c r="D18" i="60"/>
  <c r="D82" i="60"/>
  <c r="D20" i="60"/>
  <c r="D84" i="60"/>
  <c r="D22" i="60"/>
  <c r="D86" i="60"/>
  <c r="D24" i="60"/>
  <c r="D88" i="60"/>
  <c r="D26" i="60"/>
  <c r="D90" i="60"/>
  <c r="D28" i="60"/>
  <c r="D92" i="60"/>
  <c r="D30" i="60"/>
  <c r="D94" i="60"/>
  <c r="D32" i="60"/>
  <c r="D64" i="60"/>
  <c r="D5" i="60"/>
  <c r="D67" i="60"/>
  <c r="D69" i="60"/>
  <c r="D7" i="60"/>
  <c r="D71" i="60"/>
  <c r="D9" i="60"/>
  <c r="D73" i="60"/>
  <c r="D11" i="60"/>
  <c r="D75" i="60"/>
  <c r="D13" i="60"/>
  <c r="D77" i="60"/>
  <c r="D15" i="60"/>
  <c r="D79" i="60"/>
  <c r="D17" i="60"/>
  <c r="D81" i="60"/>
  <c r="D19" i="60"/>
  <c r="D83" i="60"/>
  <c r="D21" i="60"/>
  <c r="D85" i="60"/>
  <c r="D23" i="60"/>
  <c r="D87" i="60"/>
  <c r="D25" i="60"/>
  <c r="D89" i="60"/>
  <c r="D27" i="60"/>
  <c r="D91" i="60"/>
  <c r="D29" i="60"/>
  <c r="D93" i="60"/>
  <c r="D31" i="60"/>
  <c r="D95" i="20"/>
  <c r="D105" i="20" s="1"/>
  <c r="F101" i="20" s="1"/>
  <c r="E64" i="60"/>
  <c r="M64" i="63" s="1"/>
  <c r="E105" i="60"/>
  <c r="F64" i="20"/>
  <c r="D105" i="48"/>
  <c r="F101" i="48" s="1"/>
  <c r="F95" i="48"/>
  <c r="F16" i="63" s="1"/>
  <c r="F95" i="44"/>
  <c r="F20" i="63" s="1"/>
  <c r="D105" i="44"/>
  <c r="F101" i="44" s="1"/>
  <c r="F95" i="38"/>
  <c r="F26" i="63" s="1"/>
  <c r="D105" i="38"/>
  <c r="F101" i="38" s="1"/>
  <c r="F95" i="40"/>
  <c r="F24" i="63" s="1"/>
  <c r="D105" i="40"/>
  <c r="F101" i="40" s="1"/>
  <c r="F95" i="26"/>
  <c r="F38" i="63" s="1"/>
  <c r="D105" i="26"/>
  <c r="F101" i="26" s="1"/>
  <c r="D105" i="27"/>
  <c r="F101" i="27" s="1"/>
  <c r="F95" i="27"/>
  <c r="F37" i="63" s="1"/>
  <c r="F95" i="17"/>
  <c r="F47" i="63" s="1"/>
  <c r="D105" i="17"/>
  <c r="F101" i="17" s="1"/>
  <c r="F95" i="15"/>
  <c r="F49" i="63" s="1"/>
  <c r="D105" i="15"/>
  <c r="F101" i="15" s="1"/>
  <c r="F95" i="12"/>
  <c r="F52" i="63" s="1"/>
  <c r="D105" i="12"/>
  <c r="F101" i="12" s="1"/>
  <c r="D105" i="10"/>
  <c r="F95" i="10"/>
  <c r="D105" i="8"/>
  <c r="F101" i="8" s="1"/>
  <c r="F95" i="8"/>
  <c r="F56" i="63" s="1"/>
  <c r="F95" i="3"/>
  <c r="F61" i="63" s="1"/>
  <c r="D105" i="3"/>
  <c r="F101" i="3" s="1"/>
  <c r="F95" i="57"/>
  <c r="F7" i="63" s="1"/>
  <c r="D105" i="57"/>
  <c r="F101" i="57" s="1"/>
  <c r="F95" i="53"/>
  <c r="F11" i="63" s="1"/>
  <c r="D105" i="53"/>
  <c r="F101" i="53" s="1"/>
  <c r="F95" i="51"/>
  <c r="F13" i="63" s="1"/>
  <c r="D105" i="51"/>
  <c r="F101" i="51" s="1"/>
  <c r="D105" i="52"/>
  <c r="F101" i="52" s="1"/>
  <c r="F95" i="52"/>
  <c r="F12" i="63" s="1"/>
  <c r="D105" i="50"/>
  <c r="F101" i="50" s="1"/>
  <c r="F95" i="50"/>
  <c r="F14" i="63" s="1"/>
  <c r="D105" i="46"/>
  <c r="F101" i="46" s="1"/>
  <c r="F95" i="46"/>
  <c r="F18" i="63" s="1"/>
  <c r="F95" i="22"/>
  <c r="F42" i="63" s="1"/>
  <c r="D105" i="22"/>
  <c r="F101" i="22" s="1"/>
  <c r="D105" i="29"/>
  <c r="F101" i="29" s="1"/>
  <c r="F95" i="29"/>
  <c r="F35" i="63" s="1"/>
  <c r="D105" i="25"/>
  <c r="F101" i="25" s="1"/>
  <c r="F95" i="25"/>
  <c r="F39" i="63" s="1"/>
  <c r="F95" i="14"/>
  <c r="F50" i="63" s="1"/>
  <c r="D105" i="14"/>
  <c r="F101" i="14" s="1"/>
  <c r="D105" i="13"/>
  <c r="F101" i="13" s="1"/>
  <c r="F95" i="13"/>
  <c r="F51" i="63" s="1"/>
  <c r="D105" i="11"/>
  <c r="F101" i="11" s="1"/>
  <c r="F95" i="11"/>
  <c r="F53" i="63" s="1"/>
  <c r="F95" i="9"/>
  <c r="F55" i="63" s="1"/>
  <c r="D105" i="9"/>
  <c r="D105" i="4"/>
  <c r="F101" i="4" s="1"/>
  <c r="F95" i="4"/>
  <c r="F60" i="63" s="1"/>
  <c r="D105" i="1"/>
  <c r="F101" i="1" s="1"/>
  <c r="F95" i="1"/>
  <c r="F63" i="63" s="1"/>
  <c r="F95" i="49"/>
  <c r="F15" i="63" s="1"/>
  <c r="D105" i="49"/>
  <c r="F101" i="49" s="1"/>
  <c r="D105" i="56"/>
  <c r="F101" i="56" s="1"/>
  <c r="F95" i="56"/>
  <c r="F8" i="63" s="1"/>
  <c r="D105" i="54"/>
  <c r="F101" i="54" s="1"/>
  <c r="F95" i="54"/>
  <c r="F10" i="63" s="1"/>
  <c r="F95" i="42"/>
  <c r="F22" i="63" s="1"/>
  <c r="D105" i="42"/>
  <c r="F101" i="42" s="1"/>
  <c r="D105" i="43"/>
  <c r="F101" i="43" s="1"/>
  <c r="F95" i="43"/>
  <c r="F21" i="63" s="1"/>
  <c r="D105" i="41"/>
  <c r="F101" i="41" s="1"/>
  <c r="F95" i="41"/>
  <c r="F23" i="63" s="1"/>
  <c r="D105" i="39"/>
  <c r="F101" i="39" s="1"/>
  <c r="F95" i="39"/>
  <c r="F25" i="63" s="1"/>
  <c r="D105" i="37"/>
  <c r="F101" i="37" s="1"/>
  <c r="F95" i="37"/>
  <c r="F27" i="63" s="1"/>
  <c r="D105" i="35"/>
  <c r="F101" i="35" s="1"/>
  <c r="F95" i="35"/>
  <c r="F29" i="63" s="1"/>
  <c r="D105" i="33"/>
  <c r="F101" i="33" s="1"/>
  <c r="F95" i="33"/>
  <c r="F31" i="63" s="1"/>
  <c r="F95" i="24"/>
  <c r="F40" i="63" s="1"/>
  <c r="D105" i="24"/>
  <c r="F101" i="24" s="1"/>
  <c r="F95" i="28"/>
  <c r="F36" i="63" s="1"/>
  <c r="D105" i="28"/>
  <c r="F101" i="28" s="1"/>
  <c r="D105" i="23"/>
  <c r="F101" i="23" s="1"/>
  <c r="F95" i="23"/>
  <c r="F41" i="63" s="1"/>
  <c r="F95" i="19"/>
  <c r="F45" i="63" s="1"/>
  <c r="D105" i="19"/>
  <c r="F101" i="19" s="1"/>
  <c r="F95" i="21"/>
  <c r="F43" i="63" s="1"/>
  <c r="D105" i="21"/>
  <c r="F101" i="21" s="1"/>
  <c r="D105" i="18"/>
  <c r="F101" i="18" s="1"/>
  <c r="F95" i="18"/>
  <c r="F46" i="63" s="1"/>
  <c r="F95" i="55"/>
  <c r="F9" i="63" s="1"/>
  <c r="D105" i="55"/>
  <c r="F101" i="55" s="1"/>
  <c r="F95" i="45"/>
  <c r="F19" i="63" s="1"/>
  <c r="D105" i="45"/>
  <c r="F101" i="45" s="1"/>
  <c r="F95" i="47"/>
  <c r="F17" i="63" s="1"/>
  <c r="D105" i="47"/>
  <c r="F101" i="47" s="1"/>
  <c r="F95" i="34"/>
  <c r="F30" i="63" s="1"/>
  <c r="D105" i="34"/>
  <c r="F101" i="34" s="1"/>
  <c r="D105" i="30"/>
  <c r="F101" i="30" s="1"/>
  <c r="F95" i="30"/>
  <c r="F34" i="63" s="1"/>
  <c r="F95" i="20"/>
  <c r="F44" i="63" s="1"/>
  <c r="D105" i="16"/>
  <c r="F95" i="16"/>
  <c r="F48" i="63" s="1"/>
  <c r="D105" i="7"/>
  <c r="F101" i="7" s="1"/>
  <c r="F95" i="7"/>
  <c r="F57" i="63" s="1"/>
  <c r="F95" i="5"/>
  <c r="F59" i="63" s="1"/>
  <c r="D105" i="5"/>
  <c r="F101" i="5" s="1"/>
  <c r="D105" i="6"/>
  <c r="F101" i="6" s="1"/>
  <c r="F95" i="6"/>
  <c r="F58" i="63" s="1"/>
  <c r="F95" i="59"/>
  <c r="F62" i="63" s="1"/>
  <c r="D105" i="59"/>
  <c r="F101" i="59" s="1"/>
  <c r="F104" i="10" l="1"/>
  <c r="V54" i="63" s="1"/>
  <c r="F101" i="10"/>
  <c r="F104" i="16"/>
  <c r="F101" i="16"/>
  <c r="F104" i="9"/>
  <c r="F101" i="9"/>
  <c r="U54" i="63"/>
  <c r="F98" i="59"/>
  <c r="F103" i="59"/>
  <c r="F104" i="59"/>
  <c r="F99" i="59"/>
  <c r="F100" i="59"/>
  <c r="F102" i="59"/>
  <c r="F100" i="5"/>
  <c r="F104" i="5"/>
  <c r="F103" i="5"/>
  <c r="F98" i="5"/>
  <c r="F99" i="5"/>
  <c r="F102" i="5"/>
  <c r="F103" i="30"/>
  <c r="F98" i="30"/>
  <c r="F99" i="30"/>
  <c r="F100" i="30"/>
  <c r="F104" i="30"/>
  <c r="F102" i="30"/>
  <c r="F100" i="34"/>
  <c r="F98" i="34"/>
  <c r="F104" i="34"/>
  <c r="F102" i="34"/>
  <c r="F103" i="34"/>
  <c r="F99" i="34"/>
  <c r="F99" i="47"/>
  <c r="F98" i="47"/>
  <c r="F103" i="47"/>
  <c r="F104" i="47"/>
  <c r="F100" i="47"/>
  <c r="F102" i="47"/>
  <c r="F100" i="45"/>
  <c r="F103" i="45"/>
  <c r="F99" i="45"/>
  <c r="F98" i="45"/>
  <c r="F104" i="45"/>
  <c r="F102" i="45"/>
  <c r="F103" i="55"/>
  <c r="F99" i="55"/>
  <c r="F98" i="55"/>
  <c r="F100" i="55"/>
  <c r="F104" i="55"/>
  <c r="F102" i="55"/>
  <c r="F104" i="21"/>
  <c r="F100" i="21"/>
  <c r="F98" i="21"/>
  <c r="F99" i="21"/>
  <c r="F103" i="21"/>
  <c r="F102" i="21"/>
  <c r="F104" i="19"/>
  <c r="F98" i="19"/>
  <c r="F100" i="19"/>
  <c r="F102" i="19"/>
  <c r="F99" i="19"/>
  <c r="F100" i="28"/>
  <c r="F103" i="28"/>
  <c r="F98" i="28"/>
  <c r="F99" i="28"/>
  <c r="F102" i="28"/>
  <c r="F104" i="28"/>
  <c r="F99" i="24"/>
  <c r="F104" i="24"/>
  <c r="F100" i="24"/>
  <c r="F103" i="24"/>
  <c r="F98" i="24"/>
  <c r="F102" i="24"/>
  <c r="F99" i="42"/>
  <c r="F104" i="42"/>
  <c r="F98" i="42"/>
  <c r="F103" i="42"/>
  <c r="F100" i="42"/>
  <c r="F102" i="42"/>
  <c r="F103" i="49"/>
  <c r="F104" i="49"/>
  <c r="F98" i="49"/>
  <c r="F100" i="49"/>
  <c r="F99" i="49"/>
  <c r="F98" i="9"/>
  <c r="F100" i="9"/>
  <c r="F99" i="9"/>
  <c r="F102" i="9"/>
  <c r="F103" i="14"/>
  <c r="F104" i="14"/>
  <c r="F98" i="14"/>
  <c r="F99" i="14"/>
  <c r="F100" i="14"/>
  <c r="F102" i="14"/>
  <c r="F104" i="22"/>
  <c r="F99" i="22"/>
  <c r="F100" i="22"/>
  <c r="F98" i="22"/>
  <c r="F103" i="22"/>
  <c r="T42" i="63" s="1"/>
  <c r="F102" i="22"/>
  <c r="F98" i="8"/>
  <c r="F99" i="8"/>
  <c r="F104" i="8"/>
  <c r="F103" i="8"/>
  <c r="F100" i="8"/>
  <c r="F102" i="8"/>
  <c r="F100" i="10"/>
  <c r="F103" i="10"/>
  <c r="F98" i="10"/>
  <c r="F99" i="10"/>
  <c r="F102" i="10"/>
  <c r="F98" i="27"/>
  <c r="F104" i="27"/>
  <c r="F100" i="27"/>
  <c r="F103" i="27"/>
  <c r="F102" i="27"/>
  <c r="F99" i="27"/>
  <c r="F99" i="38"/>
  <c r="F103" i="38"/>
  <c r="F100" i="38"/>
  <c r="F98" i="38"/>
  <c r="F104" i="38"/>
  <c r="F102" i="38"/>
  <c r="F104" i="44"/>
  <c r="F100" i="44"/>
  <c r="F103" i="44"/>
  <c r="F98" i="44"/>
  <c r="F99" i="44"/>
  <c r="F102" i="44"/>
  <c r="F100" i="6"/>
  <c r="F103" i="6"/>
  <c r="F104" i="6"/>
  <c r="F99" i="6"/>
  <c r="F98" i="6"/>
  <c r="F102" i="6"/>
  <c r="F99" i="7"/>
  <c r="F100" i="7"/>
  <c r="F98" i="7"/>
  <c r="F103" i="7"/>
  <c r="F104" i="7"/>
  <c r="F102" i="7"/>
  <c r="F100" i="16"/>
  <c r="F98" i="16"/>
  <c r="F99" i="16"/>
  <c r="F102" i="16"/>
  <c r="F103" i="18"/>
  <c r="F98" i="18"/>
  <c r="F104" i="18"/>
  <c r="F100" i="18"/>
  <c r="F99" i="18"/>
  <c r="F102" i="18"/>
  <c r="F98" i="23"/>
  <c r="F100" i="23"/>
  <c r="F104" i="23"/>
  <c r="F99" i="23"/>
  <c r="F102" i="23"/>
  <c r="F103" i="23"/>
  <c r="F98" i="33"/>
  <c r="F100" i="33"/>
  <c r="F104" i="33"/>
  <c r="F102" i="33"/>
  <c r="F99" i="33"/>
  <c r="F100" i="35"/>
  <c r="F104" i="35"/>
  <c r="F98" i="35"/>
  <c r="F99" i="35"/>
  <c r="F102" i="35"/>
  <c r="F103" i="35"/>
  <c r="F98" i="37"/>
  <c r="F103" i="37"/>
  <c r="F104" i="37"/>
  <c r="F99" i="37"/>
  <c r="F100" i="37"/>
  <c r="F102" i="37"/>
  <c r="F104" i="39"/>
  <c r="F103" i="39"/>
  <c r="F99" i="39"/>
  <c r="F98" i="39"/>
  <c r="F102" i="39"/>
  <c r="F100" i="39"/>
  <c r="F99" i="41"/>
  <c r="F98" i="41"/>
  <c r="F104" i="41"/>
  <c r="F100" i="41"/>
  <c r="F102" i="41"/>
  <c r="F98" i="43"/>
  <c r="F104" i="43"/>
  <c r="F99" i="43"/>
  <c r="F100" i="43"/>
  <c r="F102" i="43"/>
  <c r="F103" i="43"/>
  <c r="T21" i="63" s="1"/>
  <c r="F98" i="54"/>
  <c r="F103" i="54"/>
  <c r="F99" i="54"/>
  <c r="F104" i="54"/>
  <c r="F100" i="54"/>
  <c r="F102" i="54"/>
  <c r="F98" i="56"/>
  <c r="F103" i="56"/>
  <c r="F104" i="56"/>
  <c r="F99" i="56"/>
  <c r="F102" i="56"/>
  <c r="F100" i="56"/>
  <c r="F103" i="1"/>
  <c r="F104" i="1"/>
  <c r="F98" i="1"/>
  <c r="F99" i="1"/>
  <c r="F100" i="1"/>
  <c r="F102" i="1"/>
  <c r="F104" i="4"/>
  <c r="F98" i="4"/>
  <c r="F100" i="4"/>
  <c r="F103" i="4"/>
  <c r="F99" i="4"/>
  <c r="F102" i="4"/>
  <c r="F100" i="11"/>
  <c r="F98" i="11"/>
  <c r="F103" i="11"/>
  <c r="F104" i="11"/>
  <c r="F99" i="11"/>
  <c r="F102" i="11"/>
  <c r="F104" i="13"/>
  <c r="F103" i="13"/>
  <c r="F100" i="13"/>
  <c r="F99" i="13"/>
  <c r="F98" i="13"/>
  <c r="F102" i="13"/>
  <c r="F98" i="25"/>
  <c r="F103" i="25"/>
  <c r="F100" i="25"/>
  <c r="F99" i="25"/>
  <c r="F104" i="25"/>
  <c r="F102" i="25"/>
  <c r="F98" i="29"/>
  <c r="F104" i="29"/>
  <c r="F100" i="29"/>
  <c r="F103" i="29"/>
  <c r="F102" i="29"/>
  <c r="F99" i="29"/>
  <c r="F98" i="46"/>
  <c r="F99" i="46"/>
  <c r="F100" i="46"/>
  <c r="F103" i="46"/>
  <c r="F104" i="46"/>
  <c r="F102" i="46"/>
  <c r="F99" i="50"/>
  <c r="F100" i="50"/>
  <c r="F104" i="50"/>
  <c r="F98" i="50"/>
  <c r="F103" i="50"/>
  <c r="F102" i="50"/>
  <c r="F104" i="52"/>
  <c r="F98" i="52"/>
  <c r="F102" i="52"/>
  <c r="F99" i="52"/>
  <c r="F100" i="52"/>
  <c r="F104" i="51"/>
  <c r="F100" i="51"/>
  <c r="F103" i="51"/>
  <c r="F99" i="51"/>
  <c r="F98" i="51"/>
  <c r="F102" i="51"/>
  <c r="F98" i="53"/>
  <c r="F103" i="53"/>
  <c r="F99" i="53"/>
  <c r="F104" i="53"/>
  <c r="F100" i="53"/>
  <c r="F102" i="53"/>
  <c r="F102" i="57"/>
  <c r="F103" i="3"/>
  <c r="F98" i="3"/>
  <c r="F104" i="3"/>
  <c r="F100" i="3"/>
  <c r="F99" i="3"/>
  <c r="F102" i="3"/>
  <c r="F100" i="12"/>
  <c r="F103" i="12"/>
  <c r="F104" i="12"/>
  <c r="F98" i="12"/>
  <c r="F99" i="12"/>
  <c r="F102" i="12"/>
  <c r="F104" i="15"/>
  <c r="F98" i="15"/>
  <c r="F100" i="15"/>
  <c r="F103" i="15"/>
  <c r="F99" i="15"/>
  <c r="F102" i="15"/>
  <c r="F99" i="17"/>
  <c r="F98" i="17"/>
  <c r="F103" i="17"/>
  <c r="F100" i="17"/>
  <c r="F104" i="17"/>
  <c r="F102" i="17"/>
  <c r="F100" i="26"/>
  <c r="F103" i="26"/>
  <c r="F98" i="26"/>
  <c r="F99" i="26"/>
  <c r="F102" i="26"/>
  <c r="F104" i="26"/>
  <c r="F100" i="40"/>
  <c r="F99" i="40"/>
  <c r="F104" i="40"/>
  <c r="F98" i="40"/>
  <c r="F102" i="40"/>
  <c r="F103" i="40"/>
  <c r="F103" i="48"/>
  <c r="F99" i="48"/>
  <c r="F100" i="48"/>
  <c r="F104" i="48"/>
  <c r="F98" i="48"/>
  <c r="F104" i="20"/>
  <c r="F100" i="20"/>
  <c r="F99" i="20"/>
  <c r="F103" i="20"/>
  <c r="F98" i="20"/>
  <c r="S42" i="63"/>
  <c r="F104" i="57"/>
  <c r="F103" i="57"/>
  <c r="F98" i="57"/>
  <c r="F99" i="57"/>
  <c r="F100" i="57"/>
  <c r="F64" i="60"/>
  <c r="N44" i="63"/>
  <c r="N64" i="63" s="1"/>
  <c r="F109" i="48"/>
  <c r="F118" i="48" s="1"/>
  <c r="C118" i="48"/>
  <c r="C118" i="55"/>
  <c r="F109" i="55"/>
  <c r="F118" i="55" s="1"/>
  <c r="V61" i="63"/>
  <c r="T61" i="63"/>
  <c r="L61" i="63"/>
  <c r="H61" i="63"/>
  <c r="J61" i="63"/>
  <c r="C118" i="57"/>
  <c r="F109" i="57"/>
  <c r="F118" i="57" s="1"/>
  <c r="D105" i="32"/>
  <c r="F101" i="32" s="1"/>
  <c r="F95" i="32"/>
  <c r="F32" i="63" s="1"/>
  <c r="D105" i="36"/>
  <c r="F101" i="36" s="1"/>
  <c r="F95" i="36"/>
  <c r="F28" i="63" s="1"/>
  <c r="F68" i="60"/>
  <c r="D105" i="31"/>
  <c r="F101" i="31" s="1"/>
  <c r="F95" i="31"/>
  <c r="F33" i="63" s="1"/>
  <c r="U61" i="63"/>
  <c r="G61" i="63"/>
  <c r="S61" i="63"/>
  <c r="D95" i="60"/>
  <c r="D105" i="60" s="1"/>
  <c r="D33" i="60"/>
  <c r="B64" i="63" s="1"/>
  <c r="F118" i="20"/>
  <c r="F105" i="6"/>
  <c r="E31" i="6"/>
  <c r="F31" i="6" s="1"/>
  <c r="AB55" i="62" s="1"/>
  <c r="E29" i="6"/>
  <c r="F29" i="6" s="1"/>
  <c r="Z55" i="62" s="1"/>
  <c r="E27" i="6"/>
  <c r="F27" i="6" s="1"/>
  <c r="X55" i="62" s="1"/>
  <c r="E25" i="6"/>
  <c r="F25" i="6" s="1"/>
  <c r="V55" i="62" s="1"/>
  <c r="E23" i="6"/>
  <c r="F23" i="6" s="1"/>
  <c r="T55" i="62" s="1"/>
  <c r="E21" i="6"/>
  <c r="F21" i="6" s="1"/>
  <c r="R55" i="62" s="1"/>
  <c r="E19" i="6"/>
  <c r="F19" i="6" s="1"/>
  <c r="P55" i="62" s="1"/>
  <c r="E17" i="6"/>
  <c r="F17" i="6" s="1"/>
  <c r="N55" i="62" s="1"/>
  <c r="E15" i="6"/>
  <c r="F15" i="6" s="1"/>
  <c r="L55" i="62" s="1"/>
  <c r="E32" i="6"/>
  <c r="F32" i="6" s="1"/>
  <c r="AC55" i="62" s="1"/>
  <c r="E30" i="6"/>
  <c r="F30" i="6" s="1"/>
  <c r="AA55" i="62" s="1"/>
  <c r="E28" i="6"/>
  <c r="F28" i="6" s="1"/>
  <c r="Y55" i="62" s="1"/>
  <c r="E26" i="6"/>
  <c r="F26" i="6" s="1"/>
  <c r="W55" i="62" s="1"/>
  <c r="E24" i="6"/>
  <c r="F24" i="6" s="1"/>
  <c r="U55" i="62" s="1"/>
  <c r="E22" i="6"/>
  <c r="F22" i="6" s="1"/>
  <c r="S55" i="62" s="1"/>
  <c r="E20" i="6"/>
  <c r="F20" i="6" s="1"/>
  <c r="Q55" i="62" s="1"/>
  <c r="E18" i="6"/>
  <c r="F18" i="6" s="1"/>
  <c r="O55" i="62" s="1"/>
  <c r="E16" i="6"/>
  <c r="F16" i="6" s="1"/>
  <c r="M55" i="62" s="1"/>
  <c r="E14" i="6"/>
  <c r="F14" i="6" s="1"/>
  <c r="K55" i="62" s="1"/>
  <c r="E12" i="6"/>
  <c r="F12" i="6" s="1"/>
  <c r="I55" i="62" s="1"/>
  <c r="E10" i="6"/>
  <c r="F10" i="6" s="1"/>
  <c r="G55" i="62" s="1"/>
  <c r="E8" i="6"/>
  <c r="F8" i="6" s="1"/>
  <c r="E55" i="62" s="1"/>
  <c r="E6" i="6"/>
  <c r="F6" i="6" s="1"/>
  <c r="C55" i="62" s="1"/>
  <c r="E13" i="6"/>
  <c r="F13" i="6" s="1"/>
  <c r="J55" i="62" s="1"/>
  <c r="E11" i="6"/>
  <c r="F11" i="6" s="1"/>
  <c r="H55" i="62" s="1"/>
  <c r="E9" i="6"/>
  <c r="F9" i="6" s="1"/>
  <c r="F55" i="62" s="1"/>
  <c r="E7" i="6"/>
  <c r="F7" i="6" s="1"/>
  <c r="D55" i="62" s="1"/>
  <c r="E5" i="6"/>
  <c r="F105" i="7"/>
  <c r="E32" i="7"/>
  <c r="F32" i="7" s="1"/>
  <c r="AC54" i="62" s="1"/>
  <c r="E30" i="7"/>
  <c r="F30" i="7" s="1"/>
  <c r="AA54" i="62" s="1"/>
  <c r="E28" i="7"/>
  <c r="F28" i="7" s="1"/>
  <c r="Y54" i="62" s="1"/>
  <c r="E26" i="7"/>
  <c r="F26" i="7" s="1"/>
  <c r="W54" i="62" s="1"/>
  <c r="E24" i="7"/>
  <c r="F24" i="7" s="1"/>
  <c r="U54" i="62" s="1"/>
  <c r="E22" i="7"/>
  <c r="F22" i="7" s="1"/>
  <c r="S54" i="62" s="1"/>
  <c r="E20" i="7"/>
  <c r="F20" i="7" s="1"/>
  <c r="Q54" i="62" s="1"/>
  <c r="E18" i="7"/>
  <c r="F18" i="7" s="1"/>
  <c r="O54" i="62" s="1"/>
  <c r="E16" i="7"/>
  <c r="F16" i="7" s="1"/>
  <c r="M54" i="62" s="1"/>
  <c r="E14" i="7"/>
  <c r="F14" i="7" s="1"/>
  <c r="K54" i="62" s="1"/>
  <c r="E12" i="7"/>
  <c r="F12" i="7" s="1"/>
  <c r="I54" i="62" s="1"/>
  <c r="E10" i="7"/>
  <c r="F10" i="7" s="1"/>
  <c r="G54" i="62" s="1"/>
  <c r="E8" i="7"/>
  <c r="F8" i="7" s="1"/>
  <c r="E54" i="62" s="1"/>
  <c r="E6" i="7"/>
  <c r="F6" i="7" s="1"/>
  <c r="C54" i="62" s="1"/>
  <c r="E31" i="7"/>
  <c r="F31" i="7" s="1"/>
  <c r="AB54" i="62" s="1"/>
  <c r="E29" i="7"/>
  <c r="F29" i="7" s="1"/>
  <c r="Z54" i="62" s="1"/>
  <c r="E27" i="7"/>
  <c r="F27" i="7" s="1"/>
  <c r="X54" i="62" s="1"/>
  <c r="E25" i="7"/>
  <c r="F25" i="7" s="1"/>
  <c r="V54" i="62" s="1"/>
  <c r="E23" i="7"/>
  <c r="F23" i="7" s="1"/>
  <c r="T54" i="62" s="1"/>
  <c r="E21" i="7"/>
  <c r="F21" i="7" s="1"/>
  <c r="R54" i="62" s="1"/>
  <c r="E19" i="7"/>
  <c r="F19" i="7" s="1"/>
  <c r="P54" i="62" s="1"/>
  <c r="E17" i="7"/>
  <c r="F17" i="7" s="1"/>
  <c r="N54" i="62" s="1"/>
  <c r="E15" i="7"/>
  <c r="F15" i="7" s="1"/>
  <c r="L54" i="62" s="1"/>
  <c r="E13" i="7"/>
  <c r="F13" i="7" s="1"/>
  <c r="J54" i="62" s="1"/>
  <c r="E11" i="7"/>
  <c r="F11" i="7" s="1"/>
  <c r="H54" i="62" s="1"/>
  <c r="E9" i="7"/>
  <c r="F9" i="7" s="1"/>
  <c r="F54" i="62" s="1"/>
  <c r="E7" i="7"/>
  <c r="F7" i="7" s="1"/>
  <c r="D54" i="62" s="1"/>
  <c r="E5" i="7"/>
  <c r="F105" i="16"/>
  <c r="E31" i="16"/>
  <c r="F31" i="16" s="1"/>
  <c r="AB45" i="62" s="1"/>
  <c r="E29" i="16"/>
  <c r="F29" i="16" s="1"/>
  <c r="Z45" i="62" s="1"/>
  <c r="E27" i="16"/>
  <c r="F27" i="16" s="1"/>
  <c r="X45" i="62" s="1"/>
  <c r="E25" i="16"/>
  <c r="F25" i="16" s="1"/>
  <c r="V45" i="62" s="1"/>
  <c r="E23" i="16"/>
  <c r="F23" i="16" s="1"/>
  <c r="T45" i="62" s="1"/>
  <c r="E21" i="16"/>
  <c r="F21" i="16" s="1"/>
  <c r="R45" i="62" s="1"/>
  <c r="E19" i="16"/>
  <c r="F19" i="16" s="1"/>
  <c r="P45" i="62" s="1"/>
  <c r="E17" i="16"/>
  <c r="F17" i="16" s="1"/>
  <c r="N45" i="62" s="1"/>
  <c r="E15" i="16"/>
  <c r="F15" i="16" s="1"/>
  <c r="L45" i="62" s="1"/>
  <c r="E13" i="16"/>
  <c r="F13" i="16" s="1"/>
  <c r="J45" i="62" s="1"/>
  <c r="E11" i="16"/>
  <c r="F11" i="16" s="1"/>
  <c r="H45" i="62" s="1"/>
  <c r="E9" i="16"/>
  <c r="F9" i="16" s="1"/>
  <c r="F45" i="62" s="1"/>
  <c r="E7" i="16"/>
  <c r="F7" i="16" s="1"/>
  <c r="D45" i="62" s="1"/>
  <c r="E5" i="16"/>
  <c r="E32" i="16"/>
  <c r="F32" i="16" s="1"/>
  <c r="AC45" i="62" s="1"/>
  <c r="E30" i="16"/>
  <c r="F30" i="16" s="1"/>
  <c r="AA45" i="62" s="1"/>
  <c r="E28" i="16"/>
  <c r="F28" i="16" s="1"/>
  <c r="Y45" i="62" s="1"/>
  <c r="E26" i="16"/>
  <c r="F26" i="16" s="1"/>
  <c r="W45" i="62" s="1"/>
  <c r="E24" i="16"/>
  <c r="F24" i="16" s="1"/>
  <c r="U45" i="62" s="1"/>
  <c r="E22" i="16"/>
  <c r="F22" i="16" s="1"/>
  <c r="S45" i="62" s="1"/>
  <c r="E20" i="16"/>
  <c r="F20" i="16" s="1"/>
  <c r="Q45" i="62" s="1"/>
  <c r="E18" i="16"/>
  <c r="F18" i="16" s="1"/>
  <c r="O45" i="62" s="1"/>
  <c r="E16" i="16"/>
  <c r="F16" i="16" s="1"/>
  <c r="M45" i="62" s="1"/>
  <c r="E14" i="16"/>
  <c r="F14" i="16" s="1"/>
  <c r="K45" i="62" s="1"/>
  <c r="E12" i="16"/>
  <c r="F12" i="16" s="1"/>
  <c r="I45" i="62" s="1"/>
  <c r="E10" i="16"/>
  <c r="F10" i="16" s="1"/>
  <c r="G45" i="62" s="1"/>
  <c r="E8" i="16"/>
  <c r="F8" i="16" s="1"/>
  <c r="E45" i="62" s="1"/>
  <c r="E6" i="16"/>
  <c r="F6" i="16" s="1"/>
  <c r="C45" i="62" s="1"/>
  <c r="F105" i="20"/>
  <c r="E31" i="20"/>
  <c r="F31" i="20" s="1"/>
  <c r="AB41" i="62" s="1"/>
  <c r="E29" i="20"/>
  <c r="F29" i="20" s="1"/>
  <c r="Z41" i="62" s="1"/>
  <c r="E27" i="20"/>
  <c r="F27" i="20" s="1"/>
  <c r="X41" i="62" s="1"/>
  <c r="E25" i="20"/>
  <c r="F25" i="20" s="1"/>
  <c r="V41" i="62" s="1"/>
  <c r="E23" i="20"/>
  <c r="F23" i="20" s="1"/>
  <c r="T41" i="62" s="1"/>
  <c r="E21" i="20"/>
  <c r="F21" i="20" s="1"/>
  <c r="R41" i="62" s="1"/>
  <c r="E19" i="20"/>
  <c r="F19" i="20" s="1"/>
  <c r="P41" i="62" s="1"/>
  <c r="E17" i="20"/>
  <c r="F17" i="20" s="1"/>
  <c r="N41" i="62" s="1"/>
  <c r="E15" i="20"/>
  <c r="F15" i="20" s="1"/>
  <c r="L41" i="62" s="1"/>
  <c r="E13" i="20"/>
  <c r="F13" i="20" s="1"/>
  <c r="J41" i="62" s="1"/>
  <c r="E11" i="20"/>
  <c r="F11" i="20" s="1"/>
  <c r="H41" i="62" s="1"/>
  <c r="E9" i="20"/>
  <c r="F9" i="20" s="1"/>
  <c r="F41" i="62" s="1"/>
  <c r="E7" i="20"/>
  <c r="F7" i="20" s="1"/>
  <c r="D41" i="62" s="1"/>
  <c r="E5" i="20"/>
  <c r="E32" i="20"/>
  <c r="F32" i="20" s="1"/>
  <c r="AC41" i="62" s="1"/>
  <c r="E30" i="20"/>
  <c r="F30" i="20" s="1"/>
  <c r="AA41" i="62" s="1"/>
  <c r="E28" i="20"/>
  <c r="F28" i="20" s="1"/>
  <c r="Y41" i="62" s="1"/>
  <c r="E26" i="20"/>
  <c r="F26" i="20" s="1"/>
  <c r="W41" i="62" s="1"/>
  <c r="E24" i="20"/>
  <c r="F24" i="20" s="1"/>
  <c r="U41" i="62" s="1"/>
  <c r="E22" i="20"/>
  <c r="F22" i="20" s="1"/>
  <c r="S41" i="62" s="1"/>
  <c r="E20" i="20"/>
  <c r="F20" i="20" s="1"/>
  <c r="Q41" i="62" s="1"/>
  <c r="E18" i="20"/>
  <c r="F18" i="20" s="1"/>
  <c r="O41" i="62" s="1"/>
  <c r="E16" i="20"/>
  <c r="F16" i="20" s="1"/>
  <c r="M41" i="62" s="1"/>
  <c r="E14" i="20"/>
  <c r="F14" i="20" s="1"/>
  <c r="K41" i="62" s="1"/>
  <c r="E12" i="20"/>
  <c r="F12" i="20" s="1"/>
  <c r="I41" i="62" s="1"/>
  <c r="E10" i="20"/>
  <c r="F10" i="20" s="1"/>
  <c r="G41" i="62" s="1"/>
  <c r="E8" i="20"/>
  <c r="F8" i="20" s="1"/>
  <c r="E41" i="62" s="1"/>
  <c r="E6" i="20"/>
  <c r="F6" i="20" s="1"/>
  <c r="C41" i="62" s="1"/>
  <c r="E32" i="34"/>
  <c r="F32" i="34" s="1"/>
  <c r="AC27" i="62" s="1"/>
  <c r="E30" i="34"/>
  <c r="F30" i="34" s="1"/>
  <c r="AA27" i="62" s="1"/>
  <c r="E28" i="34"/>
  <c r="F28" i="34" s="1"/>
  <c r="Y27" i="62" s="1"/>
  <c r="E26" i="34"/>
  <c r="F26" i="34" s="1"/>
  <c r="W27" i="62" s="1"/>
  <c r="E24" i="34"/>
  <c r="F24" i="34" s="1"/>
  <c r="U27" i="62" s="1"/>
  <c r="E22" i="34"/>
  <c r="F22" i="34" s="1"/>
  <c r="S27" i="62" s="1"/>
  <c r="E20" i="34"/>
  <c r="F20" i="34" s="1"/>
  <c r="Q27" i="62" s="1"/>
  <c r="E18" i="34"/>
  <c r="F18" i="34" s="1"/>
  <c r="O27" i="62" s="1"/>
  <c r="E16" i="34"/>
  <c r="F16" i="34" s="1"/>
  <c r="M27" i="62" s="1"/>
  <c r="E14" i="34"/>
  <c r="F14" i="34" s="1"/>
  <c r="K27" i="62" s="1"/>
  <c r="E12" i="34"/>
  <c r="F12" i="34" s="1"/>
  <c r="I27" i="62" s="1"/>
  <c r="E10" i="34"/>
  <c r="F10" i="34" s="1"/>
  <c r="G27" i="62" s="1"/>
  <c r="E8" i="34"/>
  <c r="F8" i="34" s="1"/>
  <c r="E27" i="62" s="1"/>
  <c r="E6" i="34"/>
  <c r="F6" i="34" s="1"/>
  <c r="C27" i="62" s="1"/>
  <c r="F105" i="34"/>
  <c r="E31" i="34"/>
  <c r="F31" i="34" s="1"/>
  <c r="AB27" i="62" s="1"/>
  <c r="E29" i="34"/>
  <c r="F29" i="34" s="1"/>
  <c r="Z27" i="62" s="1"/>
  <c r="E27" i="34"/>
  <c r="F27" i="34" s="1"/>
  <c r="X27" i="62" s="1"/>
  <c r="E25" i="34"/>
  <c r="F25" i="34" s="1"/>
  <c r="V27" i="62" s="1"/>
  <c r="E23" i="34"/>
  <c r="F23" i="34" s="1"/>
  <c r="T27" i="62" s="1"/>
  <c r="E21" i="34"/>
  <c r="F21" i="34" s="1"/>
  <c r="R27" i="62" s="1"/>
  <c r="E19" i="34"/>
  <c r="F19" i="34" s="1"/>
  <c r="P27" i="62" s="1"/>
  <c r="E17" i="34"/>
  <c r="F17" i="34" s="1"/>
  <c r="N27" i="62" s="1"/>
  <c r="E15" i="34"/>
  <c r="F15" i="34" s="1"/>
  <c r="L27" i="62" s="1"/>
  <c r="E13" i="34"/>
  <c r="F13" i="34" s="1"/>
  <c r="J27" i="62" s="1"/>
  <c r="E11" i="34"/>
  <c r="F11" i="34" s="1"/>
  <c r="H27" i="62" s="1"/>
  <c r="E9" i="34"/>
  <c r="F9" i="34" s="1"/>
  <c r="F27" i="62" s="1"/>
  <c r="E7" i="34"/>
  <c r="F7" i="34" s="1"/>
  <c r="D27" i="62" s="1"/>
  <c r="E5" i="34"/>
  <c r="E32" i="55"/>
  <c r="F32" i="55" s="1"/>
  <c r="AC6" i="62" s="1"/>
  <c r="E30" i="55"/>
  <c r="F30" i="55" s="1"/>
  <c r="AA6" i="62" s="1"/>
  <c r="E28" i="55"/>
  <c r="F28" i="55" s="1"/>
  <c r="Y6" i="62" s="1"/>
  <c r="E26" i="55"/>
  <c r="F26" i="55" s="1"/>
  <c r="W6" i="62" s="1"/>
  <c r="E24" i="55"/>
  <c r="F24" i="55" s="1"/>
  <c r="U6" i="62" s="1"/>
  <c r="E22" i="55"/>
  <c r="F22" i="55" s="1"/>
  <c r="S6" i="62" s="1"/>
  <c r="E20" i="55"/>
  <c r="F20" i="55" s="1"/>
  <c r="Q6" i="62" s="1"/>
  <c r="E18" i="55"/>
  <c r="F18" i="55" s="1"/>
  <c r="O6" i="62" s="1"/>
  <c r="E16" i="55"/>
  <c r="F16" i="55" s="1"/>
  <c r="M6" i="62" s="1"/>
  <c r="E14" i="55"/>
  <c r="F14" i="55" s="1"/>
  <c r="K6" i="62" s="1"/>
  <c r="E12" i="55"/>
  <c r="F12" i="55" s="1"/>
  <c r="I6" i="62" s="1"/>
  <c r="E10" i="55"/>
  <c r="F10" i="55" s="1"/>
  <c r="G6" i="62" s="1"/>
  <c r="E8" i="55"/>
  <c r="F8" i="55" s="1"/>
  <c r="E6" i="62" s="1"/>
  <c r="E6" i="55"/>
  <c r="F6" i="55" s="1"/>
  <c r="C6" i="62" s="1"/>
  <c r="F105" i="55"/>
  <c r="E31" i="55"/>
  <c r="F31" i="55" s="1"/>
  <c r="AB6" i="62" s="1"/>
  <c r="E29" i="55"/>
  <c r="F29" i="55" s="1"/>
  <c r="Z6" i="62" s="1"/>
  <c r="E27" i="55"/>
  <c r="F27" i="55" s="1"/>
  <c r="X6" i="62" s="1"/>
  <c r="E25" i="55"/>
  <c r="F25" i="55" s="1"/>
  <c r="V6" i="62" s="1"/>
  <c r="E23" i="55"/>
  <c r="F23" i="55" s="1"/>
  <c r="T6" i="62" s="1"/>
  <c r="E21" i="55"/>
  <c r="F21" i="55" s="1"/>
  <c r="R6" i="62" s="1"/>
  <c r="E19" i="55"/>
  <c r="F19" i="55" s="1"/>
  <c r="P6" i="62" s="1"/>
  <c r="E17" i="55"/>
  <c r="F17" i="55" s="1"/>
  <c r="N6" i="62" s="1"/>
  <c r="E15" i="55"/>
  <c r="F15" i="55" s="1"/>
  <c r="L6" i="62" s="1"/>
  <c r="E13" i="55"/>
  <c r="F13" i="55" s="1"/>
  <c r="J6" i="62" s="1"/>
  <c r="E11" i="55"/>
  <c r="F11" i="55" s="1"/>
  <c r="H6" i="62" s="1"/>
  <c r="E9" i="55"/>
  <c r="F9" i="55" s="1"/>
  <c r="F6" i="62" s="1"/>
  <c r="E7" i="55"/>
  <c r="F7" i="55" s="1"/>
  <c r="D6" i="62" s="1"/>
  <c r="E5" i="55"/>
  <c r="F105" i="21"/>
  <c r="E31" i="21"/>
  <c r="F31" i="21" s="1"/>
  <c r="AB40" i="62" s="1"/>
  <c r="E29" i="21"/>
  <c r="F29" i="21" s="1"/>
  <c r="Z40" i="62" s="1"/>
  <c r="E27" i="21"/>
  <c r="F27" i="21" s="1"/>
  <c r="X40" i="62" s="1"/>
  <c r="E25" i="21"/>
  <c r="F25" i="21" s="1"/>
  <c r="V40" i="62" s="1"/>
  <c r="E23" i="21"/>
  <c r="F23" i="21" s="1"/>
  <c r="T40" i="62" s="1"/>
  <c r="E21" i="21"/>
  <c r="F21" i="21" s="1"/>
  <c r="R40" i="62" s="1"/>
  <c r="E19" i="21"/>
  <c r="F19" i="21" s="1"/>
  <c r="P40" i="62" s="1"/>
  <c r="E17" i="21"/>
  <c r="F17" i="21" s="1"/>
  <c r="N40" i="62" s="1"/>
  <c r="E15" i="21"/>
  <c r="F15" i="21" s="1"/>
  <c r="L40" i="62" s="1"/>
  <c r="E13" i="21"/>
  <c r="F13" i="21" s="1"/>
  <c r="J40" i="62" s="1"/>
  <c r="E11" i="21"/>
  <c r="F11" i="21" s="1"/>
  <c r="H40" i="62" s="1"/>
  <c r="E9" i="21"/>
  <c r="F9" i="21" s="1"/>
  <c r="F40" i="62" s="1"/>
  <c r="E7" i="21"/>
  <c r="F7" i="21" s="1"/>
  <c r="D40" i="62" s="1"/>
  <c r="E5" i="21"/>
  <c r="E32" i="21"/>
  <c r="F32" i="21" s="1"/>
  <c r="AC40" i="62" s="1"/>
  <c r="E30" i="21"/>
  <c r="F30" i="21" s="1"/>
  <c r="AA40" i="62" s="1"/>
  <c r="E28" i="21"/>
  <c r="F28" i="21" s="1"/>
  <c r="Y40" i="62" s="1"/>
  <c r="E26" i="21"/>
  <c r="F26" i="21" s="1"/>
  <c r="W40" i="62" s="1"/>
  <c r="E24" i="21"/>
  <c r="F24" i="21" s="1"/>
  <c r="U40" i="62" s="1"/>
  <c r="E22" i="21"/>
  <c r="F22" i="21" s="1"/>
  <c r="S40" i="62" s="1"/>
  <c r="E20" i="21"/>
  <c r="F20" i="21" s="1"/>
  <c r="Q40" i="62" s="1"/>
  <c r="E18" i="21"/>
  <c r="F18" i="21" s="1"/>
  <c r="O40" i="62" s="1"/>
  <c r="E16" i="21"/>
  <c r="F16" i="21" s="1"/>
  <c r="M40" i="62" s="1"/>
  <c r="E14" i="21"/>
  <c r="F14" i="21" s="1"/>
  <c r="K40" i="62" s="1"/>
  <c r="E12" i="21"/>
  <c r="F12" i="21" s="1"/>
  <c r="I40" i="62" s="1"/>
  <c r="E10" i="21"/>
  <c r="F10" i="21" s="1"/>
  <c r="G40" i="62" s="1"/>
  <c r="E8" i="21"/>
  <c r="F8" i="21" s="1"/>
  <c r="E40" i="62" s="1"/>
  <c r="E6" i="21"/>
  <c r="F6" i="21" s="1"/>
  <c r="C40" i="62" s="1"/>
  <c r="E32" i="19"/>
  <c r="F32" i="19" s="1"/>
  <c r="AC42" i="62" s="1"/>
  <c r="E30" i="19"/>
  <c r="F30" i="19" s="1"/>
  <c r="AA42" i="62" s="1"/>
  <c r="E28" i="19"/>
  <c r="F28" i="19" s="1"/>
  <c r="Y42" i="62" s="1"/>
  <c r="E26" i="19"/>
  <c r="F26" i="19" s="1"/>
  <c r="W42" i="62" s="1"/>
  <c r="E24" i="19"/>
  <c r="F24" i="19" s="1"/>
  <c r="U42" i="62" s="1"/>
  <c r="E22" i="19"/>
  <c r="F22" i="19" s="1"/>
  <c r="S42" i="62" s="1"/>
  <c r="E20" i="19"/>
  <c r="F20" i="19" s="1"/>
  <c r="Q42" i="62" s="1"/>
  <c r="E18" i="19"/>
  <c r="F18" i="19" s="1"/>
  <c r="O42" i="62" s="1"/>
  <c r="E16" i="19"/>
  <c r="F16" i="19" s="1"/>
  <c r="M42" i="62" s="1"/>
  <c r="E14" i="19"/>
  <c r="F14" i="19" s="1"/>
  <c r="K42" i="62" s="1"/>
  <c r="E12" i="19"/>
  <c r="F12" i="19" s="1"/>
  <c r="I42" i="62" s="1"/>
  <c r="E10" i="19"/>
  <c r="F10" i="19" s="1"/>
  <c r="G42" i="62" s="1"/>
  <c r="E8" i="19"/>
  <c r="F8" i="19" s="1"/>
  <c r="E42" i="62" s="1"/>
  <c r="E6" i="19"/>
  <c r="F6" i="19" s="1"/>
  <c r="C42" i="62" s="1"/>
  <c r="F105" i="19"/>
  <c r="E31" i="19"/>
  <c r="F31" i="19" s="1"/>
  <c r="AB42" i="62" s="1"/>
  <c r="E29" i="19"/>
  <c r="F29" i="19" s="1"/>
  <c r="Z42" i="62" s="1"/>
  <c r="E27" i="19"/>
  <c r="F27" i="19" s="1"/>
  <c r="X42" i="62" s="1"/>
  <c r="E25" i="19"/>
  <c r="F25" i="19" s="1"/>
  <c r="V42" i="62" s="1"/>
  <c r="E23" i="19"/>
  <c r="F23" i="19" s="1"/>
  <c r="T42" i="62" s="1"/>
  <c r="E21" i="19"/>
  <c r="F21" i="19" s="1"/>
  <c r="R42" i="62" s="1"/>
  <c r="E19" i="19"/>
  <c r="F19" i="19" s="1"/>
  <c r="P42" i="62" s="1"/>
  <c r="E17" i="19"/>
  <c r="F17" i="19" s="1"/>
  <c r="N42" i="62" s="1"/>
  <c r="E15" i="19"/>
  <c r="F15" i="19" s="1"/>
  <c r="L42" i="62" s="1"/>
  <c r="E13" i="19"/>
  <c r="F13" i="19" s="1"/>
  <c r="J42" i="62" s="1"/>
  <c r="E11" i="19"/>
  <c r="F11" i="19" s="1"/>
  <c r="H42" i="62" s="1"/>
  <c r="E9" i="19"/>
  <c r="F9" i="19" s="1"/>
  <c r="F42" i="62" s="1"/>
  <c r="E7" i="19"/>
  <c r="F7" i="19" s="1"/>
  <c r="D42" i="62" s="1"/>
  <c r="E5" i="19"/>
  <c r="E32" i="28"/>
  <c r="F32" i="28" s="1"/>
  <c r="AC33" i="62" s="1"/>
  <c r="E30" i="28"/>
  <c r="F30" i="28" s="1"/>
  <c r="AA33" i="62" s="1"/>
  <c r="E28" i="28"/>
  <c r="F28" i="28" s="1"/>
  <c r="Y33" i="62" s="1"/>
  <c r="E26" i="28"/>
  <c r="F26" i="28" s="1"/>
  <c r="W33" i="62" s="1"/>
  <c r="E24" i="28"/>
  <c r="F24" i="28" s="1"/>
  <c r="U33" i="62" s="1"/>
  <c r="E22" i="28"/>
  <c r="F22" i="28" s="1"/>
  <c r="S33" i="62" s="1"/>
  <c r="E20" i="28"/>
  <c r="F20" i="28" s="1"/>
  <c r="Q33" i="62" s="1"/>
  <c r="E18" i="28"/>
  <c r="F18" i="28" s="1"/>
  <c r="O33" i="62" s="1"/>
  <c r="E16" i="28"/>
  <c r="F16" i="28" s="1"/>
  <c r="M33" i="62" s="1"/>
  <c r="E14" i="28"/>
  <c r="F14" i="28" s="1"/>
  <c r="K33" i="62" s="1"/>
  <c r="E12" i="28"/>
  <c r="F12" i="28" s="1"/>
  <c r="I33" i="62" s="1"/>
  <c r="E10" i="28"/>
  <c r="F10" i="28" s="1"/>
  <c r="G33" i="62" s="1"/>
  <c r="E8" i="28"/>
  <c r="F8" i="28" s="1"/>
  <c r="E33" i="62" s="1"/>
  <c r="E6" i="28"/>
  <c r="F6" i="28" s="1"/>
  <c r="C33" i="62" s="1"/>
  <c r="F105" i="28"/>
  <c r="E31" i="28"/>
  <c r="F31" i="28" s="1"/>
  <c r="AB33" i="62" s="1"/>
  <c r="E29" i="28"/>
  <c r="F29" i="28" s="1"/>
  <c r="Z33" i="62" s="1"/>
  <c r="E27" i="28"/>
  <c r="F27" i="28" s="1"/>
  <c r="X33" i="62" s="1"/>
  <c r="E25" i="28"/>
  <c r="F25" i="28" s="1"/>
  <c r="V33" i="62" s="1"/>
  <c r="E23" i="28"/>
  <c r="F23" i="28" s="1"/>
  <c r="T33" i="62" s="1"/>
  <c r="E21" i="28"/>
  <c r="F21" i="28" s="1"/>
  <c r="R33" i="62" s="1"/>
  <c r="E19" i="28"/>
  <c r="F19" i="28" s="1"/>
  <c r="P33" i="62" s="1"/>
  <c r="E17" i="28"/>
  <c r="F17" i="28" s="1"/>
  <c r="N33" i="62" s="1"/>
  <c r="E15" i="28"/>
  <c r="F15" i="28" s="1"/>
  <c r="L33" i="62" s="1"/>
  <c r="E13" i="28"/>
  <c r="F13" i="28" s="1"/>
  <c r="J33" i="62" s="1"/>
  <c r="E11" i="28"/>
  <c r="F11" i="28" s="1"/>
  <c r="H33" i="62" s="1"/>
  <c r="E9" i="28"/>
  <c r="F9" i="28" s="1"/>
  <c r="F33" i="62" s="1"/>
  <c r="E7" i="28"/>
  <c r="F7" i="28" s="1"/>
  <c r="D33" i="62" s="1"/>
  <c r="E5" i="28"/>
  <c r="E32" i="24"/>
  <c r="F32" i="24" s="1"/>
  <c r="AC37" i="62" s="1"/>
  <c r="E30" i="24"/>
  <c r="F30" i="24" s="1"/>
  <c r="AA37" i="62" s="1"/>
  <c r="E28" i="24"/>
  <c r="F28" i="24" s="1"/>
  <c r="Y37" i="62" s="1"/>
  <c r="E26" i="24"/>
  <c r="F26" i="24" s="1"/>
  <c r="W37" i="62" s="1"/>
  <c r="E24" i="24"/>
  <c r="F24" i="24" s="1"/>
  <c r="U37" i="62" s="1"/>
  <c r="E22" i="24"/>
  <c r="F22" i="24" s="1"/>
  <c r="S37" i="62" s="1"/>
  <c r="E20" i="24"/>
  <c r="F20" i="24" s="1"/>
  <c r="Q37" i="62" s="1"/>
  <c r="E18" i="24"/>
  <c r="F18" i="24" s="1"/>
  <c r="O37" i="62" s="1"/>
  <c r="E16" i="24"/>
  <c r="F16" i="24" s="1"/>
  <c r="M37" i="62" s="1"/>
  <c r="E14" i="24"/>
  <c r="F14" i="24" s="1"/>
  <c r="K37" i="62" s="1"/>
  <c r="E12" i="24"/>
  <c r="F12" i="24" s="1"/>
  <c r="I37" i="62" s="1"/>
  <c r="E10" i="24"/>
  <c r="F10" i="24" s="1"/>
  <c r="G37" i="62" s="1"/>
  <c r="E8" i="24"/>
  <c r="F8" i="24" s="1"/>
  <c r="E37" i="62" s="1"/>
  <c r="E6" i="24"/>
  <c r="F6" i="24" s="1"/>
  <c r="C37" i="62" s="1"/>
  <c r="F105" i="24"/>
  <c r="E31" i="24"/>
  <c r="F31" i="24" s="1"/>
  <c r="AB37" i="62" s="1"/>
  <c r="E29" i="24"/>
  <c r="F29" i="24" s="1"/>
  <c r="Z37" i="62" s="1"/>
  <c r="E27" i="24"/>
  <c r="F27" i="24" s="1"/>
  <c r="X37" i="62" s="1"/>
  <c r="E25" i="24"/>
  <c r="F25" i="24" s="1"/>
  <c r="V37" i="62" s="1"/>
  <c r="E23" i="24"/>
  <c r="F23" i="24" s="1"/>
  <c r="T37" i="62" s="1"/>
  <c r="E21" i="24"/>
  <c r="F21" i="24" s="1"/>
  <c r="R37" i="62" s="1"/>
  <c r="E19" i="24"/>
  <c r="F19" i="24" s="1"/>
  <c r="P37" i="62" s="1"/>
  <c r="E17" i="24"/>
  <c r="F17" i="24" s="1"/>
  <c r="N37" i="62" s="1"/>
  <c r="E15" i="24"/>
  <c r="F15" i="24" s="1"/>
  <c r="L37" i="62" s="1"/>
  <c r="E13" i="24"/>
  <c r="F13" i="24" s="1"/>
  <c r="J37" i="62" s="1"/>
  <c r="E11" i="24"/>
  <c r="F11" i="24" s="1"/>
  <c r="H37" i="62" s="1"/>
  <c r="E9" i="24"/>
  <c r="F9" i="24" s="1"/>
  <c r="F37" i="62" s="1"/>
  <c r="E7" i="24"/>
  <c r="F7" i="24" s="1"/>
  <c r="D37" i="62" s="1"/>
  <c r="E5" i="24"/>
  <c r="E32" i="42"/>
  <c r="F32" i="42" s="1"/>
  <c r="AC19" i="62" s="1"/>
  <c r="E30" i="42"/>
  <c r="F30" i="42" s="1"/>
  <c r="AA19" i="62" s="1"/>
  <c r="E28" i="42"/>
  <c r="F28" i="42" s="1"/>
  <c r="Y19" i="62" s="1"/>
  <c r="E26" i="42"/>
  <c r="F26" i="42" s="1"/>
  <c r="W19" i="62" s="1"/>
  <c r="E24" i="42"/>
  <c r="F24" i="42" s="1"/>
  <c r="U19" i="62" s="1"/>
  <c r="E22" i="42"/>
  <c r="F22" i="42" s="1"/>
  <c r="S19" i="62" s="1"/>
  <c r="E20" i="42"/>
  <c r="F20" i="42" s="1"/>
  <c r="Q19" i="62" s="1"/>
  <c r="E18" i="42"/>
  <c r="F18" i="42" s="1"/>
  <c r="O19" i="62" s="1"/>
  <c r="E16" i="42"/>
  <c r="F16" i="42" s="1"/>
  <c r="M19" i="62" s="1"/>
  <c r="E14" i="42"/>
  <c r="F14" i="42" s="1"/>
  <c r="K19" i="62" s="1"/>
  <c r="E12" i="42"/>
  <c r="F12" i="42" s="1"/>
  <c r="I19" i="62" s="1"/>
  <c r="E10" i="42"/>
  <c r="F10" i="42" s="1"/>
  <c r="G19" i="62" s="1"/>
  <c r="E8" i="42"/>
  <c r="F8" i="42" s="1"/>
  <c r="E19" i="62" s="1"/>
  <c r="E6" i="42"/>
  <c r="F6" i="42" s="1"/>
  <c r="C19" i="62" s="1"/>
  <c r="F105" i="42"/>
  <c r="E31" i="42"/>
  <c r="F31" i="42" s="1"/>
  <c r="AB19" i="62" s="1"/>
  <c r="E29" i="42"/>
  <c r="F29" i="42" s="1"/>
  <c r="Z19" i="62" s="1"/>
  <c r="E27" i="42"/>
  <c r="F27" i="42" s="1"/>
  <c r="X19" i="62" s="1"/>
  <c r="E25" i="42"/>
  <c r="F25" i="42" s="1"/>
  <c r="V19" i="62" s="1"/>
  <c r="E23" i="42"/>
  <c r="F23" i="42" s="1"/>
  <c r="T19" i="62" s="1"/>
  <c r="E21" i="42"/>
  <c r="F21" i="42" s="1"/>
  <c r="R19" i="62" s="1"/>
  <c r="E19" i="42"/>
  <c r="F19" i="42" s="1"/>
  <c r="P19" i="62" s="1"/>
  <c r="E17" i="42"/>
  <c r="F17" i="42" s="1"/>
  <c r="N19" i="62" s="1"/>
  <c r="E15" i="42"/>
  <c r="F15" i="42" s="1"/>
  <c r="L19" i="62" s="1"/>
  <c r="E13" i="42"/>
  <c r="F13" i="42" s="1"/>
  <c r="J19" i="62" s="1"/>
  <c r="E11" i="42"/>
  <c r="F11" i="42" s="1"/>
  <c r="H19" i="62" s="1"/>
  <c r="E9" i="42"/>
  <c r="F9" i="42" s="1"/>
  <c r="F19" i="62" s="1"/>
  <c r="E7" i="42"/>
  <c r="F7" i="42" s="1"/>
  <c r="D19" i="62" s="1"/>
  <c r="E5" i="42"/>
  <c r="F105" i="56"/>
  <c r="E31" i="56"/>
  <c r="F31" i="56" s="1"/>
  <c r="AB5" i="62" s="1"/>
  <c r="E29" i="56"/>
  <c r="F29" i="56" s="1"/>
  <c r="Z5" i="62" s="1"/>
  <c r="E27" i="56"/>
  <c r="F27" i="56" s="1"/>
  <c r="X5" i="62" s="1"/>
  <c r="E25" i="56"/>
  <c r="F25" i="56" s="1"/>
  <c r="V5" i="62" s="1"/>
  <c r="E23" i="56"/>
  <c r="F23" i="56" s="1"/>
  <c r="T5" i="62" s="1"/>
  <c r="E21" i="56"/>
  <c r="F21" i="56" s="1"/>
  <c r="R5" i="62" s="1"/>
  <c r="E19" i="56"/>
  <c r="F19" i="56" s="1"/>
  <c r="P5" i="62" s="1"/>
  <c r="E17" i="56"/>
  <c r="F17" i="56" s="1"/>
  <c r="N5" i="62" s="1"/>
  <c r="E15" i="56"/>
  <c r="F15" i="56" s="1"/>
  <c r="L5" i="62" s="1"/>
  <c r="E13" i="56"/>
  <c r="F13" i="56" s="1"/>
  <c r="J5" i="62" s="1"/>
  <c r="E11" i="56"/>
  <c r="F11" i="56" s="1"/>
  <c r="H5" i="62" s="1"/>
  <c r="E9" i="56"/>
  <c r="F9" i="56" s="1"/>
  <c r="F5" i="62" s="1"/>
  <c r="E7" i="56"/>
  <c r="F7" i="56" s="1"/>
  <c r="D5" i="62" s="1"/>
  <c r="E5" i="56"/>
  <c r="E32" i="56"/>
  <c r="F32" i="56" s="1"/>
  <c r="AC5" i="62" s="1"/>
  <c r="E30" i="56"/>
  <c r="F30" i="56" s="1"/>
  <c r="AA5" i="62" s="1"/>
  <c r="E28" i="56"/>
  <c r="F28" i="56" s="1"/>
  <c r="Y5" i="62" s="1"/>
  <c r="E26" i="56"/>
  <c r="F26" i="56" s="1"/>
  <c r="W5" i="62" s="1"/>
  <c r="E24" i="56"/>
  <c r="F24" i="56" s="1"/>
  <c r="U5" i="62" s="1"/>
  <c r="E22" i="56"/>
  <c r="F22" i="56" s="1"/>
  <c r="S5" i="62" s="1"/>
  <c r="E20" i="56"/>
  <c r="F20" i="56" s="1"/>
  <c r="Q5" i="62" s="1"/>
  <c r="E18" i="56"/>
  <c r="F18" i="56" s="1"/>
  <c r="O5" i="62" s="1"/>
  <c r="E16" i="56"/>
  <c r="F16" i="56" s="1"/>
  <c r="M5" i="62" s="1"/>
  <c r="E14" i="56"/>
  <c r="F14" i="56" s="1"/>
  <c r="K5" i="62" s="1"/>
  <c r="E12" i="56"/>
  <c r="F12" i="56" s="1"/>
  <c r="I5" i="62" s="1"/>
  <c r="E10" i="56"/>
  <c r="F10" i="56" s="1"/>
  <c r="G5" i="62" s="1"/>
  <c r="E8" i="56"/>
  <c r="F8" i="56" s="1"/>
  <c r="E5" i="62" s="1"/>
  <c r="E6" i="56"/>
  <c r="F6" i="56" s="1"/>
  <c r="C5" i="62" s="1"/>
  <c r="F105" i="11"/>
  <c r="E31" i="11"/>
  <c r="F31" i="11" s="1"/>
  <c r="AB50" i="62" s="1"/>
  <c r="E29" i="11"/>
  <c r="F29" i="11" s="1"/>
  <c r="Z50" i="62" s="1"/>
  <c r="E27" i="11"/>
  <c r="F27" i="11" s="1"/>
  <c r="X50" i="62" s="1"/>
  <c r="E25" i="11"/>
  <c r="F25" i="11" s="1"/>
  <c r="V50" i="62" s="1"/>
  <c r="E23" i="11"/>
  <c r="F23" i="11" s="1"/>
  <c r="T50" i="62" s="1"/>
  <c r="E21" i="11"/>
  <c r="F21" i="11" s="1"/>
  <c r="R50" i="62" s="1"/>
  <c r="E19" i="11"/>
  <c r="F19" i="11" s="1"/>
  <c r="P50" i="62" s="1"/>
  <c r="E17" i="11"/>
  <c r="F17" i="11" s="1"/>
  <c r="N50" i="62" s="1"/>
  <c r="E15" i="11"/>
  <c r="F15" i="11" s="1"/>
  <c r="L50" i="62" s="1"/>
  <c r="E13" i="11"/>
  <c r="F13" i="11" s="1"/>
  <c r="J50" i="62" s="1"/>
  <c r="E11" i="11"/>
  <c r="F11" i="11" s="1"/>
  <c r="H50" i="62" s="1"/>
  <c r="E9" i="11"/>
  <c r="F9" i="11" s="1"/>
  <c r="F50" i="62" s="1"/>
  <c r="E7" i="11"/>
  <c r="F7" i="11" s="1"/>
  <c r="D50" i="62" s="1"/>
  <c r="E5" i="11"/>
  <c r="E32" i="11"/>
  <c r="F32" i="11" s="1"/>
  <c r="AC50" i="62" s="1"/>
  <c r="E30" i="11"/>
  <c r="F30" i="11" s="1"/>
  <c r="AA50" i="62" s="1"/>
  <c r="E28" i="11"/>
  <c r="F28" i="11" s="1"/>
  <c r="Y50" i="62" s="1"/>
  <c r="E26" i="11"/>
  <c r="F26" i="11" s="1"/>
  <c r="W50" i="62" s="1"/>
  <c r="E24" i="11"/>
  <c r="F24" i="11" s="1"/>
  <c r="U50" i="62" s="1"/>
  <c r="E22" i="11"/>
  <c r="F22" i="11" s="1"/>
  <c r="S50" i="62" s="1"/>
  <c r="E20" i="11"/>
  <c r="F20" i="11" s="1"/>
  <c r="Q50" i="62" s="1"/>
  <c r="E18" i="11"/>
  <c r="F18" i="11" s="1"/>
  <c r="O50" i="62" s="1"/>
  <c r="E16" i="11"/>
  <c r="F16" i="11" s="1"/>
  <c r="M50" i="62" s="1"/>
  <c r="E14" i="11"/>
  <c r="F14" i="11" s="1"/>
  <c r="K50" i="62" s="1"/>
  <c r="E12" i="11"/>
  <c r="F12" i="11" s="1"/>
  <c r="I50" i="62" s="1"/>
  <c r="E10" i="11"/>
  <c r="F10" i="11" s="1"/>
  <c r="G50" i="62" s="1"/>
  <c r="E8" i="11"/>
  <c r="F8" i="11" s="1"/>
  <c r="E50" i="62" s="1"/>
  <c r="E6" i="11"/>
  <c r="F6" i="11" s="1"/>
  <c r="C50" i="62" s="1"/>
  <c r="F105" i="13"/>
  <c r="E31" i="13"/>
  <c r="F31" i="13" s="1"/>
  <c r="AB48" i="62" s="1"/>
  <c r="E29" i="13"/>
  <c r="F29" i="13" s="1"/>
  <c r="Z48" i="62" s="1"/>
  <c r="E27" i="13"/>
  <c r="F27" i="13" s="1"/>
  <c r="X48" i="62" s="1"/>
  <c r="E25" i="13"/>
  <c r="F25" i="13" s="1"/>
  <c r="V48" i="62" s="1"/>
  <c r="E23" i="13"/>
  <c r="F23" i="13" s="1"/>
  <c r="T48" i="62" s="1"/>
  <c r="E21" i="13"/>
  <c r="F21" i="13" s="1"/>
  <c r="R48" i="62" s="1"/>
  <c r="E19" i="13"/>
  <c r="F19" i="13" s="1"/>
  <c r="P48" i="62" s="1"/>
  <c r="E17" i="13"/>
  <c r="F17" i="13" s="1"/>
  <c r="N48" i="62" s="1"/>
  <c r="E15" i="13"/>
  <c r="F15" i="13" s="1"/>
  <c r="L48" i="62" s="1"/>
  <c r="E13" i="13"/>
  <c r="F13" i="13" s="1"/>
  <c r="J48" i="62" s="1"/>
  <c r="E11" i="13"/>
  <c r="F11" i="13" s="1"/>
  <c r="H48" i="62" s="1"/>
  <c r="E9" i="13"/>
  <c r="F9" i="13" s="1"/>
  <c r="F48" i="62" s="1"/>
  <c r="E7" i="13"/>
  <c r="F7" i="13" s="1"/>
  <c r="D48" i="62" s="1"/>
  <c r="E5" i="13"/>
  <c r="E32" i="13"/>
  <c r="F32" i="13" s="1"/>
  <c r="AC48" i="62" s="1"/>
  <c r="E30" i="13"/>
  <c r="F30" i="13" s="1"/>
  <c r="AA48" i="62" s="1"/>
  <c r="E28" i="13"/>
  <c r="F28" i="13" s="1"/>
  <c r="Y48" i="62" s="1"/>
  <c r="E26" i="13"/>
  <c r="F26" i="13" s="1"/>
  <c r="W48" i="62" s="1"/>
  <c r="E24" i="13"/>
  <c r="F24" i="13" s="1"/>
  <c r="U48" i="62" s="1"/>
  <c r="E22" i="13"/>
  <c r="F22" i="13" s="1"/>
  <c r="S48" i="62" s="1"/>
  <c r="E20" i="13"/>
  <c r="F20" i="13" s="1"/>
  <c r="Q48" i="62" s="1"/>
  <c r="E18" i="13"/>
  <c r="F18" i="13" s="1"/>
  <c r="O48" i="62" s="1"/>
  <c r="E16" i="13"/>
  <c r="F16" i="13" s="1"/>
  <c r="M48" i="62" s="1"/>
  <c r="E14" i="13"/>
  <c r="F14" i="13" s="1"/>
  <c r="K48" i="62" s="1"/>
  <c r="E12" i="13"/>
  <c r="F12" i="13" s="1"/>
  <c r="I48" i="62" s="1"/>
  <c r="E10" i="13"/>
  <c r="F10" i="13" s="1"/>
  <c r="G48" i="62" s="1"/>
  <c r="E8" i="13"/>
  <c r="F8" i="13" s="1"/>
  <c r="E48" i="62" s="1"/>
  <c r="E6" i="13"/>
  <c r="F6" i="13" s="1"/>
  <c r="C48" i="62" s="1"/>
  <c r="E32" i="22"/>
  <c r="F32" i="22" s="1"/>
  <c r="AC39" i="62" s="1"/>
  <c r="E30" i="22"/>
  <c r="F30" i="22" s="1"/>
  <c r="AA39" i="62" s="1"/>
  <c r="E28" i="22"/>
  <c r="F28" i="22" s="1"/>
  <c r="Y39" i="62" s="1"/>
  <c r="E26" i="22"/>
  <c r="F26" i="22" s="1"/>
  <c r="W39" i="62" s="1"/>
  <c r="E24" i="22"/>
  <c r="F24" i="22" s="1"/>
  <c r="U39" i="62" s="1"/>
  <c r="E22" i="22"/>
  <c r="F22" i="22" s="1"/>
  <c r="S39" i="62" s="1"/>
  <c r="E20" i="22"/>
  <c r="F20" i="22" s="1"/>
  <c r="Q39" i="62" s="1"/>
  <c r="E18" i="22"/>
  <c r="F18" i="22" s="1"/>
  <c r="O39" i="62" s="1"/>
  <c r="E16" i="22"/>
  <c r="F16" i="22" s="1"/>
  <c r="M39" i="62" s="1"/>
  <c r="E14" i="22"/>
  <c r="F14" i="22" s="1"/>
  <c r="K39" i="62" s="1"/>
  <c r="E12" i="22"/>
  <c r="F12" i="22" s="1"/>
  <c r="I39" i="62" s="1"/>
  <c r="E10" i="22"/>
  <c r="F10" i="22" s="1"/>
  <c r="G39" i="62" s="1"/>
  <c r="E8" i="22"/>
  <c r="F8" i="22" s="1"/>
  <c r="E39" i="62" s="1"/>
  <c r="E6" i="22"/>
  <c r="F6" i="22" s="1"/>
  <c r="C39" i="62" s="1"/>
  <c r="F105" i="22"/>
  <c r="E31" i="22"/>
  <c r="F31" i="22" s="1"/>
  <c r="AB39" i="62" s="1"/>
  <c r="E29" i="22"/>
  <c r="F29" i="22" s="1"/>
  <c r="Z39" i="62" s="1"/>
  <c r="E27" i="22"/>
  <c r="F27" i="22" s="1"/>
  <c r="X39" i="62" s="1"/>
  <c r="E25" i="22"/>
  <c r="F25" i="22" s="1"/>
  <c r="V39" i="62" s="1"/>
  <c r="E23" i="22"/>
  <c r="F23" i="22" s="1"/>
  <c r="T39" i="62" s="1"/>
  <c r="E21" i="22"/>
  <c r="F21" i="22" s="1"/>
  <c r="R39" i="62" s="1"/>
  <c r="E19" i="22"/>
  <c r="F19" i="22" s="1"/>
  <c r="P39" i="62" s="1"/>
  <c r="E17" i="22"/>
  <c r="F17" i="22" s="1"/>
  <c r="N39" i="62" s="1"/>
  <c r="E15" i="22"/>
  <c r="F15" i="22" s="1"/>
  <c r="L39" i="62" s="1"/>
  <c r="E13" i="22"/>
  <c r="F13" i="22" s="1"/>
  <c r="J39" i="62" s="1"/>
  <c r="E11" i="22"/>
  <c r="F11" i="22" s="1"/>
  <c r="H39" i="62" s="1"/>
  <c r="E9" i="22"/>
  <c r="F9" i="22" s="1"/>
  <c r="F39" i="62" s="1"/>
  <c r="E7" i="22"/>
  <c r="F7" i="22" s="1"/>
  <c r="D39" i="62" s="1"/>
  <c r="E5" i="22"/>
  <c r="F105" i="46"/>
  <c r="E31" i="46"/>
  <c r="F31" i="46" s="1"/>
  <c r="AB15" i="62" s="1"/>
  <c r="E29" i="46"/>
  <c r="F29" i="46" s="1"/>
  <c r="Z15" i="62" s="1"/>
  <c r="E27" i="46"/>
  <c r="F27" i="46" s="1"/>
  <c r="X15" i="62" s="1"/>
  <c r="E25" i="46"/>
  <c r="F25" i="46" s="1"/>
  <c r="V15" i="62" s="1"/>
  <c r="E23" i="46"/>
  <c r="F23" i="46" s="1"/>
  <c r="T15" i="62" s="1"/>
  <c r="E21" i="46"/>
  <c r="F21" i="46" s="1"/>
  <c r="R15" i="62" s="1"/>
  <c r="E19" i="46"/>
  <c r="F19" i="46" s="1"/>
  <c r="P15" i="62" s="1"/>
  <c r="E17" i="46"/>
  <c r="F17" i="46" s="1"/>
  <c r="N15" i="62" s="1"/>
  <c r="E15" i="46"/>
  <c r="F15" i="46" s="1"/>
  <c r="L15" i="62" s="1"/>
  <c r="E13" i="46"/>
  <c r="F13" i="46" s="1"/>
  <c r="J15" i="62" s="1"/>
  <c r="E11" i="46"/>
  <c r="F11" i="46" s="1"/>
  <c r="H15" i="62" s="1"/>
  <c r="E9" i="46"/>
  <c r="F9" i="46" s="1"/>
  <c r="F15" i="62" s="1"/>
  <c r="E7" i="46"/>
  <c r="F7" i="46" s="1"/>
  <c r="D15" i="62" s="1"/>
  <c r="E5" i="46"/>
  <c r="E32" i="46"/>
  <c r="F32" i="46" s="1"/>
  <c r="AC15" i="62" s="1"/>
  <c r="E30" i="46"/>
  <c r="F30" i="46" s="1"/>
  <c r="AA15" i="62" s="1"/>
  <c r="E28" i="46"/>
  <c r="F28" i="46" s="1"/>
  <c r="Y15" i="62" s="1"/>
  <c r="E26" i="46"/>
  <c r="F26" i="46" s="1"/>
  <c r="W15" i="62" s="1"/>
  <c r="E24" i="46"/>
  <c r="F24" i="46" s="1"/>
  <c r="U15" i="62" s="1"/>
  <c r="E22" i="46"/>
  <c r="F22" i="46" s="1"/>
  <c r="S15" i="62" s="1"/>
  <c r="E20" i="46"/>
  <c r="F20" i="46" s="1"/>
  <c r="Q15" i="62" s="1"/>
  <c r="E18" i="46"/>
  <c r="F18" i="46" s="1"/>
  <c r="O15" i="62" s="1"/>
  <c r="E16" i="46"/>
  <c r="F16" i="46" s="1"/>
  <c r="M15" i="62" s="1"/>
  <c r="E14" i="46"/>
  <c r="F14" i="46" s="1"/>
  <c r="K15" i="62" s="1"/>
  <c r="E12" i="46"/>
  <c r="F12" i="46" s="1"/>
  <c r="I15" i="62" s="1"/>
  <c r="E10" i="46"/>
  <c r="F10" i="46" s="1"/>
  <c r="G15" i="62" s="1"/>
  <c r="E8" i="46"/>
  <c r="F8" i="46" s="1"/>
  <c r="E15" i="62" s="1"/>
  <c r="E6" i="46"/>
  <c r="F6" i="46" s="1"/>
  <c r="C15" i="62" s="1"/>
  <c r="F105" i="50"/>
  <c r="E31" i="50"/>
  <c r="F31" i="50" s="1"/>
  <c r="AB11" i="62" s="1"/>
  <c r="E29" i="50"/>
  <c r="F29" i="50" s="1"/>
  <c r="Z11" i="62" s="1"/>
  <c r="E27" i="50"/>
  <c r="F27" i="50" s="1"/>
  <c r="X11" i="62" s="1"/>
  <c r="E25" i="50"/>
  <c r="F25" i="50" s="1"/>
  <c r="V11" i="62" s="1"/>
  <c r="E23" i="50"/>
  <c r="F23" i="50" s="1"/>
  <c r="T11" i="62" s="1"/>
  <c r="E21" i="50"/>
  <c r="F21" i="50" s="1"/>
  <c r="R11" i="62" s="1"/>
  <c r="E19" i="50"/>
  <c r="F19" i="50" s="1"/>
  <c r="P11" i="62" s="1"/>
  <c r="E17" i="50"/>
  <c r="F17" i="50" s="1"/>
  <c r="N11" i="62" s="1"/>
  <c r="E15" i="50"/>
  <c r="F15" i="50" s="1"/>
  <c r="L11" i="62" s="1"/>
  <c r="E13" i="50"/>
  <c r="F13" i="50" s="1"/>
  <c r="J11" i="62" s="1"/>
  <c r="E11" i="50"/>
  <c r="F11" i="50" s="1"/>
  <c r="H11" i="62" s="1"/>
  <c r="E9" i="50"/>
  <c r="F9" i="50" s="1"/>
  <c r="F11" i="62" s="1"/>
  <c r="E7" i="50"/>
  <c r="F7" i="50" s="1"/>
  <c r="D11" i="62" s="1"/>
  <c r="E5" i="50"/>
  <c r="E32" i="50"/>
  <c r="F32" i="50" s="1"/>
  <c r="AC11" i="62" s="1"/>
  <c r="E30" i="50"/>
  <c r="F30" i="50" s="1"/>
  <c r="AA11" i="62" s="1"/>
  <c r="E28" i="50"/>
  <c r="F28" i="50" s="1"/>
  <c r="Y11" i="62" s="1"/>
  <c r="E26" i="50"/>
  <c r="F26" i="50" s="1"/>
  <c r="W11" i="62" s="1"/>
  <c r="E24" i="50"/>
  <c r="F24" i="50" s="1"/>
  <c r="U11" i="62" s="1"/>
  <c r="E22" i="50"/>
  <c r="F22" i="50" s="1"/>
  <c r="S11" i="62" s="1"/>
  <c r="E20" i="50"/>
  <c r="F20" i="50" s="1"/>
  <c r="Q11" i="62" s="1"/>
  <c r="E18" i="50"/>
  <c r="F18" i="50" s="1"/>
  <c r="O11" i="62" s="1"/>
  <c r="E16" i="50"/>
  <c r="F16" i="50" s="1"/>
  <c r="M11" i="62" s="1"/>
  <c r="E14" i="50"/>
  <c r="F14" i="50" s="1"/>
  <c r="K11" i="62" s="1"/>
  <c r="E12" i="50"/>
  <c r="F12" i="50" s="1"/>
  <c r="I11" i="62" s="1"/>
  <c r="E10" i="50"/>
  <c r="F10" i="50" s="1"/>
  <c r="G11" i="62" s="1"/>
  <c r="E8" i="50"/>
  <c r="F8" i="50" s="1"/>
  <c r="E11" i="62" s="1"/>
  <c r="E6" i="50"/>
  <c r="F6" i="50" s="1"/>
  <c r="C11" i="62" s="1"/>
  <c r="F105" i="52"/>
  <c r="E31" i="52"/>
  <c r="F31" i="52" s="1"/>
  <c r="AB9" i="62" s="1"/>
  <c r="E29" i="52"/>
  <c r="F29" i="52" s="1"/>
  <c r="Z9" i="62" s="1"/>
  <c r="E27" i="52"/>
  <c r="F27" i="52" s="1"/>
  <c r="X9" i="62" s="1"/>
  <c r="E25" i="52"/>
  <c r="F25" i="52" s="1"/>
  <c r="V9" i="62" s="1"/>
  <c r="E23" i="52"/>
  <c r="F23" i="52" s="1"/>
  <c r="T9" i="62" s="1"/>
  <c r="E21" i="52"/>
  <c r="F21" i="52" s="1"/>
  <c r="R9" i="62" s="1"/>
  <c r="E19" i="52"/>
  <c r="F19" i="52" s="1"/>
  <c r="P9" i="62" s="1"/>
  <c r="E17" i="52"/>
  <c r="F17" i="52" s="1"/>
  <c r="N9" i="62" s="1"/>
  <c r="E15" i="52"/>
  <c r="F15" i="52" s="1"/>
  <c r="L9" i="62" s="1"/>
  <c r="E13" i="52"/>
  <c r="F13" i="52" s="1"/>
  <c r="J9" i="62" s="1"/>
  <c r="E11" i="52"/>
  <c r="F11" i="52" s="1"/>
  <c r="H9" i="62" s="1"/>
  <c r="E9" i="52"/>
  <c r="F9" i="52" s="1"/>
  <c r="F9" i="62" s="1"/>
  <c r="E7" i="52"/>
  <c r="F7" i="52" s="1"/>
  <c r="D9" i="62" s="1"/>
  <c r="E5" i="52"/>
  <c r="E32" i="52"/>
  <c r="F32" i="52" s="1"/>
  <c r="AC9" i="62" s="1"/>
  <c r="E30" i="52"/>
  <c r="F30" i="52" s="1"/>
  <c r="AA9" i="62" s="1"/>
  <c r="E28" i="52"/>
  <c r="F28" i="52" s="1"/>
  <c r="Y9" i="62" s="1"/>
  <c r="E26" i="52"/>
  <c r="F26" i="52" s="1"/>
  <c r="W9" i="62" s="1"/>
  <c r="E24" i="52"/>
  <c r="F24" i="52" s="1"/>
  <c r="U9" i="62" s="1"/>
  <c r="E22" i="52"/>
  <c r="F22" i="52" s="1"/>
  <c r="S9" i="62" s="1"/>
  <c r="E20" i="52"/>
  <c r="F20" i="52" s="1"/>
  <c r="Q9" i="62" s="1"/>
  <c r="E18" i="52"/>
  <c r="F18" i="52" s="1"/>
  <c r="O9" i="62" s="1"/>
  <c r="E16" i="52"/>
  <c r="F16" i="52" s="1"/>
  <c r="M9" i="62" s="1"/>
  <c r="E14" i="52"/>
  <c r="F14" i="52" s="1"/>
  <c r="K9" i="62" s="1"/>
  <c r="E12" i="52"/>
  <c r="F12" i="52" s="1"/>
  <c r="I9" i="62" s="1"/>
  <c r="E10" i="52"/>
  <c r="F10" i="52" s="1"/>
  <c r="G9" i="62" s="1"/>
  <c r="E8" i="52"/>
  <c r="F8" i="52" s="1"/>
  <c r="E9" i="62" s="1"/>
  <c r="E6" i="52"/>
  <c r="F6" i="52" s="1"/>
  <c r="C9" i="62" s="1"/>
  <c r="E32" i="51"/>
  <c r="F32" i="51" s="1"/>
  <c r="AC10" i="62" s="1"/>
  <c r="E30" i="51"/>
  <c r="F30" i="51" s="1"/>
  <c r="AA10" i="62" s="1"/>
  <c r="E28" i="51"/>
  <c r="F28" i="51" s="1"/>
  <c r="Y10" i="62" s="1"/>
  <c r="E26" i="51"/>
  <c r="F26" i="51" s="1"/>
  <c r="W10" i="62" s="1"/>
  <c r="E24" i="51"/>
  <c r="F24" i="51" s="1"/>
  <c r="U10" i="62" s="1"/>
  <c r="E22" i="51"/>
  <c r="F22" i="51" s="1"/>
  <c r="S10" i="62" s="1"/>
  <c r="E20" i="51"/>
  <c r="F20" i="51" s="1"/>
  <c r="Q10" i="62" s="1"/>
  <c r="E18" i="51"/>
  <c r="F18" i="51" s="1"/>
  <c r="O10" i="62" s="1"/>
  <c r="E16" i="51"/>
  <c r="F16" i="51" s="1"/>
  <c r="M10" i="62" s="1"/>
  <c r="E14" i="51"/>
  <c r="F14" i="51" s="1"/>
  <c r="K10" i="62" s="1"/>
  <c r="E12" i="51"/>
  <c r="F12" i="51" s="1"/>
  <c r="I10" i="62" s="1"/>
  <c r="E10" i="51"/>
  <c r="F10" i="51" s="1"/>
  <c r="G10" i="62" s="1"/>
  <c r="E8" i="51"/>
  <c r="F8" i="51" s="1"/>
  <c r="E10" i="62" s="1"/>
  <c r="E6" i="51"/>
  <c r="F6" i="51" s="1"/>
  <c r="C10" i="62" s="1"/>
  <c r="F105" i="51"/>
  <c r="E31" i="51"/>
  <c r="F31" i="51" s="1"/>
  <c r="AB10" i="62" s="1"/>
  <c r="E29" i="51"/>
  <c r="F29" i="51" s="1"/>
  <c r="Z10" i="62" s="1"/>
  <c r="E27" i="51"/>
  <c r="F27" i="51" s="1"/>
  <c r="X10" i="62" s="1"/>
  <c r="E25" i="51"/>
  <c r="F25" i="51" s="1"/>
  <c r="V10" i="62" s="1"/>
  <c r="E23" i="51"/>
  <c r="F23" i="51" s="1"/>
  <c r="T10" i="62" s="1"/>
  <c r="E21" i="51"/>
  <c r="F21" i="51" s="1"/>
  <c r="R10" i="62" s="1"/>
  <c r="E19" i="51"/>
  <c r="F19" i="51" s="1"/>
  <c r="P10" i="62" s="1"/>
  <c r="E17" i="51"/>
  <c r="F17" i="51" s="1"/>
  <c r="N10" i="62" s="1"/>
  <c r="E15" i="51"/>
  <c r="F15" i="51" s="1"/>
  <c r="L10" i="62" s="1"/>
  <c r="E13" i="51"/>
  <c r="F13" i="51" s="1"/>
  <c r="J10" i="62" s="1"/>
  <c r="E11" i="51"/>
  <c r="F11" i="51" s="1"/>
  <c r="H10" i="62" s="1"/>
  <c r="E9" i="51"/>
  <c r="F9" i="51" s="1"/>
  <c r="F10" i="62" s="1"/>
  <c r="E7" i="51"/>
  <c r="F7" i="51" s="1"/>
  <c r="D10" i="62" s="1"/>
  <c r="E5" i="51"/>
  <c r="F95" i="60"/>
  <c r="F105" i="8"/>
  <c r="E31" i="8"/>
  <c r="F31" i="8" s="1"/>
  <c r="AB53" i="62" s="1"/>
  <c r="E29" i="8"/>
  <c r="F29" i="8" s="1"/>
  <c r="Z53" i="62" s="1"/>
  <c r="E27" i="8"/>
  <c r="F27" i="8" s="1"/>
  <c r="X53" i="62" s="1"/>
  <c r="E25" i="8"/>
  <c r="F25" i="8" s="1"/>
  <c r="V53" i="62" s="1"/>
  <c r="E23" i="8"/>
  <c r="F23" i="8" s="1"/>
  <c r="T53" i="62" s="1"/>
  <c r="E21" i="8"/>
  <c r="F21" i="8" s="1"/>
  <c r="R53" i="62" s="1"/>
  <c r="E19" i="8"/>
  <c r="F19" i="8" s="1"/>
  <c r="P53" i="62" s="1"/>
  <c r="E17" i="8"/>
  <c r="F17" i="8" s="1"/>
  <c r="N53" i="62" s="1"/>
  <c r="E15" i="8"/>
  <c r="F15" i="8" s="1"/>
  <c r="L53" i="62" s="1"/>
  <c r="E13" i="8"/>
  <c r="F13" i="8" s="1"/>
  <c r="J53" i="62" s="1"/>
  <c r="E11" i="8"/>
  <c r="F11" i="8" s="1"/>
  <c r="H53" i="62" s="1"/>
  <c r="E9" i="8"/>
  <c r="F9" i="8" s="1"/>
  <c r="F53" i="62" s="1"/>
  <c r="E7" i="8"/>
  <c r="F7" i="8" s="1"/>
  <c r="D53" i="62" s="1"/>
  <c r="E5" i="8"/>
  <c r="E32" i="8"/>
  <c r="F32" i="8" s="1"/>
  <c r="AC53" i="62" s="1"/>
  <c r="E30" i="8"/>
  <c r="F30" i="8" s="1"/>
  <c r="AA53" i="62" s="1"/>
  <c r="E28" i="8"/>
  <c r="F28" i="8" s="1"/>
  <c r="Y53" i="62" s="1"/>
  <c r="E26" i="8"/>
  <c r="F26" i="8" s="1"/>
  <c r="W53" i="62" s="1"/>
  <c r="E24" i="8"/>
  <c r="F24" i="8" s="1"/>
  <c r="U53" i="62" s="1"/>
  <c r="E22" i="8"/>
  <c r="F22" i="8" s="1"/>
  <c r="S53" i="62" s="1"/>
  <c r="E20" i="8"/>
  <c r="F20" i="8" s="1"/>
  <c r="Q53" i="62" s="1"/>
  <c r="E18" i="8"/>
  <c r="F18" i="8" s="1"/>
  <c r="O53" i="62" s="1"/>
  <c r="E16" i="8"/>
  <c r="F16" i="8" s="1"/>
  <c r="M53" i="62" s="1"/>
  <c r="E14" i="8"/>
  <c r="F14" i="8" s="1"/>
  <c r="K53" i="62" s="1"/>
  <c r="E12" i="8"/>
  <c r="F12" i="8" s="1"/>
  <c r="I53" i="62" s="1"/>
  <c r="E10" i="8"/>
  <c r="F10" i="8" s="1"/>
  <c r="G53" i="62" s="1"/>
  <c r="E8" i="8"/>
  <c r="F8" i="8" s="1"/>
  <c r="E53" i="62" s="1"/>
  <c r="E6" i="8"/>
  <c r="F6" i="8" s="1"/>
  <c r="C53" i="62" s="1"/>
  <c r="F105" i="10"/>
  <c r="E31" i="10"/>
  <c r="F31" i="10" s="1"/>
  <c r="AB51" i="62" s="1"/>
  <c r="E29" i="10"/>
  <c r="F29" i="10" s="1"/>
  <c r="Z51" i="62" s="1"/>
  <c r="E27" i="10"/>
  <c r="F27" i="10" s="1"/>
  <c r="X51" i="62" s="1"/>
  <c r="E25" i="10"/>
  <c r="F25" i="10" s="1"/>
  <c r="V51" i="62" s="1"/>
  <c r="E23" i="10"/>
  <c r="F23" i="10" s="1"/>
  <c r="T51" i="62" s="1"/>
  <c r="E21" i="10"/>
  <c r="F21" i="10" s="1"/>
  <c r="R51" i="62" s="1"/>
  <c r="E19" i="10"/>
  <c r="F19" i="10" s="1"/>
  <c r="P51" i="62" s="1"/>
  <c r="E17" i="10"/>
  <c r="F17" i="10" s="1"/>
  <c r="N51" i="62" s="1"/>
  <c r="E15" i="10"/>
  <c r="F15" i="10" s="1"/>
  <c r="L51" i="62" s="1"/>
  <c r="E32" i="10"/>
  <c r="F32" i="10" s="1"/>
  <c r="AC51" i="62" s="1"/>
  <c r="E30" i="10"/>
  <c r="F30" i="10" s="1"/>
  <c r="AA51" i="62" s="1"/>
  <c r="E28" i="10"/>
  <c r="F28" i="10" s="1"/>
  <c r="Y51" i="62" s="1"/>
  <c r="E26" i="10"/>
  <c r="F26" i="10" s="1"/>
  <c r="W51" i="62" s="1"/>
  <c r="E24" i="10"/>
  <c r="F24" i="10" s="1"/>
  <c r="U51" i="62" s="1"/>
  <c r="E22" i="10"/>
  <c r="F22" i="10" s="1"/>
  <c r="S51" i="62" s="1"/>
  <c r="E20" i="10"/>
  <c r="F20" i="10" s="1"/>
  <c r="Q51" i="62" s="1"/>
  <c r="E18" i="10"/>
  <c r="F18" i="10" s="1"/>
  <c r="O51" i="62" s="1"/>
  <c r="E16" i="10"/>
  <c r="F16" i="10" s="1"/>
  <c r="M51" i="62" s="1"/>
  <c r="E14" i="10"/>
  <c r="F14" i="10" s="1"/>
  <c r="K51" i="62" s="1"/>
  <c r="E12" i="10"/>
  <c r="F12" i="10" s="1"/>
  <c r="I51" i="62" s="1"/>
  <c r="E10" i="10"/>
  <c r="F10" i="10" s="1"/>
  <c r="G51" i="62" s="1"/>
  <c r="E8" i="10"/>
  <c r="F8" i="10" s="1"/>
  <c r="E51" i="62" s="1"/>
  <c r="E6" i="10"/>
  <c r="F6" i="10" s="1"/>
  <c r="C51" i="62" s="1"/>
  <c r="E13" i="10"/>
  <c r="F13" i="10" s="1"/>
  <c r="J51" i="62" s="1"/>
  <c r="E11" i="10"/>
  <c r="F11" i="10" s="1"/>
  <c r="H51" i="62" s="1"/>
  <c r="E9" i="10"/>
  <c r="F9" i="10" s="1"/>
  <c r="F51" i="62" s="1"/>
  <c r="E7" i="10"/>
  <c r="F7" i="10" s="1"/>
  <c r="D51" i="62" s="1"/>
  <c r="E5" i="10"/>
  <c r="F105" i="27"/>
  <c r="E31" i="27"/>
  <c r="F31" i="27" s="1"/>
  <c r="AB34" i="62" s="1"/>
  <c r="E29" i="27"/>
  <c r="F29" i="27" s="1"/>
  <c r="Z34" i="62" s="1"/>
  <c r="E27" i="27"/>
  <c r="F27" i="27" s="1"/>
  <c r="X34" i="62" s="1"/>
  <c r="E25" i="27"/>
  <c r="F25" i="27" s="1"/>
  <c r="V34" i="62" s="1"/>
  <c r="E23" i="27"/>
  <c r="F23" i="27" s="1"/>
  <c r="T34" i="62" s="1"/>
  <c r="E21" i="27"/>
  <c r="F21" i="27" s="1"/>
  <c r="R34" i="62" s="1"/>
  <c r="E19" i="27"/>
  <c r="F19" i="27" s="1"/>
  <c r="P34" i="62" s="1"/>
  <c r="E17" i="27"/>
  <c r="F17" i="27" s="1"/>
  <c r="N34" i="62" s="1"/>
  <c r="E15" i="27"/>
  <c r="F15" i="27" s="1"/>
  <c r="L34" i="62" s="1"/>
  <c r="E13" i="27"/>
  <c r="F13" i="27" s="1"/>
  <c r="J34" i="62" s="1"/>
  <c r="E11" i="27"/>
  <c r="F11" i="27" s="1"/>
  <c r="H34" i="62" s="1"/>
  <c r="E9" i="27"/>
  <c r="F9" i="27" s="1"/>
  <c r="F34" i="62" s="1"/>
  <c r="E7" i="27"/>
  <c r="F7" i="27" s="1"/>
  <c r="D34" i="62" s="1"/>
  <c r="E5" i="27"/>
  <c r="E32" i="27"/>
  <c r="F32" i="27" s="1"/>
  <c r="AC34" i="62" s="1"/>
  <c r="E30" i="27"/>
  <c r="F30" i="27" s="1"/>
  <c r="AA34" i="62" s="1"/>
  <c r="E28" i="27"/>
  <c r="F28" i="27" s="1"/>
  <c r="Y34" i="62" s="1"/>
  <c r="E26" i="27"/>
  <c r="F26" i="27" s="1"/>
  <c r="W34" i="62" s="1"/>
  <c r="E24" i="27"/>
  <c r="F24" i="27" s="1"/>
  <c r="U34" i="62" s="1"/>
  <c r="E22" i="27"/>
  <c r="F22" i="27" s="1"/>
  <c r="S34" i="62" s="1"/>
  <c r="E20" i="27"/>
  <c r="F20" i="27" s="1"/>
  <c r="Q34" i="62" s="1"/>
  <c r="E18" i="27"/>
  <c r="F18" i="27" s="1"/>
  <c r="O34" i="62" s="1"/>
  <c r="E16" i="27"/>
  <c r="F16" i="27" s="1"/>
  <c r="M34" i="62" s="1"/>
  <c r="E14" i="27"/>
  <c r="F14" i="27" s="1"/>
  <c r="K34" i="62" s="1"/>
  <c r="E12" i="27"/>
  <c r="F12" i="27" s="1"/>
  <c r="I34" i="62" s="1"/>
  <c r="E10" i="27"/>
  <c r="F10" i="27" s="1"/>
  <c r="G34" i="62" s="1"/>
  <c r="E8" i="27"/>
  <c r="F8" i="27" s="1"/>
  <c r="E34" i="62" s="1"/>
  <c r="E6" i="27"/>
  <c r="F6" i="27" s="1"/>
  <c r="C34" i="62" s="1"/>
  <c r="E32" i="26"/>
  <c r="F32" i="26" s="1"/>
  <c r="AC35" i="62" s="1"/>
  <c r="E30" i="26"/>
  <c r="F30" i="26" s="1"/>
  <c r="AA35" i="62" s="1"/>
  <c r="E28" i="26"/>
  <c r="F28" i="26" s="1"/>
  <c r="Y35" i="62" s="1"/>
  <c r="E26" i="26"/>
  <c r="F26" i="26" s="1"/>
  <c r="W35" i="62" s="1"/>
  <c r="E24" i="26"/>
  <c r="F24" i="26" s="1"/>
  <c r="U35" i="62" s="1"/>
  <c r="E22" i="26"/>
  <c r="F22" i="26" s="1"/>
  <c r="S35" i="62" s="1"/>
  <c r="E20" i="26"/>
  <c r="F20" i="26" s="1"/>
  <c r="Q35" i="62" s="1"/>
  <c r="E18" i="26"/>
  <c r="F18" i="26" s="1"/>
  <c r="O35" i="62" s="1"/>
  <c r="E16" i="26"/>
  <c r="F16" i="26" s="1"/>
  <c r="M35" i="62" s="1"/>
  <c r="E14" i="26"/>
  <c r="F14" i="26" s="1"/>
  <c r="K35" i="62" s="1"/>
  <c r="E12" i="26"/>
  <c r="F12" i="26" s="1"/>
  <c r="I35" i="62" s="1"/>
  <c r="E10" i="26"/>
  <c r="F10" i="26" s="1"/>
  <c r="G35" i="62" s="1"/>
  <c r="E8" i="26"/>
  <c r="F8" i="26" s="1"/>
  <c r="E35" i="62" s="1"/>
  <c r="E6" i="26"/>
  <c r="F6" i="26" s="1"/>
  <c r="C35" i="62" s="1"/>
  <c r="F105" i="26"/>
  <c r="E31" i="26"/>
  <c r="F31" i="26" s="1"/>
  <c r="AB35" i="62" s="1"/>
  <c r="E29" i="26"/>
  <c r="F29" i="26" s="1"/>
  <c r="Z35" i="62" s="1"/>
  <c r="E27" i="26"/>
  <c r="F27" i="26" s="1"/>
  <c r="X35" i="62" s="1"/>
  <c r="E25" i="26"/>
  <c r="F25" i="26" s="1"/>
  <c r="V35" i="62" s="1"/>
  <c r="E23" i="26"/>
  <c r="F23" i="26" s="1"/>
  <c r="T35" i="62" s="1"/>
  <c r="E21" i="26"/>
  <c r="F21" i="26" s="1"/>
  <c r="R35" i="62" s="1"/>
  <c r="E19" i="26"/>
  <c r="F19" i="26" s="1"/>
  <c r="P35" i="62" s="1"/>
  <c r="E17" i="26"/>
  <c r="F17" i="26" s="1"/>
  <c r="N35" i="62" s="1"/>
  <c r="E15" i="26"/>
  <c r="F15" i="26" s="1"/>
  <c r="L35" i="62" s="1"/>
  <c r="E13" i="26"/>
  <c r="F13" i="26" s="1"/>
  <c r="J35" i="62" s="1"/>
  <c r="E11" i="26"/>
  <c r="F11" i="26" s="1"/>
  <c r="H35" i="62" s="1"/>
  <c r="E9" i="26"/>
  <c r="F9" i="26" s="1"/>
  <c r="F35" i="62" s="1"/>
  <c r="E7" i="26"/>
  <c r="F7" i="26" s="1"/>
  <c r="D35" i="62" s="1"/>
  <c r="E5" i="26"/>
  <c r="E32" i="40"/>
  <c r="F32" i="40" s="1"/>
  <c r="AC21" i="62" s="1"/>
  <c r="E30" i="40"/>
  <c r="F30" i="40" s="1"/>
  <c r="AA21" i="62" s="1"/>
  <c r="E28" i="40"/>
  <c r="F28" i="40" s="1"/>
  <c r="Y21" i="62" s="1"/>
  <c r="E26" i="40"/>
  <c r="F26" i="40" s="1"/>
  <c r="W21" i="62" s="1"/>
  <c r="E24" i="40"/>
  <c r="F24" i="40" s="1"/>
  <c r="U21" i="62" s="1"/>
  <c r="E22" i="40"/>
  <c r="F22" i="40" s="1"/>
  <c r="S21" i="62" s="1"/>
  <c r="E20" i="40"/>
  <c r="F20" i="40" s="1"/>
  <c r="Q21" i="62" s="1"/>
  <c r="E18" i="40"/>
  <c r="F18" i="40" s="1"/>
  <c r="O21" i="62" s="1"/>
  <c r="E16" i="40"/>
  <c r="F16" i="40" s="1"/>
  <c r="M21" i="62" s="1"/>
  <c r="E14" i="40"/>
  <c r="F14" i="40" s="1"/>
  <c r="K21" i="62" s="1"/>
  <c r="E12" i="40"/>
  <c r="F12" i="40" s="1"/>
  <c r="I21" i="62" s="1"/>
  <c r="E10" i="40"/>
  <c r="F10" i="40" s="1"/>
  <c r="G21" i="62" s="1"/>
  <c r="E8" i="40"/>
  <c r="F8" i="40" s="1"/>
  <c r="E21" i="62" s="1"/>
  <c r="E6" i="40"/>
  <c r="F6" i="40" s="1"/>
  <c r="C21" i="62" s="1"/>
  <c r="F105" i="40"/>
  <c r="E31" i="40"/>
  <c r="F31" i="40" s="1"/>
  <c r="AB21" i="62" s="1"/>
  <c r="E29" i="40"/>
  <c r="F29" i="40" s="1"/>
  <c r="Z21" i="62" s="1"/>
  <c r="E27" i="40"/>
  <c r="F27" i="40" s="1"/>
  <c r="X21" i="62" s="1"/>
  <c r="E25" i="40"/>
  <c r="F25" i="40" s="1"/>
  <c r="V21" i="62" s="1"/>
  <c r="E23" i="40"/>
  <c r="F23" i="40" s="1"/>
  <c r="T21" i="62" s="1"/>
  <c r="E21" i="40"/>
  <c r="F21" i="40" s="1"/>
  <c r="R21" i="62" s="1"/>
  <c r="E19" i="40"/>
  <c r="F19" i="40" s="1"/>
  <c r="P21" i="62" s="1"/>
  <c r="E17" i="40"/>
  <c r="F17" i="40" s="1"/>
  <c r="N21" i="62" s="1"/>
  <c r="E15" i="40"/>
  <c r="F15" i="40" s="1"/>
  <c r="L21" i="62" s="1"/>
  <c r="E13" i="40"/>
  <c r="F13" i="40" s="1"/>
  <c r="J21" i="62" s="1"/>
  <c r="E11" i="40"/>
  <c r="F11" i="40" s="1"/>
  <c r="H21" i="62" s="1"/>
  <c r="E9" i="40"/>
  <c r="F9" i="40" s="1"/>
  <c r="F21" i="62" s="1"/>
  <c r="E7" i="40"/>
  <c r="F7" i="40" s="1"/>
  <c r="D21" i="62" s="1"/>
  <c r="E5" i="40"/>
  <c r="E32" i="38"/>
  <c r="F32" i="38" s="1"/>
  <c r="AC23" i="62" s="1"/>
  <c r="E30" i="38"/>
  <c r="F30" i="38" s="1"/>
  <c r="AA23" i="62" s="1"/>
  <c r="E28" i="38"/>
  <c r="F28" i="38" s="1"/>
  <c r="Y23" i="62" s="1"/>
  <c r="E26" i="38"/>
  <c r="F26" i="38" s="1"/>
  <c r="W23" i="62" s="1"/>
  <c r="E24" i="38"/>
  <c r="F24" i="38" s="1"/>
  <c r="U23" i="62" s="1"/>
  <c r="E22" i="38"/>
  <c r="F22" i="38" s="1"/>
  <c r="S23" i="62" s="1"/>
  <c r="E20" i="38"/>
  <c r="F20" i="38" s="1"/>
  <c r="Q23" i="62" s="1"/>
  <c r="E18" i="38"/>
  <c r="F18" i="38" s="1"/>
  <c r="O23" i="62" s="1"/>
  <c r="E16" i="38"/>
  <c r="F16" i="38" s="1"/>
  <c r="M23" i="62" s="1"/>
  <c r="E14" i="38"/>
  <c r="F14" i="38" s="1"/>
  <c r="K23" i="62" s="1"/>
  <c r="E12" i="38"/>
  <c r="F12" i="38" s="1"/>
  <c r="I23" i="62" s="1"/>
  <c r="E10" i="38"/>
  <c r="F10" i="38" s="1"/>
  <c r="G23" i="62" s="1"/>
  <c r="E8" i="38"/>
  <c r="F8" i="38" s="1"/>
  <c r="E23" i="62" s="1"/>
  <c r="E6" i="38"/>
  <c r="F6" i="38" s="1"/>
  <c r="C23" i="62" s="1"/>
  <c r="F105" i="38"/>
  <c r="E31" i="38"/>
  <c r="F31" i="38" s="1"/>
  <c r="AB23" i="62" s="1"/>
  <c r="E29" i="38"/>
  <c r="F29" i="38" s="1"/>
  <c r="Z23" i="62" s="1"/>
  <c r="E27" i="38"/>
  <c r="F27" i="38" s="1"/>
  <c r="X23" i="62" s="1"/>
  <c r="E25" i="38"/>
  <c r="F25" i="38" s="1"/>
  <c r="V23" i="62" s="1"/>
  <c r="E23" i="38"/>
  <c r="F23" i="38" s="1"/>
  <c r="T23" i="62" s="1"/>
  <c r="E21" i="38"/>
  <c r="F21" i="38" s="1"/>
  <c r="R23" i="62" s="1"/>
  <c r="E19" i="38"/>
  <c r="F19" i="38" s="1"/>
  <c r="P23" i="62" s="1"/>
  <c r="E17" i="38"/>
  <c r="F17" i="38" s="1"/>
  <c r="N23" i="62" s="1"/>
  <c r="E15" i="38"/>
  <c r="F15" i="38" s="1"/>
  <c r="L23" i="62" s="1"/>
  <c r="E13" i="38"/>
  <c r="F13" i="38" s="1"/>
  <c r="J23" i="62" s="1"/>
  <c r="E11" i="38"/>
  <c r="F11" i="38" s="1"/>
  <c r="H23" i="62" s="1"/>
  <c r="E9" i="38"/>
  <c r="F9" i="38" s="1"/>
  <c r="F23" i="62" s="1"/>
  <c r="E7" i="38"/>
  <c r="F7" i="38" s="1"/>
  <c r="D23" i="62" s="1"/>
  <c r="E5" i="38"/>
  <c r="F105" i="48"/>
  <c r="E31" i="48"/>
  <c r="F31" i="48" s="1"/>
  <c r="AB13" i="62" s="1"/>
  <c r="E29" i="48"/>
  <c r="F29" i="48" s="1"/>
  <c r="Z13" i="62" s="1"/>
  <c r="E27" i="48"/>
  <c r="F27" i="48" s="1"/>
  <c r="X13" i="62" s="1"/>
  <c r="E25" i="48"/>
  <c r="F25" i="48" s="1"/>
  <c r="V13" i="62" s="1"/>
  <c r="E23" i="48"/>
  <c r="F23" i="48" s="1"/>
  <c r="T13" i="62" s="1"/>
  <c r="E21" i="48"/>
  <c r="F21" i="48" s="1"/>
  <c r="R13" i="62" s="1"/>
  <c r="E19" i="48"/>
  <c r="F19" i="48" s="1"/>
  <c r="P13" i="62" s="1"/>
  <c r="E17" i="48"/>
  <c r="F17" i="48" s="1"/>
  <c r="N13" i="62" s="1"/>
  <c r="E15" i="48"/>
  <c r="F15" i="48" s="1"/>
  <c r="L13" i="62" s="1"/>
  <c r="E13" i="48"/>
  <c r="F13" i="48" s="1"/>
  <c r="J13" i="62" s="1"/>
  <c r="E11" i="48"/>
  <c r="F11" i="48" s="1"/>
  <c r="H13" i="62" s="1"/>
  <c r="E9" i="48"/>
  <c r="F9" i="48" s="1"/>
  <c r="F13" i="62" s="1"/>
  <c r="E7" i="48"/>
  <c r="F7" i="48" s="1"/>
  <c r="D13" i="62" s="1"/>
  <c r="E5" i="48"/>
  <c r="E32" i="48"/>
  <c r="F32" i="48" s="1"/>
  <c r="AC13" i="62" s="1"/>
  <c r="E30" i="48"/>
  <c r="F30" i="48" s="1"/>
  <c r="AA13" i="62" s="1"/>
  <c r="E28" i="48"/>
  <c r="F28" i="48" s="1"/>
  <c r="Y13" i="62" s="1"/>
  <c r="E26" i="48"/>
  <c r="F26" i="48" s="1"/>
  <c r="W13" i="62" s="1"/>
  <c r="E24" i="48"/>
  <c r="F24" i="48" s="1"/>
  <c r="U13" i="62" s="1"/>
  <c r="E22" i="48"/>
  <c r="F22" i="48" s="1"/>
  <c r="S13" i="62" s="1"/>
  <c r="E20" i="48"/>
  <c r="F20" i="48" s="1"/>
  <c r="Q13" i="62" s="1"/>
  <c r="E18" i="48"/>
  <c r="F18" i="48" s="1"/>
  <c r="O13" i="62" s="1"/>
  <c r="E16" i="48"/>
  <c r="F16" i="48" s="1"/>
  <c r="M13" i="62" s="1"/>
  <c r="E14" i="48"/>
  <c r="F14" i="48" s="1"/>
  <c r="K13" i="62" s="1"/>
  <c r="E12" i="48"/>
  <c r="F12" i="48" s="1"/>
  <c r="I13" i="62" s="1"/>
  <c r="E10" i="48"/>
  <c r="F10" i="48" s="1"/>
  <c r="G13" i="62" s="1"/>
  <c r="E8" i="48"/>
  <c r="F8" i="48" s="1"/>
  <c r="E13" i="62" s="1"/>
  <c r="E6" i="48"/>
  <c r="F6" i="48" s="1"/>
  <c r="C13" i="62" s="1"/>
  <c r="E32" i="59"/>
  <c r="F32" i="59" s="1"/>
  <c r="AC59" i="62" s="1"/>
  <c r="E30" i="59"/>
  <c r="F30" i="59" s="1"/>
  <c r="AA59" i="62" s="1"/>
  <c r="E28" i="59"/>
  <c r="F28" i="59" s="1"/>
  <c r="Y59" i="62" s="1"/>
  <c r="E26" i="59"/>
  <c r="F26" i="59" s="1"/>
  <c r="W59" i="62" s="1"/>
  <c r="F105" i="59"/>
  <c r="E31" i="59"/>
  <c r="F31" i="59" s="1"/>
  <c r="AB59" i="62" s="1"/>
  <c r="E29" i="59"/>
  <c r="F29" i="59" s="1"/>
  <c r="Z59" i="62" s="1"/>
  <c r="E27" i="59"/>
  <c r="F27" i="59" s="1"/>
  <c r="X59" i="62" s="1"/>
  <c r="E25" i="59"/>
  <c r="F25" i="59" s="1"/>
  <c r="V59" i="62" s="1"/>
  <c r="E23" i="59"/>
  <c r="F23" i="59" s="1"/>
  <c r="T59" i="62" s="1"/>
  <c r="E21" i="59"/>
  <c r="F21" i="59" s="1"/>
  <c r="R59" i="62" s="1"/>
  <c r="E19" i="59"/>
  <c r="F19" i="59" s="1"/>
  <c r="P59" i="62" s="1"/>
  <c r="E17" i="59"/>
  <c r="F17" i="59" s="1"/>
  <c r="N59" i="62" s="1"/>
  <c r="E15" i="59"/>
  <c r="F15" i="59" s="1"/>
  <c r="L59" i="62" s="1"/>
  <c r="E13" i="59"/>
  <c r="F13" i="59" s="1"/>
  <c r="J59" i="62" s="1"/>
  <c r="E11" i="59"/>
  <c r="F11" i="59" s="1"/>
  <c r="H59" i="62" s="1"/>
  <c r="E9" i="59"/>
  <c r="F9" i="59" s="1"/>
  <c r="F59" i="62" s="1"/>
  <c r="E7" i="59"/>
  <c r="F7" i="59" s="1"/>
  <c r="D59" i="62" s="1"/>
  <c r="E5" i="59"/>
  <c r="E24" i="59"/>
  <c r="F24" i="59" s="1"/>
  <c r="U59" i="62" s="1"/>
  <c r="E22" i="59"/>
  <c r="F22" i="59" s="1"/>
  <c r="S59" i="62" s="1"/>
  <c r="E20" i="59"/>
  <c r="F20" i="59" s="1"/>
  <c r="Q59" i="62" s="1"/>
  <c r="E18" i="59"/>
  <c r="F18" i="59" s="1"/>
  <c r="O59" i="62" s="1"/>
  <c r="E16" i="59"/>
  <c r="F16" i="59" s="1"/>
  <c r="M59" i="62" s="1"/>
  <c r="E14" i="59"/>
  <c r="F14" i="59" s="1"/>
  <c r="K59" i="62" s="1"/>
  <c r="E12" i="59"/>
  <c r="F12" i="59" s="1"/>
  <c r="I59" i="62" s="1"/>
  <c r="E10" i="59"/>
  <c r="F10" i="59" s="1"/>
  <c r="G59" i="62" s="1"/>
  <c r="E8" i="59"/>
  <c r="F8" i="59" s="1"/>
  <c r="E59" i="62" s="1"/>
  <c r="E6" i="59"/>
  <c r="F6" i="59" s="1"/>
  <c r="C59" i="62" s="1"/>
  <c r="E32" i="5"/>
  <c r="F32" i="5" s="1"/>
  <c r="AC56" i="62" s="1"/>
  <c r="E30" i="5"/>
  <c r="F30" i="5" s="1"/>
  <c r="AA56" i="62" s="1"/>
  <c r="E28" i="5"/>
  <c r="F28" i="5" s="1"/>
  <c r="Y56" i="62" s="1"/>
  <c r="E26" i="5"/>
  <c r="F26" i="5" s="1"/>
  <c r="W56" i="62" s="1"/>
  <c r="E24" i="5"/>
  <c r="F24" i="5" s="1"/>
  <c r="U56" i="62" s="1"/>
  <c r="E22" i="5"/>
  <c r="F22" i="5" s="1"/>
  <c r="S56" i="62" s="1"/>
  <c r="E20" i="5"/>
  <c r="F20" i="5" s="1"/>
  <c r="Q56" i="62" s="1"/>
  <c r="E18" i="5"/>
  <c r="F18" i="5" s="1"/>
  <c r="O56" i="62" s="1"/>
  <c r="E16" i="5"/>
  <c r="F16" i="5" s="1"/>
  <c r="M56" i="62" s="1"/>
  <c r="E14" i="5"/>
  <c r="F14" i="5" s="1"/>
  <c r="K56" i="62" s="1"/>
  <c r="E12" i="5"/>
  <c r="F12" i="5" s="1"/>
  <c r="I56" i="62" s="1"/>
  <c r="E10" i="5"/>
  <c r="F10" i="5" s="1"/>
  <c r="G56" i="62" s="1"/>
  <c r="E8" i="5"/>
  <c r="F8" i="5" s="1"/>
  <c r="E56" i="62" s="1"/>
  <c r="E6" i="5"/>
  <c r="F6" i="5" s="1"/>
  <c r="C56" i="62" s="1"/>
  <c r="F105" i="5"/>
  <c r="E31" i="5"/>
  <c r="F31" i="5" s="1"/>
  <c r="AB56" i="62" s="1"/>
  <c r="E29" i="5"/>
  <c r="F29" i="5" s="1"/>
  <c r="Z56" i="62" s="1"/>
  <c r="E27" i="5"/>
  <c r="F27" i="5" s="1"/>
  <c r="X56" i="62" s="1"/>
  <c r="E25" i="5"/>
  <c r="F25" i="5" s="1"/>
  <c r="V56" i="62" s="1"/>
  <c r="E23" i="5"/>
  <c r="F23" i="5" s="1"/>
  <c r="T56" i="62" s="1"/>
  <c r="E21" i="5"/>
  <c r="F21" i="5" s="1"/>
  <c r="R56" i="62" s="1"/>
  <c r="E19" i="5"/>
  <c r="F19" i="5" s="1"/>
  <c r="P56" i="62" s="1"/>
  <c r="E17" i="5"/>
  <c r="F17" i="5" s="1"/>
  <c r="N56" i="62" s="1"/>
  <c r="E15" i="5"/>
  <c r="F15" i="5" s="1"/>
  <c r="L56" i="62" s="1"/>
  <c r="E13" i="5"/>
  <c r="F13" i="5" s="1"/>
  <c r="J56" i="62" s="1"/>
  <c r="E11" i="5"/>
  <c r="F11" i="5" s="1"/>
  <c r="H56" i="62" s="1"/>
  <c r="E9" i="5"/>
  <c r="F9" i="5" s="1"/>
  <c r="F56" i="62" s="1"/>
  <c r="E7" i="5"/>
  <c r="F7" i="5" s="1"/>
  <c r="D56" i="62" s="1"/>
  <c r="E5" i="5"/>
  <c r="F105" i="30"/>
  <c r="E32" i="30"/>
  <c r="F32" i="30" s="1"/>
  <c r="AC31" i="62" s="1"/>
  <c r="E30" i="30"/>
  <c r="F30" i="30" s="1"/>
  <c r="AA31" i="62" s="1"/>
  <c r="E28" i="30"/>
  <c r="F28" i="30" s="1"/>
  <c r="Y31" i="62" s="1"/>
  <c r="E26" i="30"/>
  <c r="F26" i="30" s="1"/>
  <c r="W31" i="62" s="1"/>
  <c r="E24" i="30"/>
  <c r="F24" i="30" s="1"/>
  <c r="U31" i="62" s="1"/>
  <c r="E22" i="30"/>
  <c r="F22" i="30" s="1"/>
  <c r="S31" i="62" s="1"/>
  <c r="E31" i="30"/>
  <c r="F31" i="30" s="1"/>
  <c r="AB31" i="62" s="1"/>
  <c r="E29" i="30"/>
  <c r="F29" i="30" s="1"/>
  <c r="Z31" i="62" s="1"/>
  <c r="E27" i="30"/>
  <c r="F27" i="30" s="1"/>
  <c r="X31" i="62" s="1"/>
  <c r="E25" i="30"/>
  <c r="F25" i="30" s="1"/>
  <c r="V31" i="62" s="1"/>
  <c r="E23" i="30"/>
  <c r="F23" i="30" s="1"/>
  <c r="T31" i="62" s="1"/>
  <c r="E21" i="30"/>
  <c r="F21" i="30" s="1"/>
  <c r="R31" i="62" s="1"/>
  <c r="E19" i="30"/>
  <c r="F19" i="30" s="1"/>
  <c r="P31" i="62" s="1"/>
  <c r="E17" i="30"/>
  <c r="F17" i="30" s="1"/>
  <c r="N31" i="62" s="1"/>
  <c r="E15" i="30"/>
  <c r="F15" i="30" s="1"/>
  <c r="L31" i="62" s="1"/>
  <c r="E13" i="30"/>
  <c r="F13" i="30" s="1"/>
  <c r="J31" i="62" s="1"/>
  <c r="E11" i="30"/>
  <c r="F11" i="30" s="1"/>
  <c r="H31" i="62" s="1"/>
  <c r="E9" i="30"/>
  <c r="F9" i="30" s="1"/>
  <c r="F31" i="62" s="1"/>
  <c r="E7" i="30"/>
  <c r="F7" i="30" s="1"/>
  <c r="D31" i="62" s="1"/>
  <c r="E5" i="30"/>
  <c r="E8" i="30"/>
  <c r="F8" i="30" s="1"/>
  <c r="E31" i="62" s="1"/>
  <c r="E16" i="30"/>
  <c r="F16" i="30" s="1"/>
  <c r="M31" i="62" s="1"/>
  <c r="E10" i="30"/>
  <c r="F10" i="30" s="1"/>
  <c r="G31" i="62" s="1"/>
  <c r="E18" i="30"/>
  <c r="F18" i="30" s="1"/>
  <c r="O31" i="62" s="1"/>
  <c r="E6" i="30"/>
  <c r="F6" i="30" s="1"/>
  <c r="C31" i="62" s="1"/>
  <c r="E12" i="30"/>
  <c r="F12" i="30" s="1"/>
  <c r="I31" i="62" s="1"/>
  <c r="E20" i="30"/>
  <c r="F20" i="30" s="1"/>
  <c r="Q31" i="62" s="1"/>
  <c r="E14" i="30"/>
  <c r="F14" i="30" s="1"/>
  <c r="K31" i="62" s="1"/>
  <c r="E32" i="47"/>
  <c r="F32" i="47" s="1"/>
  <c r="AC14" i="62" s="1"/>
  <c r="E30" i="47"/>
  <c r="F30" i="47" s="1"/>
  <c r="AA14" i="62" s="1"/>
  <c r="E28" i="47"/>
  <c r="F28" i="47" s="1"/>
  <c r="Y14" i="62" s="1"/>
  <c r="E26" i="47"/>
  <c r="F26" i="47" s="1"/>
  <c r="W14" i="62" s="1"/>
  <c r="E24" i="47"/>
  <c r="F24" i="47" s="1"/>
  <c r="U14" i="62" s="1"/>
  <c r="E22" i="47"/>
  <c r="F22" i="47" s="1"/>
  <c r="S14" i="62" s="1"/>
  <c r="E20" i="47"/>
  <c r="F20" i="47" s="1"/>
  <c r="Q14" i="62" s="1"/>
  <c r="E18" i="47"/>
  <c r="F18" i="47" s="1"/>
  <c r="O14" i="62" s="1"/>
  <c r="E16" i="47"/>
  <c r="F16" i="47" s="1"/>
  <c r="M14" i="62" s="1"/>
  <c r="E14" i="47"/>
  <c r="F14" i="47" s="1"/>
  <c r="K14" i="62" s="1"/>
  <c r="E12" i="47"/>
  <c r="F12" i="47" s="1"/>
  <c r="I14" i="62" s="1"/>
  <c r="E10" i="47"/>
  <c r="F10" i="47" s="1"/>
  <c r="G14" i="62" s="1"/>
  <c r="E8" i="47"/>
  <c r="F8" i="47" s="1"/>
  <c r="E14" i="62" s="1"/>
  <c r="E6" i="47"/>
  <c r="F6" i="47" s="1"/>
  <c r="C14" i="62" s="1"/>
  <c r="F105" i="47"/>
  <c r="E31" i="47"/>
  <c r="F31" i="47" s="1"/>
  <c r="AB14" i="62" s="1"/>
  <c r="E29" i="47"/>
  <c r="F29" i="47" s="1"/>
  <c r="Z14" i="62" s="1"/>
  <c r="E27" i="47"/>
  <c r="F27" i="47" s="1"/>
  <c r="X14" i="62" s="1"/>
  <c r="E25" i="47"/>
  <c r="F25" i="47" s="1"/>
  <c r="V14" i="62" s="1"/>
  <c r="E23" i="47"/>
  <c r="F23" i="47" s="1"/>
  <c r="T14" i="62" s="1"/>
  <c r="E21" i="47"/>
  <c r="F21" i="47" s="1"/>
  <c r="R14" i="62" s="1"/>
  <c r="E19" i="47"/>
  <c r="F19" i="47" s="1"/>
  <c r="P14" i="62" s="1"/>
  <c r="E17" i="47"/>
  <c r="F17" i="47" s="1"/>
  <c r="N14" i="62" s="1"/>
  <c r="E15" i="47"/>
  <c r="F15" i="47" s="1"/>
  <c r="L14" i="62" s="1"/>
  <c r="E13" i="47"/>
  <c r="F13" i="47" s="1"/>
  <c r="J14" i="62" s="1"/>
  <c r="E11" i="47"/>
  <c r="F11" i="47" s="1"/>
  <c r="H14" i="62" s="1"/>
  <c r="E9" i="47"/>
  <c r="F9" i="47" s="1"/>
  <c r="F14" i="62" s="1"/>
  <c r="E7" i="47"/>
  <c r="F7" i="47" s="1"/>
  <c r="D14" i="62" s="1"/>
  <c r="E5" i="47"/>
  <c r="E32" i="45"/>
  <c r="F32" i="45" s="1"/>
  <c r="AC16" i="62" s="1"/>
  <c r="E30" i="45"/>
  <c r="F30" i="45" s="1"/>
  <c r="AA16" i="62" s="1"/>
  <c r="E28" i="45"/>
  <c r="F28" i="45" s="1"/>
  <c r="Y16" i="62" s="1"/>
  <c r="E26" i="45"/>
  <c r="F26" i="45" s="1"/>
  <c r="W16" i="62" s="1"/>
  <c r="E24" i="45"/>
  <c r="F24" i="45" s="1"/>
  <c r="U16" i="62" s="1"/>
  <c r="E22" i="45"/>
  <c r="F22" i="45" s="1"/>
  <c r="S16" i="62" s="1"/>
  <c r="E20" i="45"/>
  <c r="F20" i="45" s="1"/>
  <c r="Q16" i="62" s="1"/>
  <c r="E18" i="45"/>
  <c r="F18" i="45" s="1"/>
  <c r="O16" i="62" s="1"/>
  <c r="E16" i="45"/>
  <c r="F16" i="45" s="1"/>
  <c r="M16" i="62" s="1"/>
  <c r="E14" i="45"/>
  <c r="F14" i="45" s="1"/>
  <c r="K16" i="62" s="1"/>
  <c r="E12" i="45"/>
  <c r="F12" i="45" s="1"/>
  <c r="I16" i="62" s="1"/>
  <c r="E10" i="45"/>
  <c r="F10" i="45" s="1"/>
  <c r="G16" i="62" s="1"/>
  <c r="E8" i="45"/>
  <c r="F8" i="45" s="1"/>
  <c r="E16" i="62" s="1"/>
  <c r="E6" i="45"/>
  <c r="F6" i="45" s="1"/>
  <c r="C16" i="62" s="1"/>
  <c r="F105" i="45"/>
  <c r="E31" i="45"/>
  <c r="F31" i="45" s="1"/>
  <c r="AB16" i="62" s="1"/>
  <c r="E29" i="45"/>
  <c r="F29" i="45" s="1"/>
  <c r="Z16" i="62" s="1"/>
  <c r="E27" i="45"/>
  <c r="F27" i="45" s="1"/>
  <c r="X16" i="62" s="1"/>
  <c r="E25" i="45"/>
  <c r="F25" i="45" s="1"/>
  <c r="V16" i="62" s="1"/>
  <c r="E23" i="45"/>
  <c r="F23" i="45" s="1"/>
  <c r="T16" i="62" s="1"/>
  <c r="E21" i="45"/>
  <c r="F21" i="45" s="1"/>
  <c r="R16" i="62" s="1"/>
  <c r="E19" i="45"/>
  <c r="F19" i="45" s="1"/>
  <c r="P16" i="62" s="1"/>
  <c r="E17" i="45"/>
  <c r="F17" i="45" s="1"/>
  <c r="N16" i="62" s="1"/>
  <c r="E15" i="45"/>
  <c r="F15" i="45" s="1"/>
  <c r="L16" i="62" s="1"/>
  <c r="E13" i="45"/>
  <c r="F13" i="45" s="1"/>
  <c r="J16" i="62" s="1"/>
  <c r="E11" i="45"/>
  <c r="F11" i="45" s="1"/>
  <c r="H16" i="62" s="1"/>
  <c r="E9" i="45"/>
  <c r="F9" i="45" s="1"/>
  <c r="F16" i="62" s="1"/>
  <c r="E7" i="45"/>
  <c r="F7" i="45" s="1"/>
  <c r="D16" i="62" s="1"/>
  <c r="E5" i="45"/>
  <c r="F105" i="18"/>
  <c r="E31" i="18"/>
  <c r="F31" i="18" s="1"/>
  <c r="AB43" i="62" s="1"/>
  <c r="E29" i="18"/>
  <c r="F29" i="18" s="1"/>
  <c r="Z43" i="62" s="1"/>
  <c r="E27" i="18"/>
  <c r="F27" i="18" s="1"/>
  <c r="X43" i="62" s="1"/>
  <c r="E25" i="18"/>
  <c r="F25" i="18" s="1"/>
  <c r="V43" i="62" s="1"/>
  <c r="E23" i="18"/>
  <c r="F23" i="18" s="1"/>
  <c r="T43" i="62" s="1"/>
  <c r="E21" i="18"/>
  <c r="F21" i="18" s="1"/>
  <c r="R43" i="62" s="1"/>
  <c r="E19" i="18"/>
  <c r="F19" i="18" s="1"/>
  <c r="P43" i="62" s="1"/>
  <c r="E17" i="18"/>
  <c r="F17" i="18" s="1"/>
  <c r="N43" i="62" s="1"/>
  <c r="E15" i="18"/>
  <c r="F15" i="18" s="1"/>
  <c r="L43" i="62" s="1"/>
  <c r="E13" i="18"/>
  <c r="F13" i="18" s="1"/>
  <c r="J43" i="62" s="1"/>
  <c r="E11" i="18"/>
  <c r="F11" i="18" s="1"/>
  <c r="H43" i="62" s="1"/>
  <c r="E9" i="18"/>
  <c r="F9" i="18" s="1"/>
  <c r="F43" i="62" s="1"/>
  <c r="E7" i="18"/>
  <c r="F7" i="18" s="1"/>
  <c r="D43" i="62" s="1"/>
  <c r="E5" i="18"/>
  <c r="E32" i="18"/>
  <c r="F32" i="18" s="1"/>
  <c r="AC43" i="62" s="1"/>
  <c r="E30" i="18"/>
  <c r="F30" i="18" s="1"/>
  <c r="AA43" i="62" s="1"/>
  <c r="E28" i="18"/>
  <c r="F28" i="18" s="1"/>
  <c r="Y43" i="62" s="1"/>
  <c r="E26" i="18"/>
  <c r="F26" i="18" s="1"/>
  <c r="W43" i="62" s="1"/>
  <c r="E24" i="18"/>
  <c r="F24" i="18" s="1"/>
  <c r="U43" i="62" s="1"/>
  <c r="E22" i="18"/>
  <c r="F22" i="18" s="1"/>
  <c r="S43" i="62" s="1"/>
  <c r="E20" i="18"/>
  <c r="F20" i="18" s="1"/>
  <c r="Q43" i="62" s="1"/>
  <c r="E18" i="18"/>
  <c r="F18" i="18" s="1"/>
  <c r="O43" i="62" s="1"/>
  <c r="E16" i="18"/>
  <c r="F16" i="18" s="1"/>
  <c r="M43" i="62" s="1"/>
  <c r="E14" i="18"/>
  <c r="F14" i="18" s="1"/>
  <c r="K43" i="62" s="1"/>
  <c r="E12" i="18"/>
  <c r="F12" i="18" s="1"/>
  <c r="I43" i="62" s="1"/>
  <c r="E10" i="18"/>
  <c r="F10" i="18" s="1"/>
  <c r="G43" i="62" s="1"/>
  <c r="E8" i="18"/>
  <c r="F8" i="18" s="1"/>
  <c r="E43" i="62" s="1"/>
  <c r="E6" i="18"/>
  <c r="F6" i="18" s="1"/>
  <c r="C43" i="62" s="1"/>
  <c r="F105" i="23"/>
  <c r="E31" i="23"/>
  <c r="F31" i="23" s="1"/>
  <c r="AB38" i="62" s="1"/>
  <c r="E29" i="23"/>
  <c r="F29" i="23" s="1"/>
  <c r="Z38" i="62" s="1"/>
  <c r="E27" i="23"/>
  <c r="F27" i="23" s="1"/>
  <c r="X38" i="62" s="1"/>
  <c r="E25" i="23"/>
  <c r="F25" i="23" s="1"/>
  <c r="V38" i="62" s="1"/>
  <c r="E23" i="23"/>
  <c r="F23" i="23" s="1"/>
  <c r="T38" i="62" s="1"/>
  <c r="E21" i="23"/>
  <c r="F21" i="23" s="1"/>
  <c r="R38" i="62" s="1"/>
  <c r="E19" i="23"/>
  <c r="F19" i="23" s="1"/>
  <c r="P38" i="62" s="1"/>
  <c r="E17" i="23"/>
  <c r="F17" i="23" s="1"/>
  <c r="N38" i="62" s="1"/>
  <c r="E15" i="23"/>
  <c r="F15" i="23" s="1"/>
  <c r="L38" i="62" s="1"/>
  <c r="E13" i="23"/>
  <c r="F13" i="23" s="1"/>
  <c r="J38" i="62" s="1"/>
  <c r="E11" i="23"/>
  <c r="F11" i="23" s="1"/>
  <c r="H38" i="62" s="1"/>
  <c r="E9" i="23"/>
  <c r="F9" i="23" s="1"/>
  <c r="F38" i="62" s="1"/>
  <c r="E7" i="23"/>
  <c r="F7" i="23" s="1"/>
  <c r="D38" i="62" s="1"/>
  <c r="E5" i="23"/>
  <c r="E32" i="23"/>
  <c r="F32" i="23" s="1"/>
  <c r="AC38" i="62" s="1"/>
  <c r="E30" i="23"/>
  <c r="F30" i="23" s="1"/>
  <c r="AA38" i="62" s="1"/>
  <c r="E28" i="23"/>
  <c r="F28" i="23" s="1"/>
  <c r="Y38" i="62" s="1"/>
  <c r="E26" i="23"/>
  <c r="F26" i="23" s="1"/>
  <c r="W38" i="62" s="1"/>
  <c r="E24" i="23"/>
  <c r="F24" i="23" s="1"/>
  <c r="U38" i="62" s="1"/>
  <c r="E22" i="23"/>
  <c r="F22" i="23" s="1"/>
  <c r="S38" i="62" s="1"/>
  <c r="E20" i="23"/>
  <c r="F20" i="23" s="1"/>
  <c r="Q38" i="62" s="1"/>
  <c r="E18" i="23"/>
  <c r="F18" i="23" s="1"/>
  <c r="O38" i="62" s="1"/>
  <c r="E16" i="23"/>
  <c r="F16" i="23" s="1"/>
  <c r="M38" i="62" s="1"/>
  <c r="E14" i="23"/>
  <c r="F14" i="23" s="1"/>
  <c r="K38" i="62" s="1"/>
  <c r="E12" i="23"/>
  <c r="F12" i="23" s="1"/>
  <c r="I38" i="62" s="1"/>
  <c r="E10" i="23"/>
  <c r="F10" i="23" s="1"/>
  <c r="G38" i="62" s="1"/>
  <c r="E8" i="23"/>
  <c r="F8" i="23" s="1"/>
  <c r="E38" i="62" s="1"/>
  <c r="E6" i="23"/>
  <c r="F6" i="23" s="1"/>
  <c r="C38" i="62" s="1"/>
  <c r="F105" i="33"/>
  <c r="E31" i="33"/>
  <c r="F31" i="33" s="1"/>
  <c r="AB28" i="62" s="1"/>
  <c r="E29" i="33"/>
  <c r="F29" i="33" s="1"/>
  <c r="Z28" i="62" s="1"/>
  <c r="E27" i="33"/>
  <c r="F27" i="33" s="1"/>
  <c r="X28" i="62" s="1"/>
  <c r="E25" i="33"/>
  <c r="F25" i="33" s="1"/>
  <c r="V28" i="62" s="1"/>
  <c r="E23" i="33"/>
  <c r="F23" i="33" s="1"/>
  <c r="T28" i="62" s="1"/>
  <c r="E21" i="33"/>
  <c r="F21" i="33" s="1"/>
  <c r="R28" i="62" s="1"/>
  <c r="E19" i="33"/>
  <c r="F19" i="33" s="1"/>
  <c r="P28" i="62" s="1"/>
  <c r="E17" i="33"/>
  <c r="F17" i="33" s="1"/>
  <c r="N28" i="62" s="1"/>
  <c r="E15" i="33"/>
  <c r="F15" i="33" s="1"/>
  <c r="L28" i="62" s="1"/>
  <c r="E13" i="33"/>
  <c r="F13" i="33" s="1"/>
  <c r="J28" i="62" s="1"/>
  <c r="E11" i="33"/>
  <c r="F11" i="33" s="1"/>
  <c r="H28" i="62" s="1"/>
  <c r="E9" i="33"/>
  <c r="F9" i="33" s="1"/>
  <c r="F28" i="62" s="1"/>
  <c r="E7" i="33"/>
  <c r="F7" i="33" s="1"/>
  <c r="D28" i="62" s="1"/>
  <c r="E5" i="33"/>
  <c r="E32" i="33"/>
  <c r="F32" i="33" s="1"/>
  <c r="AC28" i="62" s="1"/>
  <c r="E30" i="33"/>
  <c r="F30" i="33" s="1"/>
  <c r="AA28" i="62" s="1"/>
  <c r="E28" i="33"/>
  <c r="F28" i="33" s="1"/>
  <c r="Y28" i="62" s="1"/>
  <c r="E26" i="33"/>
  <c r="F26" i="33" s="1"/>
  <c r="W28" i="62" s="1"/>
  <c r="E24" i="33"/>
  <c r="F24" i="33" s="1"/>
  <c r="U28" i="62" s="1"/>
  <c r="E22" i="33"/>
  <c r="F22" i="33" s="1"/>
  <c r="S28" i="62" s="1"/>
  <c r="E20" i="33"/>
  <c r="F20" i="33" s="1"/>
  <c r="Q28" i="62" s="1"/>
  <c r="E18" i="33"/>
  <c r="F18" i="33" s="1"/>
  <c r="O28" i="62" s="1"/>
  <c r="E16" i="33"/>
  <c r="F16" i="33" s="1"/>
  <c r="M28" i="62" s="1"/>
  <c r="E14" i="33"/>
  <c r="F14" i="33" s="1"/>
  <c r="K28" i="62" s="1"/>
  <c r="E12" i="33"/>
  <c r="F12" i="33" s="1"/>
  <c r="I28" i="62" s="1"/>
  <c r="E10" i="33"/>
  <c r="F10" i="33" s="1"/>
  <c r="G28" i="62" s="1"/>
  <c r="E8" i="33"/>
  <c r="F8" i="33" s="1"/>
  <c r="E28" i="62" s="1"/>
  <c r="E6" i="33"/>
  <c r="F6" i="33" s="1"/>
  <c r="C28" i="62" s="1"/>
  <c r="F105" i="35"/>
  <c r="E31" i="35"/>
  <c r="F31" i="35" s="1"/>
  <c r="AB26" i="62" s="1"/>
  <c r="E29" i="35"/>
  <c r="F29" i="35" s="1"/>
  <c r="Z26" i="62" s="1"/>
  <c r="E27" i="35"/>
  <c r="F27" i="35" s="1"/>
  <c r="X26" i="62" s="1"/>
  <c r="E25" i="35"/>
  <c r="F25" i="35" s="1"/>
  <c r="V26" i="62" s="1"/>
  <c r="E23" i="35"/>
  <c r="F23" i="35" s="1"/>
  <c r="T26" i="62" s="1"/>
  <c r="E21" i="35"/>
  <c r="F21" i="35" s="1"/>
  <c r="R26" i="62" s="1"/>
  <c r="E19" i="35"/>
  <c r="F19" i="35" s="1"/>
  <c r="P26" i="62" s="1"/>
  <c r="E17" i="35"/>
  <c r="F17" i="35" s="1"/>
  <c r="N26" i="62" s="1"/>
  <c r="E15" i="35"/>
  <c r="F15" i="35" s="1"/>
  <c r="L26" i="62" s="1"/>
  <c r="E13" i="35"/>
  <c r="F13" i="35" s="1"/>
  <c r="J26" i="62" s="1"/>
  <c r="E11" i="35"/>
  <c r="F11" i="35" s="1"/>
  <c r="H26" i="62" s="1"/>
  <c r="E9" i="35"/>
  <c r="F9" i="35" s="1"/>
  <c r="F26" i="62" s="1"/>
  <c r="E7" i="35"/>
  <c r="F7" i="35" s="1"/>
  <c r="D26" i="62" s="1"/>
  <c r="E5" i="35"/>
  <c r="E32" i="35"/>
  <c r="F32" i="35" s="1"/>
  <c r="AC26" i="62" s="1"/>
  <c r="E30" i="35"/>
  <c r="F30" i="35" s="1"/>
  <c r="AA26" i="62" s="1"/>
  <c r="E28" i="35"/>
  <c r="F28" i="35" s="1"/>
  <c r="Y26" i="62" s="1"/>
  <c r="E26" i="35"/>
  <c r="F26" i="35" s="1"/>
  <c r="W26" i="62" s="1"/>
  <c r="E24" i="35"/>
  <c r="F24" i="35" s="1"/>
  <c r="U26" i="62" s="1"/>
  <c r="E22" i="35"/>
  <c r="F22" i="35" s="1"/>
  <c r="S26" i="62" s="1"/>
  <c r="E20" i="35"/>
  <c r="F20" i="35" s="1"/>
  <c r="Q26" i="62" s="1"/>
  <c r="E18" i="35"/>
  <c r="F18" i="35" s="1"/>
  <c r="O26" i="62" s="1"/>
  <c r="E16" i="35"/>
  <c r="F16" i="35" s="1"/>
  <c r="M26" i="62" s="1"/>
  <c r="E14" i="35"/>
  <c r="F14" i="35" s="1"/>
  <c r="K26" i="62" s="1"/>
  <c r="E12" i="35"/>
  <c r="F12" i="35" s="1"/>
  <c r="I26" i="62" s="1"/>
  <c r="E10" i="35"/>
  <c r="F10" i="35" s="1"/>
  <c r="G26" i="62" s="1"/>
  <c r="E8" i="35"/>
  <c r="F8" i="35" s="1"/>
  <c r="E26" i="62" s="1"/>
  <c r="E6" i="35"/>
  <c r="F6" i="35" s="1"/>
  <c r="C26" i="62" s="1"/>
  <c r="F105" i="37"/>
  <c r="E31" i="37"/>
  <c r="F31" i="37" s="1"/>
  <c r="AB24" i="62" s="1"/>
  <c r="E29" i="37"/>
  <c r="F29" i="37" s="1"/>
  <c r="Z24" i="62" s="1"/>
  <c r="E27" i="37"/>
  <c r="F27" i="37" s="1"/>
  <c r="X24" i="62" s="1"/>
  <c r="E25" i="37"/>
  <c r="F25" i="37" s="1"/>
  <c r="V24" i="62" s="1"/>
  <c r="E23" i="37"/>
  <c r="F23" i="37" s="1"/>
  <c r="T24" i="62" s="1"/>
  <c r="E21" i="37"/>
  <c r="F21" i="37" s="1"/>
  <c r="R24" i="62" s="1"/>
  <c r="E19" i="37"/>
  <c r="F19" i="37" s="1"/>
  <c r="P24" i="62" s="1"/>
  <c r="E17" i="37"/>
  <c r="F17" i="37" s="1"/>
  <c r="N24" i="62" s="1"/>
  <c r="E15" i="37"/>
  <c r="F15" i="37" s="1"/>
  <c r="L24" i="62" s="1"/>
  <c r="E13" i="37"/>
  <c r="F13" i="37" s="1"/>
  <c r="J24" i="62" s="1"/>
  <c r="E11" i="37"/>
  <c r="F11" i="37" s="1"/>
  <c r="H24" i="62" s="1"/>
  <c r="E9" i="37"/>
  <c r="F9" i="37" s="1"/>
  <c r="F24" i="62" s="1"/>
  <c r="E7" i="37"/>
  <c r="F7" i="37" s="1"/>
  <c r="D24" i="62" s="1"/>
  <c r="E5" i="37"/>
  <c r="E32" i="37"/>
  <c r="F32" i="37" s="1"/>
  <c r="AC24" i="62" s="1"/>
  <c r="E30" i="37"/>
  <c r="F30" i="37" s="1"/>
  <c r="AA24" i="62" s="1"/>
  <c r="E28" i="37"/>
  <c r="F28" i="37" s="1"/>
  <c r="Y24" i="62" s="1"/>
  <c r="E26" i="37"/>
  <c r="F26" i="37" s="1"/>
  <c r="W24" i="62" s="1"/>
  <c r="E24" i="37"/>
  <c r="F24" i="37" s="1"/>
  <c r="U24" i="62" s="1"/>
  <c r="E22" i="37"/>
  <c r="F22" i="37" s="1"/>
  <c r="S24" i="62" s="1"/>
  <c r="E20" i="37"/>
  <c r="F20" i="37" s="1"/>
  <c r="Q24" i="62" s="1"/>
  <c r="E18" i="37"/>
  <c r="F18" i="37" s="1"/>
  <c r="O24" i="62" s="1"/>
  <c r="E16" i="37"/>
  <c r="F16" i="37" s="1"/>
  <c r="M24" i="62" s="1"/>
  <c r="E14" i="37"/>
  <c r="F14" i="37" s="1"/>
  <c r="K24" i="62" s="1"/>
  <c r="E12" i="37"/>
  <c r="F12" i="37" s="1"/>
  <c r="I24" i="62" s="1"/>
  <c r="E10" i="37"/>
  <c r="F10" i="37" s="1"/>
  <c r="G24" i="62" s="1"/>
  <c r="E8" i="37"/>
  <c r="F8" i="37" s="1"/>
  <c r="E24" i="62" s="1"/>
  <c r="E6" i="37"/>
  <c r="F6" i="37" s="1"/>
  <c r="C24" i="62" s="1"/>
  <c r="F105" i="39"/>
  <c r="E31" i="39"/>
  <c r="F31" i="39" s="1"/>
  <c r="AB22" i="62" s="1"/>
  <c r="E29" i="39"/>
  <c r="F29" i="39" s="1"/>
  <c r="Z22" i="62" s="1"/>
  <c r="E27" i="39"/>
  <c r="F27" i="39" s="1"/>
  <c r="X22" i="62" s="1"/>
  <c r="E25" i="39"/>
  <c r="F25" i="39" s="1"/>
  <c r="V22" i="62" s="1"/>
  <c r="E23" i="39"/>
  <c r="F23" i="39" s="1"/>
  <c r="T22" i="62" s="1"/>
  <c r="E21" i="39"/>
  <c r="F21" i="39" s="1"/>
  <c r="R22" i="62" s="1"/>
  <c r="E19" i="39"/>
  <c r="F19" i="39" s="1"/>
  <c r="P22" i="62" s="1"/>
  <c r="E17" i="39"/>
  <c r="F17" i="39" s="1"/>
  <c r="N22" i="62" s="1"/>
  <c r="E15" i="39"/>
  <c r="F15" i="39" s="1"/>
  <c r="L22" i="62" s="1"/>
  <c r="E13" i="39"/>
  <c r="F13" i="39" s="1"/>
  <c r="J22" i="62" s="1"/>
  <c r="E11" i="39"/>
  <c r="F11" i="39" s="1"/>
  <c r="H22" i="62" s="1"/>
  <c r="E9" i="39"/>
  <c r="F9" i="39" s="1"/>
  <c r="F22" i="62" s="1"/>
  <c r="E7" i="39"/>
  <c r="F7" i="39" s="1"/>
  <c r="D22" i="62" s="1"/>
  <c r="E5" i="39"/>
  <c r="E32" i="39"/>
  <c r="F32" i="39" s="1"/>
  <c r="AC22" i="62" s="1"/>
  <c r="E30" i="39"/>
  <c r="F30" i="39" s="1"/>
  <c r="AA22" i="62" s="1"/>
  <c r="E28" i="39"/>
  <c r="F28" i="39" s="1"/>
  <c r="Y22" i="62" s="1"/>
  <c r="E26" i="39"/>
  <c r="F26" i="39" s="1"/>
  <c r="W22" i="62" s="1"/>
  <c r="E24" i="39"/>
  <c r="F24" i="39" s="1"/>
  <c r="U22" i="62" s="1"/>
  <c r="E22" i="39"/>
  <c r="F22" i="39" s="1"/>
  <c r="S22" i="62" s="1"/>
  <c r="E20" i="39"/>
  <c r="F20" i="39" s="1"/>
  <c r="Q22" i="62" s="1"/>
  <c r="E18" i="39"/>
  <c r="F18" i="39" s="1"/>
  <c r="O22" i="62" s="1"/>
  <c r="E16" i="39"/>
  <c r="F16" i="39" s="1"/>
  <c r="M22" i="62" s="1"/>
  <c r="E14" i="39"/>
  <c r="F14" i="39" s="1"/>
  <c r="K22" i="62" s="1"/>
  <c r="E12" i="39"/>
  <c r="F12" i="39" s="1"/>
  <c r="I22" i="62" s="1"/>
  <c r="E10" i="39"/>
  <c r="F10" i="39" s="1"/>
  <c r="G22" i="62" s="1"/>
  <c r="E8" i="39"/>
  <c r="F8" i="39" s="1"/>
  <c r="E22" i="62" s="1"/>
  <c r="E6" i="39"/>
  <c r="F6" i="39" s="1"/>
  <c r="C22" i="62" s="1"/>
  <c r="F105" i="41"/>
  <c r="E31" i="41"/>
  <c r="F31" i="41" s="1"/>
  <c r="AB20" i="62" s="1"/>
  <c r="E29" i="41"/>
  <c r="F29" i="41" s="1"/>
  <c r="Z20" i="62" s="1"/>
  <c r="E27" i="41"/>
  <c r="F27" i="41" s="1"/>
  <c r="X20" i="62" s="1"/>
  <c r="E25" i="41"/>
  <c r="F25" i="41" s="1"/>
  <c r="V20" i="62" s="1"/>
  <c r="E23" i="41"/>
  <c r="F23" i="41" s="1"/>
  <c r="T20" i="62" s="1"/>
  <c r="E21" i="41"/>
  <c r="F21" i="41" s="1"/>
  <c r="R20" i="62" s="1"/>
  <c r="E19" i="41"/>
  <c r="F19" i="41" s="1"/>
  <c r="P20" i="62" s="1"/>
  <c r="E17" i="41"/>
  <c r="F17" i="41" s="1"/>
  <c r="N20" i="62" s="1"/>
  <c r="E15" i="41"/>
  <c r="F15" i="41" s="1"/>
  <c r="L20" i="62" s="1"/>
  <c r="E13" i="41"/>
  <c r="F13" i="41" s="1"/>
  <c r="J20" i="62" s="1"/>
  <c r="E11" i="41"/>
  <c r="F11" i="41" s="1"/>
  <c r="H20" i="62" s="1"/>
  <c r="E9" i="41"/>
  <c r="F9" i="41" s="1"/>
  <c r="F20" i="62" s="1"/>
  <c r="E7" i="41"/>
  <c r="F7" i="41" s="1"/>
  <c r="D20" i="62" s="1"/>
  <c r="E5" i="41"/>
  <c r="E32" i="41"/>
  <c r="F32" i="41" s="1"/>
  <c r="AC20" i="62" s="1"/>
  <c r="E30" i="41"/>
  <c r="F30" i="41" s="1"/>
  <c r="AA20" i="62" s="1"/>
  <c r="E28" i="41"/>
  <c r="F28" i="41" s="1"/>
  <c r="Y20" i="62" s="1"/>
  <c r="E26" i="41"/>
  <c r="F26" i="41" s="1"/>
  <c r="W20" i="62" s="1"/>
  <c r="E24" i="41"/>
  <c r="F24" i="41" s="1"/>
  <c r="U20" i="62" s="1"/>
  <c r="E22" i="41"/>
  <c r="F22" i="41" s="1"/>
  <c r="S20" i="62" s="1"/>
  <c r="E20" i="41"/>
  <c r="F20" i="41" s="1"/>
  <c r="Q20" i="62" s="1"/>
  <c r="E18" i="41"/>
  <c r="F18" i="41" s="1"/>
  <c r="O20" i="62" s="1"/>
  <c r="E16" i="41"/>
  <c r="F16" i="41" s="1"/>
  <c r="M20" i="62" s="1"/>
  <c r="E14" i="41"/>
  <c r="F14" i="41" s="1"/>
  <c r="K20" i="62" s="1"/>
  <c r="E12" i="41"/>
  <c r="F12" i="41" s="1"/>
  <c r="I20" i="62" s="1"/>
  <c r="E10" i="41"/>
  <c r="F10" i="41" s="1"/>
  <c r="G20" i="62" s="1"/>
  <c r="E8" i="41"/>
  <c r="F8" i="41" s="1"/>
  <c r="E20" i="62" s="1"/>
  <c r="E6" i="41"/>
  <c r="F6" i="41" s="1"/>
  <c r="C20" i="62" s="1"/>
  <c r="F105" i="43"/>
  <c r="E31" i="43"/>
  <c r="F31" i="43" s="1"/>
  <c r="AB18" i="62" s="1"/>
  <c r="E29" i="43"/>
  <c r="F29" i="43" s="1"/>
  <c r="Z18" i="62" s="1"/>
  <c r="E27" i="43"/>
  <c r="F27" i="43" s="1"/>
  <c r="X18" i="62" s="1"/>
  <c r="E25" i="43"/>
  <c r="F25" i="43" s="1"/>
  <c r="V18" i="62" s="1"/>
  <c r="E23" i="43"/>
  <c r="F23" i="43" s="1"/>
  <c r="T18" i="62" s="1"/>
  <c r="E21" i="43"/>
  <c r="F21" i="43" s="1"/>
  <c r="R18" i="62" s="1"/>
  <c r="E19" i="43"/>
  <c r="F19" i="43" s="1"/>
  <c r="P18" i="62" s="1"/>
  <c r="E17" i="43"/>
  <c r="F17" i="43" s="1"/>
  <c r="N18" i="62" s="1"/>
  <c r="E15" i="43"/>
  <c r="F15" i="43" s="1"/>
  <c r="L18" i="62" s="1"/>
  <c r="E13" i="43"/>
  <c r="F13" i="43" s="1"/>
  <c r="J18" i="62" s="1"/>
  <c r="E11" i="43"/>
  <c r="F11" i="43" s="1"/>
  <c r="H18" i="62" s="1"/>
  <c r="E9" i="43"/>
  <c r="F9" i="43" s="1"/>
  <c r="F18" i="62" s="1"/>
  <c r="E7" i="43"/>
  <c r="F7" i="43" s="1"/>
  <c r="D18" i="62" s="1"/>
  <c r="E5" i="43"/>
  <c r="E32" i="43"/>
  <c r="F32" i="43" s="1"/>
  <c r="AC18" i="62" s="1"/>
  <c r="E30" i="43"/>
  <c r="F30" i="43" s="1"/>
  <c r="AA18" i="62" s="1"/>
  <c r="E28" i="43"/>
  <c r="F28" i="43" s="1"/>
  <c r="Y18" i="62" s="1"/>
  <c r="E26" i="43"/>
  <c r="F26" i="43" s="1"/>
  <c r="W18" i="62" s="1"/>
  <c r="E24" i="43"/>
  <c r="F24" i="43" s="1"/>
  <c r="U18" i="62" s="1"/>
  <c r="E22" i="43"/>
  <c r="F22" i="43" s="1"/>
  <c r="S18" i="62" s="1"/>
  <c r="E20" i="43"/>
  <c r="F20" i="43" s="1"/>
  <c r="Q18" i="62" s="1"/>
  <c r="E18" i="43"/>
  <c r="F18" i="43" s="1"/>
  <c r="O18" i="62" s="1"/>
  <c r="E16" i="43"/>
  <c r="F16" i="43" s="1"/>
  <c r="M18" i="62" s="1"/>
  <c r="E14" i="43"/>
  <c r="F14" i="43" s="1"/>
  <c r="K18" i="62" s="1"/>
  <c r="E12" i="43"/>
  <c r="F12" i="43" s="1"/>
  <c r="I18" i="62" s="1"/>
  <c r="E10" i="43"/>
  <c r="F10" i="43" s="1"/>
  <c r="G18" i="62" s="1"/>
  <c r="E8" i="43"/>
  <c r="F8" i="43" s="1"/>
  <c r="E18" i="62" s="1"/>
  <c r="E6" i="43"/>
  <c r="F6" i="43" s="1"/>
  <c r="C18" i="62" s="1"/>
  <c r="F105" i="54"/>
  <c r="E31" i="54"/>
  <c r="F31" i="54" s="1"/>
  <c r="AB7" i="62" s="1"/>
  <c r="E29" i="54"/>
  <c r="F29" i="54" s="1"/>
  <c r="Z7" i="62" s="1"/>
  <c r="E27" i="54"/>
  <c r="F27" i="54" s="1"/>
  <c r="X7" i="62" s="1"/>
  <c r="E25" i="54"/>
  <c r="F25" i="54" s="1"/>
  <c r="V7" i="62" s="1"/>
  <c r="E23" i="54"/>
  <c r="F23" i="54" s="1"/>
  <c r="T7" i="62" s="1"/>
  <c r="E21" i="54"/>
  <c r="F21" i="54" s="1"/>
  <c r="R7" i="62" s="1"/>
  <c r="E19" i="54"/>
  <c r="F19" i="54" s="1"/>
  <c r="P7" i="62" s="1"/>
  <c r="E17" i="54"/>
  <c r="F17" i="54" s="1"/>
  <c r="N7" i="62" s="1"/>
  <c r="E15" i="54"/>
  <c r="F15" i="54" s="1"/>
  <c r="L7" i="62" s="1"/>
  <c r="E13" i="54"/>
  <c r="F13" i="54" s="1"/>
  <c r="J7" i="62" s="1"/>
  <c r="E11" i="54"/>
  <c r="F11" i="54" s="1"/>
  <c r="H7" i="62" s="1"/>
  <c r="E9" i="54"/>
  <c r="F9" i="54" s="1"/>
  <c r="F7" i="62" s="1"/>
  <c r="E7" i="54"/>
  <c r="F7" i="54" s="1"/>
  <c r="D7" i="62" s="1"/>
  <c r="E5" i="54"/>
  <c r="E32" i="54"/>
  <c r="F32" i="54" s="1"/>
  <c r="AC7" i="62" s="1"/>
  <c r="E30" i="54"/>
  <c r="F30" i="54" s="1"/>
  <c r="AA7" i="62" s="1"/>
  <c r="E28" i="54"/>
  <c r="F28" i="54" s="1"/>
  <c r="Y7" i="62" s="1"/>
  <c r="E26" i="54"/>
  <c r="F26" i="54" s="1"/>
  <c r="W7" i="62" s="1"/>
  <c r="E24" i="54"/>
  <c r="F24" i="54" s="1"/>
  <c r="U7" i="62" s="1"/>
  <c r="E22" i="54"/>
  <c r="F22" i="54" s="1"/>
  <c r="S7" i="62" s="1"/>
  <c r="E20" i="54"/>
  <c r="F20" i="54" s="1"/>
  <c r="Q7" i="62" s="1"/>
  <c r="E18" i="54"/>
  <c r="F18" i="54" s="1"/>
  <c r="O7" i="62" s="1"/>
  <c r="E16" i="54"/>
  <c r="F16" i="54" s="1"/>
  <c r="M7" i="62" s="1"/>
  <c r="E14" i="54"/>
  <c r="F14" i="54" s="1"/>
  <c r="K7" i="62" s="1"/>
  <c r="E12" i="54"/>
  <c r="F12" i="54" s="1"/>
  <c r="I7" i="62" s="1"/>
  <c r="E10" i="54"/>
  <c r="F10" i="54" s="1"/>
  <c r="G7" i="62" s="1"/>
  <c r="E8" i="54"/>
  <c r="F8" i="54" s="1"/>
  <c r="E7" i="62" s="1"/>
  <c r="E6" i="54"/>
  <c r="F6" i="54" s="1"/>
  <c r="C7" i="62" s="1"/>
  <c r="E32" i="49"/>
  <c r="F32" i="49" s="1"/>
  <c r="AC12" i="62" s="1"/>
  <c r="E30" i="49"/>
  <c r="F30" i="49" s="1"/>
  <c r="AA12" i="62" s="1"/>
  <c r="E28" i="49"/>
  <c r="F28" i="49" s="1"/>
  <c r="Y12" i="62" s="1"/>
  <c r="E26" i="49"/>
  <c r="F26" i="49" s="1"/>
  <c r="W12" i="62" s="1"/>
  <c r="E24" i="49"/>
  <c r="F24" i="49" s="1"/>
  <c r="U12" i="62" s="1"/>
  <c r="E22" i="49"/>
  <c r="F22" i="49" s="1"/>
  <c r="S12" i="62" s="1"/>
  <c r="E20" i="49"/>
  <c r="F20" i="49" s="1"/>
  <c r="Q12" i="62" s="1"/>
  <c r="E18" i="49"/>
  <c r="F18" i="49" s="1"/>
  <c r="O12" i="62" s="1"/>
  <c r="E16" i="49"/>
  <c r="F16" i="49" s="1"/>
  <c r="M12" i="62" s="1"/>
  <c r="E14" i="49"/>
  <c r="F14" i="49" s="1"/>
  <c r="K12" i="62" s="1"/>
  <c r="E12" i="49"/>
  <c r="F12" i="49" s="1"/>
  <c r="I12" i="62" s="1"/>
  <c r="E10" i="49"/>
  <c r="F10" i="49" s="1"/>
  <c r="G12" i="62" s="1"/>
  <c r="E8" i="49"/>
  <c r="F8" i="49" s="1"/>
  <c r="E12" i="62" s="1"/>
  <c r="E6" i="49"/>
  <c r="F6" i="49" s="1"/>
  <c r="C12" i="62" s="1"/>
  <c r="F105" i="49"/>
  <c r="E31" i="49"/>
  <c r="F31" i="49" s="1"/>
  <c r="AB12" i="62" s="1"/>
  <c r="E29" i="49"/>
  <c r="F29" i="49" s="1"/>
  <c r="Z12" i="62" s="1"/>
  <c r="E27" i="49"/>
  <c r="F27" i="49" s="1"/>
  <c r="X12" i="62" s="1"/>
  <c r="E25" i="49"/>
  <c r="F25" i="49" s="1"/>
  <c r="V12" i="62" s="1"/>
  <c r="E23" i="49"/>
  <c r="F23" i="49" s="1"/>
  <c r="T12" i="62" s="1"/>
  <c r="E21" i="49"/>
  <c r="F21" i="49" s="1"/>
  <c r="R12" i="62" s="1"/>
  <c r="E19" i="49"/>
  <c r="F19" i="49" s="1"/>
  <c r="P12" i="62" s="1"/>
  <c r="E17" i="49"/>
  <c r="F17" i="49" s="1"/>
  <c r="N12" i="62" s="1"/>
  <c r="E15" i="49"/>
  <c r="F15" i="49" s="1"/>
  <c r="L12" i="62" s="1"/>
  <c r="E13" i="49"/>
  <c r="F13" i="49" s="1"/>
  <c r="J12" i="62" s="1"/>
  <c r="E11" i="49"/>
  <c r="F11" i="49" s="1"/>
  <c r="H12" i="62" s="1"/>
  <c r="E9" i="49"/>
  <c r="F9" i="49" s="1"/>
  <c r="F12" i="62" s="1"/>
  <c r="E7" i="49"/>
  <c r="F7" i="49" s="1"/>
  <c r="D12" i="62" s="1"/>
  <c r="E5" i="49"/>
  <c r="F105" i="1"/>
  <c r="E31" i="1"/>
  <c r="F31" i="1" s="1"/>
  <c r="AB60" i="62" s="1"/>
  <c r="E29" i="1"/>
  <c r="F29" i="1" s="1"/>
  <c r="Z60" i="62" s="1"/>
  <c r="E27" i="1"/>
  <c r="F27" i="1" s="1"/>
  <c r="X60" i="62" s="1"/>
  <c r="E25" i="1"/>
  <c r="F25" i="1" s="1"/>
  <c r="V60" i="62" s="1"/>
  <c r="E32" i="1"/>
  <c r="F32" i="1" s="1"/>
  <c r="AC60" i="62" s="1"/>
  <c r="E30" i="1"/>
  <c r="F30" i="1" s="1"/>
  <c r="AA60" i="62" s="1"/>
  <c r="E28" i="1"/>
  <c r="F28" i="1" s="1"/>
  <c r="Y60" i="62" s="1"/>
  <c r="E26" i="1"/>
  <c r="F26" i="1" s="1"/>
  <c r="W60" i="62" s="1"/>
  <c r="E24" i="1"/>
  <c r="F24" i="1" s="1"/>
  <c r="U60" i="62" s="1"/>
  <c r="E22" i="1"/>
  <c r="F22" i="1" s="1"/>
  <c r="S60" i="62" s="1"/>
  <c r="E20" i="1"/>
  <c r="F20" i="1" s="1"/>
  <c r="Q60" i="62" s="1"/>
  <c r="E18" i="1"/>
  <c r="F18" i="1" s="1"/>
  <c r="O60" i="62" s="1"/>
  <c r="E16" i="1"/>
  <c r="F16" i="1" s="1"/>
  <c r="M60" i="62" s="1"/>
  <c r="E14" i="1"/>
  <c r="F14" i="1" s="1"/>
  <c r="K60" i="62" s="1"/>
  <c r="E12" i="1"/>
  <c r="F12" i="1" s="1"/>
  <c r="I60" i="62" s="1"/>
  <c r="E10" i="1"/>
  <c r="F10" i="1" s="1"/>
  <c r="G60" i="62" s="1"/>
  <c r="E8" i="1"/>
  <c r="F8" i="1" s="1"/>
  <c r="E60" i="62" s="1"/>
  <c r="E6" i="1"/>
  <c r="F6" i="1" s="1"/>
  <c r="C60" i="62" s="1"/>
  <c r="E23" i="1"/>
  <c r="F23" i="1" s="1"/>
  <c r="T60" i="62" s="1"/>
  <c r="E21" i="1"/>
  <c r="F21" i="1" s="1"/>
  <c r="R60" i="62" s="1"/>
  <c r="E19" i="1"/>
  <c r="F19" i="1" s="1"/>
  <c r="P60" i="62" s="1"/>
  <c r="E17" i="1"/>
  <c r="F17" i="1" s="1"/>
  <c r="N60" i="62" s="1"/>
  <c r="E15" i="1"/>
  <c r="F15" i="1" s="1"/>
  <c r="L60" i="62" s="1"/>
  <c r="E13" i="1"/>
  <c r="F13" i="1" s="1"/>
  <c r="J60" i="62" s="1"/>
  <c r="E11" i="1"/>
  <c r="F11" i="1" s="1"/>
  <c r="H60" i="62" s="1"/>
  <c r="E9" i="1"/>
  <c r="F9" i="1" s="1"/>
  <c r="F60" i="62" s="1"/>
  <c r="E7" i="1"/>
  <c r="F7" i="1" s="1"/>
  <c r="D60" i="62" s="1"/>
  <c r="E5" i="1"/>
  <c r="F105" i="4"/>
  <c r="E31" i="4"/>
  <c r="F31" i="4" s="1"/>
  <c r="AB57" i="62" s="1"/>
  <c r="E29" i="4"/>
  <c r="F29" i="4" s="1"/>
  <c r="Z57" i="62" s="1"/>
  <c r="E27" i="4"/>
  <c r="F27" i="4" s="1"/>
  <c r="X57" i="62" s="1"/>
  <c r="E25" i="4"/>
  <c r="F25" i="4" s="1"/>
  <c r="V57" i="62" s="1"/>
  <c r="E23" i="4"/>
  <c r="F23" i="4" s="1"/>
  <c r="T57" i="62" s="1"/>
  <c r="E21" i="4"/>
  <c r="F21" i="4" s="1"/>
  <c r="R57" i="62" s="1"/>
  <c r="E19" i="4"/>
  <c r="F19" i="4" s="1"/>
  <c r="P57" i="62" s="1"/>
  <c r="E32" i="4"/>
  <c r="F32" i="4" s="1"/>
  <c r="AC57" i="62" s="1"/>
  <c r="E30" i="4"/>
  <c r="F30" i="4" s="1"/>
  <c r="AA57" i="62" s="1"/>
  <c r="E28" i="4"/>
  <c r="F28" i="4" s="1"/>
  <c r="Y57" i="62" s="1"/>
  <c r="E26" i="4"/>
  <c r="F26" i="4" s="1"/>
  <c r="W57" i="62" s="1"/>
  <c r="E24" i="4"/>
  <c r="F24" i="4" s="1"/>
  <c r="U57" i="62" s="1"/>
  <c r="E22" i="4"/>
  <c r="F22" i="4" s="1"/>
  <c r="S57" i="62" s="1"/>
  <c r="E20" i="4"/>
  <c r="F20" i="4" s="1"/>
  <c r="Q57" i="62" s="1"/>
  <c r="E17" i="4"/>
  <c r="F17" i="4" s="1"/>
  <c r="N57" i="62" s="1"/>
  <c r="E15" i="4"/>
  <c r="F15" i="4" s="1"/>
  <c r="L57" i="62" s="1"/>
  <c r="E13" i="4"/>
  <c r="F13" i="4" s="1"/>
  <c r="J57" i="62" s="1"/>
  <c r="E11" i="4"/>
  <c r="F11" i="4" s="1"/>
  <c r="H57" i="62" s="1"/>
  <c r="E9" i="4"/>
  <c r="F9" i="4" s="1"/>
  <c r="F57" i="62" s="1"/>
  <c r="E7" i="4"/>
  <c r="F7" i="4" s="1"/>
  <c r="D57" i="62" s="1"/>
  <c r="E5" i="4"/>
  <c r="E18" i="4"/>
  <c r="F18" i="4" s="1"/>
  <c r="O57" i="62" s="1"/>
  <c r="E16" i="4"/>
  <c r="F16" i="4" s="1"/>
  <c r="M57" i="62" s="1"/>
  <c r="E14" i="4"/>
  <c r="F14" i="4" s="1"/>
  <c r="K57" i="62" s="1"/>
  <c r="E12" i="4"/>
  <c r="F12" i="4" s="1"/>
  <c r="I57" i="62" s="1"/>
  <c r="E10" i="4"/>
  <c r="F10" i="4" s="1"/>
  <c r="G57" i="62" s="1"/>
  <c r="E8" i="4"/>
  <c r="F8" i="4" s="1"/>
  <c r="E57" i="62" s="1"/>
  <c r="E6" i="4"/>
  <c r="F6" i="4" s="1"/>
  <c r="C57" i="62" s="1"/>
  <c r="E32" i="9"/>
  <c r="F32" i="9" s="1"/>
  <c r="AC52" i="62" s="1"/>
  <c r="E30" i="9"/>
  <c r="F30" i="9" s="1"/>
  <c r="AA52" i="62" s="1"/>
  <c r="E28" i="9"/>
  <c r="F28" i="9" s="1"/>
  <c r="Y52" i="62" s="1"/>
  <c r="E26" i="9"/>
  <c r="F26" i="9" s="1"/>
  <c r="W52" i="62" s="1"/>
  <c r="E24" i="9"/>
  <c r="F24" i="9" s="1"/>
  <c r="U52" i="62" s="1"/>
  <c r="E22" i="9"/>
  <c r="F22" i="9" s="1"/>
  <c r="S52" i="62" s="1"/>
  <c r="E20" i="9"/>
  <c r="F20" i="9" s="1"/>
  <c r="Q52" i="62" s="1"/>
  <c r="E18" i="9"/>
  <c r="F18" i="9" s="1"/>
  <c r="O52" i="62" s="1"/>
  <c r="E16" i="9"/>
  <c r="F16" i="9" s="1"/>
  <c r="M52" i="62" s="1"/>
  <c r="E14" i="9"/>
  <c r="F14" i="9" s="1"/>
  <c r="K52" i="62" s="1"/>
  <c r="E12" i="9"/>
  <c r="F12" i="9" s="1"/>
  <c r="I52" i="62" s="1"/>
  <c r="E10" i="9"/>
  <c r="F10" i="9" s="1"/>
  <c r="G52" i="62" s="1"/>
  <c r="E8" i="9"/>
  <c r="F8" i="9" s="1"/>
  <c r="E52" i="62" s="1"/>
  <c r="E6" i="9"/>
  <c r="F6" i="9" s="1"/>
  <c r="C52" i="62" s="1"/>
  <c r="F105" i="9"/>
  <c r="E31" i="9"/>
  <c r="F31" i="9" s="1"/>
  <c r="AB52" i="62" s="1"/>
  <c r="E29" i="9"/>
  <c r="F29" i="9" s="1"/>
  <c r="Z52" i="62" s="1"/>
  <c r="E27" i="9"/>
  <c r="F27" i="9" s="1"/>
  <c r="X52" i="62" s="1"/>
  <c r="E25" i="9"/>
  <c r="F25" i="9" s="1"/>
  <c r="V52" i="62" s="1"/>
  <c r="E23" i="9"/>
  <c r="F23" i="9" s="1"/>
  <c r="T52" i="62" s="1"/>
  <c r="E21" i="9"/>
  <c r="F21" i="9" s="1"/>
  <c r="R52" i="62" s="1"/>
  <c r="E19" i="9"/>
  <c r="F19" i="9" s="1"/>
  <c r="P52" i="62" s="1"/>
  <c r="E17" i="9"/>
  <c r="F17" i="9" s="1"/>
  <c r="N52" i="62" s="1"/>
  <c r="E15" i="9"/>
  <c r="F15" i="9" s="1"/>
  <c r="L52" i="62" s="1"/>
  <c r="E13" i="9"/>
  <c r="F13" i="9" s="1"/>
  <c r="J52" i="62" s="1"/>
  <c r="E11" i="9"/>
  <c r="F11" i="9" s="1"/>
  <c r="H52" i="62" s="1"/>
  <c r="E9" i="9"/>
  <c r="F9" i="9" s="1"/>
  <c r="F52" i="62" s="1"/>
  <c r="E7" i="9"/>
  <c r="F7" i="9" s="1"/>
  <c r="D52" i="62" s="1"/>
  <c r="E5" i="9"/>
  <c r="F105" i="14"/>
  <c r="E31" i="14"/>
  <c r="F31" i="14" s="1"/>
  <c r="AB47" i="62" s="1"/>
  <c r="E29" i="14"/>
  <c r="F29" i="14" s="1"/>
  <c r="Z47" i="62" s="1"/>
  <c r="E27" i="14"/>
  <c r="F27" i="14" s="1"/>
  <c r="X47" i="62" s="1"/>
  <c r="E25" i="14"/>
  <c r="F25" i="14" s="1"/>
  <c r="V47" i="62" s="1"/>
  <c r="E23" i="14"/>
  <c r="F23" i="14" s="1"/>
  <c r="T47" i="62" s="1"/>
  <c r="E21" i="14"/>
  <c r="F21" i="14" s="1"/>
  <c r="R47" i="62" s="1"/>
  <c r="E19" i="14"/>
  <c r="F19" i="14" s="1"/>
  <c r="P47" i="62" s="1"/>
  <c r="E17" i="14"/>
  <c r="F17" i="14" s="1"/>
  <c r="N47" i="62" s="1"/>
  <c r="E15" i="14"/>
  <c r="F15" i="14" s="1"/>
  <c r="L47" i="62" s="1"/>
  <c r="E13" i="14"/>
  <c r="F13" i="14" s="1"/>
  <c r="J47" i="62" s="1"/>
  <c r="E11" i="14"/>
  <c r="F11" i="14" s="1"/>
  <c r="H47" i="62" s="1"/>
  <c r="E9" i="14"/>
  <c r="F9" i="14" s="1"/>
  <c r="F47" i="62" s="1"/>
  <c r="E7" i="14"/>
  <c r="F7" i="14" s="1"/>
  <c r="D47" i="62" s="1"/>
  <c r="E5" i="14"/>
  <c r="E32" i="14"/>
  <c r="F32" i="14" s="1"/>
  <c r="AC47" i="62" s="1"/>
  <c r="E30" i="14"/>
  <c r="F30" i="14" s="1"/>
  <c r="AA47" i="62" s="1"/>
  <c r="E28" i="14"/>
  <c r="F28" i="14" s="1"/>
  <c r="Y47" i="62" s="1"/>
  <c r="E26" i="14"/>
  <c r="F26" i="14" s="1"/>
  <c r="W47" i="62" s="1"/>
  <c r="E24" i="14"/>
  <c r="F24" i="14" s="1"/>
  <c r="U47" i="62" s="1"/>
  <c r="E22" i="14"/>
  <c r="F22" i="14" s="1"/>
  <c r="S47" i="62" s="1"/>
  <c r="E20" i="14"/>
  <c r="F20" i="14" s="1"/>
  <c r="Q47" i="62" s="1"/>
  <c r="E18" i="14"/>
  <c r="F18" i="14" s="1"/>
  <c r="O47" i="62" s="1"/>
  <c r="E16" i="14"/>
  <c r="F16" i="14" s="1"/>
  <c r="M47" i="62" s="1"/>
  <c r="E14" i="14"/>
  <c r="F14" i="14" s="1"/>
  <c r="K47" i="62" s="1"/>
  <c r="E12" i="14"/>
  <c r="F12" i="14" s="1"/>
  <c r="I47" i="62" s="1"/>
  <c r="E10" i="14"/>
  <c r="F10" i="14" s="1"/>
  <c r="G47" i="62" s="1"/>
  <c r="E8" i="14"/>
  <c r="F8" i="14" s="1"/>
  <c r="E47" i="62" s="1"/>
  <c r="E6" i="14"/>
  <c r="F6" i="14" s="1"/>
  <c r="C47" i="62" s="1"/>
  <c r="F105" i="25"/>
  <c r="E31" i="25"/>
  <c r="F31" i="25" s="1"/>
  <c r="AB36" i="62" s="1"/>
  <c r="E29" i="25"/>
  <c r="F29" i="25" s="1"/>
  <c r="Z36" i="62" s="1"/>
  <c r="E27" i="25"/>
  <c r="F27" i="25" s="1"/>
  <c r="X36" i="62" s="1"/>
  <c r="E25" i="25"/>
  <c r="F25" i="25" s="1"/>
  <c r="V36" i="62" s="1"/>
  <c r="E23" i="25"/>
  <c r="F23" i="25" s="1"/>
  <c r="T36" i="62" s="1"/>
  <c r="E21" i="25"/>
  <c r="F21" i="25" s="1"/>
  <c r="R36" i="62" s="1"/>
  <c r="E19" i="25"/>
  <c r="F19" i="25" s="1"/>
  <c r="P36" i="62" s="1"/>
  <c r="E17" i="25"/>
  <c r="F17" i="25" s="1"/>
  <c r="N36" i="62" s="1"/>
  <c r="E15" i="25"/>
  <c r="F15" i="25" s="1"/>
  <c r="L36" i="62" s="1"/>
  <c r="E13" i="25"/>
  <c r="F13" i="25" s="1"/>
  <c r="J36" i="62" s="1"/>
  <c r="E11" i="25"/>
  <c r="F11" i="25" s="1"/>
  <c r="H36" i="62" s="1"/>
  <c r="E9" i="25"/>
  <c r="F9" i="25" s="1"/>
  <c r="F36" i="62" s="1"/>
  <c r="E7" i="25"/>
  <c r="F7" i="25" s="1"/>
  <c r="D36" i="62" s="1"/>
  <c r="E5" i="25"/>
  <c r="E32" i="25"/>
  <c r="F32" i="25" s="1"/>
  <c r="AC36" i="62" s="1"/>
  <c r="E30" i="25"/>
  <c r="F30" i="25" s="1"/>
  <c r="AA36" i="62" s="1"/>
  <c r="E28" i="25"/>
  <c r="F28" i="25" s="1"/>
  <c r="Y36" i="62" s="1"/>
  <c r="E26" i="25"/>
  <c r="F26" i="25" s="1"/>
  <c r="W36" i="62" s="1"/>
  <c r="E24" i="25"/>
  <c r="F24" i="25" s="1"/>
  <c r="U36" i="62" s="1"/>
  <c r="E22" i="25"/>
  <c r="F22" i="25" s="1"/>
  <c r="S36" i="62" s="1"/>
  <c r="E20" i="25"/>
  <c r="F20" i="25" s="1"/>
  <c r="Q36" i="62" s="1"/>
  <c r="E18" i="25"/>
  <c r="F18" i="25" s="1"/>
  <c r="O36" i="62" s="1"/>
  <c r="E16" i="25"/>
  <c r="F16" i="25" s="1"/>
  <c r="M36" i="62" s="1"/>
  <c r="E14" i="25"/>
  <c r="F14" i="25" s="1"/>
  <c r="K36" i="62" s="1"/>
  <c r="E12" i="25"/>
  <c r="F12" i="25" s="1"/>
  <c r="I36" i="62" s="1"/>
  <c r="E10" i="25"/>
  <c r="F10" i="25" s="1"/>
  <c r="G36" i="62" s="1"/>
  <c r="E8" i="25"/>
  <c r="F8" i="25" s="1"/>
  <c r="E36" i="62" s="1"/>
  <c r="E6" i="25"/>
  <c r="F6" i="25" s="1"/>
  <c r="C36" i="62" s="1"/>
  <c r="F105" i="29"/>
  <c r="E31" i="29"/>
  <c r="F31" i="29" s="1"/>
  <c r="AB32" i="62" s="1"/>
  <c r="E29" i="29"/>
  <c r="F29" i="29" s="1"/>
  <c r="Z32" i="62" s="1"/>
  <c r="E27" i="29"/>
  <c r="F27" i="29" s="1"/>
  <c r="X32" i="62" s="1"/>
  <c r="E25" i="29"/>
  <c r="F25" i="29" s="1"/>
  <c r="V32" i="62" s="1"/>
  <c r="E23" i="29"/>
  <c r="F23" i="29" s="1"/>
  <c r="T32" i="62" s="1"/>
  <c r="E21" i="29"/>
  <c r="F21" i="29" s="1"/>
  <c r="R32" i="62" s="1"/>
  <c r="E19" i="29"/>
  <c r="F19" i="29" s="1"/>
  <c r="P32" i="62" s="1"/>
  <c r="E17" i="29"/>
  <c r="F17" i="29" s="1"/>
  <c r="N32" i="62" s="1"/>
  <c r="E32" i="29"/>
  <c r="F32" i="29" s="1"/>
  <c r="AC32" i="62" s="1"/>
  <c r="E30" i="29"/>
  <c r="F30" i="29" s="1"/>
  <c r="AA32" i="62" s="1"/>
  <c r="E28" i="29"/>
  <c r="F28" i="29" s="1"/>
  <c r="Y32" i="62" s="1"/>
  <c r="E26" i="29"/>
  <c r="F26" i="29" s="1"/>
  <c r="W32" i="62" s="1"/>
  <c r="E24" i="29"/>
  <c r="F24" i="29" s="1"/>
  <c r="U32" i="62" s="1"/>
  <c r="E22" i="29"/>
  <c r="F22" i="29" s="1"/>
  <c r="S32" i="62" s="1"/>
  <c r="E20" i="29"/>
  <c r="F20" i="29" s="1"/>
  <c r="Q32" i="62" s="1"/>
  <c r="E18" i="29"/>
  <c r="F18" i="29" s="1"/>
  <c r="O32" i="62" s="1"/>
  <c r="E16" i="29"/>
  <c r="F16" i="29" s="1"/>
  <c r="M32" i="62" s="1"/>
  <c r="E14" i="29"/>
  <c r="F14" i="29" s="1"/>
  <c r="K32" i="62" s="1"/>
  <c r="E12" i="29"/>
  <c r="F12" i="29" s="1"/>
  <c r="I32" i="62" s="1"/>
  <c r="E10" i="29"/>
  <c r="F10" i="29" s="1"/>
  <c r="G32" i="62" s="1"/>
  <c r="E8" i="29"/>
  <c r="F8" i="29" s="1"/>
  <c r="E32" i="62" s="1"/>
  <c r="E6" i="29"/>
  <c r="F6" i="29" s="1"/>
  <c r="C32" i="62" s="1"/>
  <c r="E13" i="29"/>
  <c r="F13" i="29" s="1"/>
  <c r="J32" i="62" s="1"/>
  <c r="E9" i="29"/>
  <c r="F9" i="29" s="1"/>
  <c r="F32" i="62" s="1"/>
  <c r="E5" i="29"/>
  <c r="E15" i="29"/>
  <c r="F15" i="29" s="1"/>
  <c r="L32" i="62" s="1"/>
  <c r="E11" i="29"/>
  <c r="F11" i="29" s="1"/>
  <c r="H32" i="62" s="1"/>
  <c r="E7" i="29"/>
  <c r="F7" i="29" s="1"/>
  <c r="D32" i="62" s="1"/>
  <c r="E32" i="53"/>
  <c r="F32" i="53" s="1"/>
  <c r="AC8" i="62" s="1"/>
  <c r="E30" i="53"/>
  <c r="F30" i="53" s="1"/>
  <c r="AA8" i="62" s="1"/>
  <c r="E28" i="53"/>
  <c r="F28" i="53" s="1"/>
  <c r="Y8" i="62" s="1"/>
  <c r="E26" i="53"/>
  <c r="F26" i="53" s="1"/>
  <c r="W8" i="62" s="1"/>
  <c r="E24" i="53"/>
  <c r="F24" i="53" s="1"/>
  <c r="U8" i="62" s="1"/>
  <c r="E22" i="53"/>
  <c r="F22" i="53" s="1"/>
  <c r="S8" i="62" s="1"/>
  <c r="E20" i="53"/>
  <c r="F20" i="53" s="1"/>
  <c r="Q8" i="62" s="1"/>
  <c r="E18" i="53"/>
  <c r="F18" i="53" s="1"/>
  <c r="O8" i="62" s="1"/>
  <c r="E16" i="53"/>
  <c r="F16" i="53" s="1"/>
  <c r="M8" i="62" s="1"/>
  <c r="E14" i="53"/>
  <c r="F14" i="53" s="1"/>
  <c r="K8" i="62" s="1"/>
  <c r="E12" i="53"/>
  <c r="F12" i="53" s="1"/>
  <c r="I8" i="62" s="1"/>
  <c r="E10" i="53"/>
  <c r="F10" i="53" s="1"/>
  <c r="G8" i="62" s="1"/>
  <c r="E8" i="53"/>
  <c r="F8" i="53" s="1"/>
  <c r="E8" i="62" s="1"/>
  <c r="E6" i="53"/>
  <c r="F6" i="53" s="1"/>
  <c r="C8" i="62" s="1"/>
  <c r="F105" i="53"/>
  <c r="E31" i="53"/>
  <c r="F31" i="53" s="1"/>
  <c r="AB8" i="62" s="1"/>
  <c r="E29" i="53"/>
  <c r="F29" i="53" s="1"/>
  <c r="Z8" i="62" s="1"/>
  <c r="E27" i="53"/>
  <c r="F27" i="53" s="1"/>
  <c r="X8" i="62" s="1"/>
  <c r="E25" i="53"/>
  <c r="F25" i="53" s="1"/>
  <c r="V8" i="62" s="1"/>
  <c r="E23" i="53"/>
  <c r="F23" i="53" s="1"/>
  <c r="T8" i="62" s="1"/>
  <c r="E21" i="53"/>
  <c r="F21" i="53" s="1"/>
  <c r="R8" i="62" s="1"/>
  <c r="E19" i="53"/>
  <c r="F19" i="53" s="1"/>
  <c r="P8" i="62" s="1"/>
  <c r="E17" i="53"/>
  <c r="F17" i="53" s="1"/>
  <c r="N8" i="62" s="1"/>
  <c r="E15" i="53"/>
  <c r="F15" i="53" s="1"/>
  <c r="L8" i="62" s="1"/>
  <c r="E13" i="53"/>
  <c r="F13" i="53" s="1"/>
  <c r="J8" i="62" s="1"/>
  <c r="E11" i="53"/>
  <c r="F11" i="53" s="1"/>
  <c r="H8" i="62" s="1"/>
  <c r="E9" i="53"/>
  <c r="F9" i="53" s="1"/>
  <c r="F8" i="62" s="1"/>
  <c r="E7" i="53"/>
  <c r="F7" i="53" s="1"/>
  <c r="D8" i="62" s="1"/>
  <c r="E5" i="53"/>
  <c r="E32" i="57"/>
  <c r="F32" i="57" s="1"/>
  <c r="AC4" i="62" s="1"/>
  <c r="E30" i="57"/>
  <c r="F30" i="57" s="1"/>
  <c r="AA4" i="62" s="1"/>
  <c r="E28" i="57"/>
  <c r="F28" i="57" s="1"/>
  <c r="Y4" i="62" s="1"/>
  <c r="E26" i="57"/>
  <c r="F26" i="57" s="1"/>
  <c r="W4" i="62" s="1"/>
  <c r="E24" i="57"/>
  <c r="F24" i="57" s="1"/>
  <c r="U4" i="62" s="1"/>
  <c r="E22" i="57"/>
  <c r="F22" i="57" s="1"/>
  <c r="S4" i="62" s="1"/>
  <c r="E20" i="57"/>
  <c r="F20" i="57" s="1"/>
  <c r="Q4" i="62" s="1"/>
  <c r="E18" i="57"/>
  <c r="F18" i="57" s="1"/>
  <c r="O4" i="62" s="1"/>
  <c r="E16" i="57"/>
  <c r="F16" i="57" s="1"/>
  <c r="M4" i="62" s="1"/>
  <c r="E14" i="57"/>
  <c r="F14" i="57" s="1"/>
  <c r="K4" i="62" s="1"/>
  <c r="E12" i="57"/>
  <c r="F12" i="57" s="1"/>
  <c r="I4" i="62" s="1"/>
  <c r="E10" i="57"/>
  <c r="F10" i="57" s="1"/>
  <c r="G4" i="62" s="1"/>
  <c r="E8" i="57"/>
  <c r="F8" i="57" s="1"/>
  <c r="E4" i="62" s="1"/>
  <c r="E6" i="57"/>
  <c r="F6" i="57" s="1"/>
  <c r="C4" i="62" s="1"/>
  <c r="F105" i="57"/>
  <c r="E31" i="57"/>
  <c r="F31" i="57" s="1"/>
  <c r="AB4" i="62" s="1"/>
  <c r="E29" i="57"/>
  <c r="F29" i="57" s="1"/>
  <c r="Z4" i="62" s="1"/>
  <c r="E27" i="57"/>
  <c r="F27" i="57" s="1"/>
  <c r="X4" i="62" s="1"/>
  <c r="E25" i="57"/>
  <c r="F25" i="57" s="1"/>
  <c r="V4" i="62" s="1"/>
  <c r="E23" i="57"/>
  <c r="F23" i="57" s="1"/>
  <c r="T4" i="62" s="1"/>
  <c r="E21" i="57"/>
  <c r="F21" i="57" s="1"/>
  <c r="R4" i="62" s="1"/>
  <c r="E19" i="57"/>
  <c r="F19" i="57" s="1"/>
  <c r="P4" i="62" s="1"/>
  <c r="E17" i="57"/>
  <c r="F17" i="57" s="1"/>
  <c r="N4" i="62" s="1"/>
  <c r="E15" i="57"/>
  <c r="F15" i="57" s="1"/>
  <c r="L4" i="62" s="1"/>
  <c r="E13" i="57"/>
  <c r="F13" i="57" s="1"/>
  <c r="J4" i="62" s="1"/>
  <c r="E11" i="57"/>
  <c r="F11" i="57" s="1"/>
  <c r="H4" i="62" s="1"/>
  <c r="E9" i="57"/>
  <c r="F9" i="57" s="1"/>
  <c r="F4" i="62" s="1"/>
  <c r="E7" i="57"/>
  <c r="F7" i="57" s="1"/>
  <c r="D4" i="62" s="1"/>
  <c r="E5" i="57"/>
  <c r="E32" i="3"/>
  <c r="F32" i="3" s="1"/>
  <c r="AC58" i="62" s="1"/>
  <c r="E30" i="3"/>
  <c r="F30" i="3" s="1"/>
  <c r="AA58" i="62" s="1"/>
  <c r="E28" i="3"/>
  <c r="F28" i="3" s="1"/>
  <c r="Y58" i="62" s="1"/>
  <c r="E26" i="3"/>
  <c r="F26" i="3" s="1"/>
  <c r="W58" i="62" s="1"/>
  <c r="E24" i="3"/>
  <c r="F24" i="3" s="1"/>
  <c r="U58" i="62" s="1"/>
  <c r="E22" i="3"/>
  <c r="F22" i="3" s="1"/>
  <c r="S58" i="62" s="1"/>
  <c r="E20" i="3"/>
  <c r="F20" i="3" s="1"/>
  <c r="Q58" i="62" s="1"/>
  <c r="E18" i="3"/>
  <c r="F18" i="3" s="1"/>
  <c r="O58" i="62" s="1"/>
  <c r="E16" i="3"/>
  <c r="F16" i="3" s="1"/>
  <c r="M58" i="62" s="1"/>
  <c r="E14" i="3"/>
  <c r="F14" i="3" s="1"/>
  <c r="K58" i="62" s="1"/>
  <c r="E12" i="3"/>
  <c r="F12" i="3" s="1"/>
  <c r="I58" i="62" s="1"/>
  <c r="E10" i="3"/>
  <c r="F10" i="3" s="1"/>
  <c r="G58" i="62" s="1"/>
  <c r="E8" i="3"/>
  <c r="F8" i="3" s="1"/>
  <c r="E58" i="62" s="1"/>
  <c r="E6" i="3"/>
  <c r="F6" i="3" s="1"/>
  <c r="C58" i="62" s="1"/>
  <c r="F105" i="3"/>
  <c r="E31" i="3"/>
  <c r="F31" i="3" s="1"/>
  <c r="AB58" i="62" s="1"/>
  <c r="E29" i="3"/>
  <c r="F29" i="3" s="1"/>
  <c r="Z58" i="62" s="1"/>
  <c r="E27" i="3"/>
  <c r="F27" i="3" s="1"/>
  <c r="X58" i="62" s="1"/>
  <c r="E25" i="3"/>
  <c r="F25" i="3" s="1"/>
  <c r="V58" i="62" s="1"/>
  <c r="E23" i="3"/>
  <c r="F23" i="3" s="1"/>
  <c r="T58" i="62" s="1"/>
  <c r="E21" i="3"/>
  <c r="F21" i="3" s="1"/>
  <c r="R58" i="62" s="1"/>
  <c r="E19" i="3"/>
  <c r="F19" i="3" s="1"/>
  <c r="P58" i="62" s="1"/>
  <c r="E17" i="3"/>
  <c r="F17" i="3" s="1"/>
  <c r="N58" i="62" s="1"/>
  <c r="E15" i="3"/>
  <c r="F15" i="3" s="1"/>
  <c r="L58" i="62" s="1"/>
  <c r="E13" i="3"/>
  <c r="F13" i="3" s="1"/>
  <c r="J58" i="62" s="1"/>
  <c r="E11" i="3"/>
  <c r="F11" i="3" s="1"/>
  <c r="H58" i="62" s="1"/>
  <c r="E9" i="3"/>
  <c r="F9" i="3" s="1"/>
  <c r="F58" i="62" s="1"/>
  <c r="E7" i="3"/>
  <c r="F7" i="3" s="1"/>
  <c r="D58" i="62" s="1"/>
  <c r="E5" i="3"/>
  <c r="E32" i="12"/>
  <c r="F32" i="12" s="1"/>
  <c r="AC49" i="62" s="1"/>
  <c r="E30" i="12"/>
  <c r="F30" i="12" s="1"/>
  <c r="AA49" i="62" s="1"/>
  <c r="E28" i="12"/>
  <c r="F28" i="12" s="1"/>
  <c r="Y49" i="62" s="1"/>
  <c r="E26" i="12"/>
  <c r="F26" i="12" s="1"/>
  <c r="W49" i="62" s="1"/>
  <c r="E24" i="12"/>
  <c r="F24" i="12" s="1"/>
  <c r="U49" i="62" s="1"/>
  <c r="E22" i="12"/>
  <c r="F22" i="12" s="1"/>
  <c r="S49" i="62" s="1"/>
  <c r="E20" i="12"/>
  <c r="F20" i="12" s="1"/>
  <c r="Q49" i="62" s="1"/>
  <c r="E18" i="12"/>
  <c r="F18" i="12" s="1"/>
  <c r="O49" i="62" s="1"/>
  <c r="E16" i="12"/>
  <c r="F16" i="12" s="1"/>
  <c r="M49" i="62" s="1"/>
  <c r="E14" i="12"/>
  <c r="F14" i="12" s="1"/>
  <c r="K49" i="62" s="1"/>
  <c r="E12" i="12"/>
  <c r="F12" i="12" s="1"/>
  <c r="I49" i="62" s="1"/>
  <c r="E10" i="12"/>
  <c r="F10" i="12" s="1"/>
  <c r="G49" i="62" s="1"/>
  <c r="E8" i="12"/>
  <c r="F8" i="12" s="1"/>
  <c r="E49" i="62" s="1"/>
  <c r="E6" i="12"/>
  <c r="F6" i="12" s="1"/>
  <c r="C49" i="62" s="1"/>
  <c r="F105" i="12"/>
  <c r="E31" i="12"/>
  <c r="F31" i="12" s="1"/>
  <c r="AB49" i="62" s="1"/>
  <c r="E29" i="12"/>
  <c r="F29" i="12" s="1"/>
  <c r="Z49" i="62" s="1"/>
  <c r="E27" i="12"/>
  <c r="F27" i="12" s="1"/>
  <c r="X49" i="62" s="1"/>
  <c r="E25" i="12"/>
  <c r="F25" i="12" s="1"/>
  <c r="V49" i="62" s="1"/>
  <c r="E23" i="12"/>
  <c r="F23" i="12" s="1"/>
  <c r="T49" i="62" s="1"/>
  <c r="E21" i="12"/>
  <c r="F21" i="12" s="1"/>
  <c r="R49" i="62" s="1"/>
  <c r="E19" i="12"/>
  <c r="F19" i="12" s="1"/>
  <c r="P49" i="62" s="1"/>
  <c r="E17" i="12"/>
  <c r="F17" i="12" s="1"/>
  <c r="N49" i="62" s="1"/>
  <c r="E15" i="12"/>
  <c r="F15" i="12" s="1"/>
  <c r="L49" i="62" s="1"/>
  <c r="E13" i="12"/>
  <c r="F13" i="12" s="1"/>
  <c r="J49" i="62" s="1"/>
  <c r="E11" i="12"/>
  <c r="F11" i="12" s="1"/>
  <c r="H49" i="62" s="1"/>
  <c r="E9" i="12"/>
  <c r="F9" i="12" s="1"/>
  <c r="F49" i="62" s="1"/>
  <c r="E7" i="12"/>
  <c r="F7" i="12" s="1"/>
  <c r="D49" i="62" s="1"/>
  <c r="E5" i="12"/>
  <c r="E32" i="15"/>
  <c r="F32" i="15" s="1"/>
  <c r="AC46" i="62" s="1"/>
  <c r="E30" i="15"/>
  <c r="F30" i="15" s="1"/>
  <c r="AA46" i="62" s="1"/>
  <c r="E28" i="15"/>
  <c r="F28" i="15" s="1"/>
  <c r="Y46" i="62" s="1"/>
  <c r="E26" i="15"/>
  <c r="F26" i="15" s="1"/>
  <c r="W46" i="62" s="1"/>
  <c r="E24" i="15"/>
  <c r="F24" i="15" s="1"/>
  <c r="U46" i="62" s="1"/>
  <c r="E22" i="15"/>
  <c r="F22" i="15" s="1"/>
  <c r="S46" i="62" s="1"/>
  <c r="E20" i="15"/>
  <c r="F20" i="15" s="1"/>
  <c r="Q46" i="62" s="1"/>
  <c r="E18" i="15"/>
  <c r="F18" i="15" s="1"/>
  <c r="O46" i="62" s="1"/>
  <c r="E16" i="15"/>
  <c r="F16" i="15" s="1"/>
  <c r="M46" i="62" s="1"/>
  <c r="E14" i="15"/>
  <c r="F14" i="15" s="1"/>
  <c r="K46" i="62" s="1"/>
  <c r="E12" i="15"/>
  <c r="F12" i="15" s="1"/>
  <c r="I46" i="62" s="1"/>
  <c r="E10" i="15"/>
  <c r="F10" i="15" s="1"/>
  <c r="G46" i="62" s="1"/>
  <c r="E8" i="15"/>
  <c r="F8" i="15" s="1"/>
  <c r="E46" i="62" s="1"/>
  <c r="E6" i="15"/>
  <c r="F6" i="15" s="1"/>
  <c r="C46" i="62" s="1"/>
  <c r="F105" i="15"/>
  <c r="E31" i="15"/>
  <c r="F31" i="15" s="1"/>
  <c r="AB46" i="62" s="1"/>
  <c r="E29" i="15"/>
  <c r="F29" i="15" s="1"/>
  <c r="Z46" i="62" s="1"/>
  <c r="E27" i="15"/>
  <c r="F27" i="15" s="1"/>
  <c r="X46" i="62" s="1"/>
  <c r="E25" i="15"/>
  <c r="F25" i="15" s="1"/>
  <c r="V46" i="62" s="1"/>
  <c r="E23" i="15"/>
  <c r="F23" i="15" s="1"/>
  <c r="T46" i="62" s="1"/>
  <c r="E21" i="15"/>
  <c r="F21" i="15" s="1"/>
  <c r="R46" i="62" s="1"/>
  <c r="E19" i="15"/>
  <c r="F19" i="15" s="1"/>
  <c r="P46" i="62" s="1"/>
  <c r="E17" i="15"/>
  <c r="F17" i="15" s="1"/>
  <c r="N46" i="62" s="1"/>
  <c r="E15" i="15"/>
  <c r="F15" i="15" s="1"/>
  <c r="L46" i="62" s="1"/>
  <c r="E13" i="15"/>
  <c r="F13" i="15" s="1"/>
  <c r="J46" i="62" s="1"/>
  <c r="E11" i="15"/>
  <c r="F11" i="15" s="1"/>
  <c r="H46" i="62" s="1"/>
  <c r="E9" i="15"/>
  <c r="F9" i="15" s="1"/>
  <c r="F46" i="62" s="1"/>
  <c r="E7" i="15"/>
  <c r="F7" i="15" s="1"/>
  <c r="D46" i="62" s="1"/>
  <c r="E5" i="15"/>
  <c r="E32" i="17"/>
  <c r="F32" i="17" s="1"/>
  <c r="AC44" i="62" s="1"/>
  <c r="E30" i="17"/>
  <c r="F30" i="17" s="1"/>
  <c r="AA44" i="62" s="1"/>
  <c r="E28" i="17"/>
  <c r="F28" i="17" s="1"/>
  <c r="Y44" i="62" s="1"/>
  <c r="E26" i="17"/>
  <c r="F26" i="17" s="1"/>
  <c r="W44" i="62" s="1"/>
  <c r="E24" i="17"/>
  <c r="F24" i="17" s="1"/>
  <c r="U44" i="62" s="1"/>
  <c r="E22" i="17"/>
  <c r="F22" i="17" s="1"/>
  <c r="S44" i="62" s="1"/>
  <c r="E20" i="17"/>
  <c r="F20" i="17" s="1"/>
  <c r="Q44" i="62" s="1"/>
  <c r="E18" i="17"/>
  <c r="F18" i="17" s="1"/>
  <c r="O44" i="62" s="1"/>
  <c r="E16" i="17"/>
  <c r="F16" i="17" s="1"/>
  <c r="M44" i="62" s="1"/>
  <c r="E14" i="17"/>
  <c r="F14" i="17" s="1"/>
  <c r="K44" i="62" s="1"/>
  <c r="E12" i="17"/>
  <c r="F12" i="17" s="1"/>
  <c r="I44" i="62" s="1"/>
  <c r="E10" i="17"/>
  <c r="F10" i="17" s="1"/>
  <c r="G44" i="62" s="1"/>
  <c r="E8" i="17"/>
  <c r="F8" i="17" s="1"/>
  <c r="E44" i="62" s="1"/>
  <c r="E6" i="17"/>
  <c r="F6" i="17" s="1"/>
  <c r="C44" i="62" s="1"/>
  <c r="F105" i="17"/>
  <c r="E31" i="17"/>
  <c r="F31" i="17" s="1"/>
  <c r="AB44" i="62" s="1"/>
  <c r="E29" i="17"/>
  <c r="F29" i="17" s="1"/>
  <c r="Z44" i="62" s="1"/>
  <c r="E27" i="17"/>
  <c r="F27" i="17" s="1"/>
  <c r="X44" i="62" s="1"/>
  <c r="E25" i="17"/>
  <c r="F25" i="17" s="1"/>
  <c r="V44" i="62" s="1"/>
  <c r="E23" i="17"/>
  <c r="F23" i="17" s="1"/>
  <c r="T44" i="62" s="1"/>
  <c r="E21" i="17"/>
  <c r="F21" i="17" s="1"/>
  <c r="R44" i="62" s="1"/>
  <c r="E19" i="17"/>
  <c r="F19" i="17" s="1"/>
  <c r="P44" i="62" s="1"/>
  <c r="E17" i="17"/>
  <c r="F17" i="17" s="1"/>
  <c r="N44" i="62" s="1"/>
  <c r="E15" i="17"/>
  <c r="F15" i="17" s="1"/>
  <c r="L44" i="62" s="1"/>
  <c r="E13" i="17"/>
  <c r="F13" i="17" s="1"/>
  <c r="J44" i="62" s="1"/>
  <c r="E11" i="17"/>
  <c r="F11" i="17" s="1"/>
  <c r="H44" i="62" s="1"/>
  <c r="E9" i="17"/>
  <c r="F9" i="17" s="1"/>
  <c r="F44" i="62" s="1"/>
  <c r="E7" i="17"/>
  <c r="F7" i="17" s="1"/>
  <c r="D44" i="62" s="1"/>
  <c r="E5" i="17"/>
  <c r="F105" i="44"/>
  <c r="E31" i="44"/>
  <c r="F31" i="44" s="1"/>
  <c r="AB17" i="62" s="1"/>
  <c r="E29" i="44"/>
  <c r="F29" i="44" s="1"/>
  <c r="Z17" i="62" s="1"/>
  <c r="E27" i="44"/>
  <c r="F27" i="44" s="1"/>
  <c r="X17" i="62" s="1"/>
  <c r="E25" i="44"/>
  <c r="F25" i="44" s="1"/>
  <c r="V17" i="62" s="1"/>
  <c r="E23" i="44"/>
  <c r="F23" i="44" s="1"/>
  <c r="T17" i="62" s="1"/>
  <c r="E21" i="44"/>
  <c r="F21" i="44" s="1"/>
  <c r="R17" i="62" s="1"/>
  <c r="E19" i="44"/>
  <c r="F19" i="44" s="1"/>
  <c r="P17" i="62" s="1"/>
  <c r="E17" i="44"/>
  <c r="F17" i="44" s="1"/>
  <c r="N17" i="62" s="1"/>
  <c r="E15" i="44"/>
  <c r="F15" i="44" s="1"/>
  <c r="L17" i="62" s="1"/>
  <c r="E13" i="44"/>
  <c r="F13" i="44" s="1"/>
  <c r="J17" i="62" s="1"/>
  <c r="E11" i="44"/>
  <c r="F11" i="44" s="1"/>
  <c r="H17" i="62" s="1"/>
  <c r="E9" i="44"/>
  <c r="F9" i="44" s="1"/>
  <c r="F17" i="62" s="1"/>
  <c r="E7" i="44"/>
  <c r="F7" i="44" s="1"/>
  <c r="D17" i="62" s="1"/>
  <c r="E5" i="44"/>
  <c r="E32" i="44"/>
  <c r="F32" i="44" s="1"/>
  <c r="AC17" i="62" s="1"/>
  <c r="E30" i="44"/>
  <c r="F30" i="44" s="1"/>
  <c r="AA17" i="62" s="1"/>
  <c r="E28" i="44"/>
  <c r="F28" i="44" s="1"/>
  <c r="Y17" i="62" s="1"/>
  <c r="E26" i="44"/>
  <c r="F26" i="44" s="1"/>
  <c r="W17" i="62" s="1"/>
  <c r="E24" i="44"/>
  <c r="F24" i="44" s="1"/>
  <c r="U17" i="62" s="1"/>
  <c r="E22" i="44"/>
  <c r="F22" i="44" s="1"/>
  <c r="S17" i="62" s="1"/>
  <c r="E20" i="44"/>
  <c r="F20" i="44" s="1"/>
  <c r="Q17" i="62" s="1"/>
  <c r="E18" i="44"/>
  <c r="F18" i="44" s="1"/>
  <c r="O17" i="62" s="1"/>
  <c r="E16" i="44"/>
  <c r="F16" i="44" s="1"/>
  <c r="M17" i="62" s="1"/>
  <c r="E14" i="44"/>
  <c r="F14" i="44" s="1"/>
  <c r="K17" i="62" s="1"/>
  <c r="E12" i="44"/>
  <c r="F12" i="44" s="1"/>
  <c r="I17" i="62" s="1"/>
  <c r="E10" i="44"/>
  <c r="F10" i="44" s="1"/>
  <c r="G17" i="62" s="1"/>
  <c r="E8" i="44"/>
  <c r="F8" i="44" s="1"/>
  <c r="E17" i="62" s="1"/>
  <c r="E6" i="44"/>
  <c r="F6" i="44" s="1"/>
  <c r="C17" i="62" s="1"/>
  <c r="F101" i="60" l="1"/>
  <c r="F109" i="60"/>
  <c r="F118" i="60" s="1"/>
  <c r="F104" i="36"/>
  <c r="F100" i="36"/>
  <c r="F99" i="36"/>
  <c r="F98" i="36"/>
  <c r="F103" i="36"/>
  <c r="F102" i="36"/>
  <c r="F100" i="32"/>
  <c r="F103" i="32"/>
  <c r="F99" i="32"/>
  <c r="F104" i="32"/>
  <c r="F98" i="32"/>
  <c r="F102" i="32"/>
  <c r="T24" i="63"/>
  <c r="S24" i="63"/>
  <c r="F104" i="31"/>
  <c r="F99" i="31"/>
  <c r="F100" i="31"/>
  <c r="F103" i="31"/>
  <c r="F98" i="31"/>
  <c r="F102" i="31"/>
  <c r="S21" i="63"/>
  <c r="E29" i="60"/>
  <c r="I61" i="63"/>
  <c r="K61" i="63"/>
  <c r="F64" i="63"/>
  <c r="V48" i="63"/>
  <c r="U48" i="63"/>
  <c r="H48" i="63"/>
  <c r="G48" i="63"/>
  <c r="J48" i="63"/>
  <c r="I48" i="63"/>
  <c r="L48" i="63"/>
  <c r="K48" i="63"/>
  <c r="T48" i="63"/>
  <c r="S48" i="63"/>
  <c r="H7" i="63"/>
  <c r="G7" i="63"/>
  <c r="T7" i="63"/>
  <c r="S7" i="63"/>
  <c r="J7" i="63"/>
  <c r="I7" i="63"/>
  <c r="V7" i="63"/>
  <c r="U7" i="63"/>
  <c r="L7" i="63"/>
  <c r="K7" i="63"/>
  <c r="E30" i="36"/>
  <c r="F30" i="36" s="1"/>
  <c r="AA25" i="62" s="1"/>
  <c r="E26" i="36"/>
  <c r="F26" i="36" s="1"/>
  <c r="W25" i="62" s="1"/>
  <c r="E22" i="36"/>
  <c r="F22" i="36" s="1"/>
  <c r="S25" i="62" s="1"/>
  <c r="E18" i="36"/>
  <c r="F18" i="36" s="1"/>
  <c r="O25" i="62" s="1"/>
  <c r="E14" i="36"/>
  <c r="F14" i="36" s="1"/>
  <c r="K25" i="62" s="1"/>
  <c r="E10" i="36"/>
  <c r="F10" i="36" s="1"/>
  <c r="G25" i="62" s="1"/>
  <c r="E6" i="36"/>
  <c r="F6" i="36" s="1"/>
  <c r="C25" i="62" s="1"/>
  <c r="E31" i="36"/>
  <c r="F31" i="36" s="1"/>
  <c r="AB25" i="62" s="1"/>
  <c r="E27" i="36"/>
  <c r="F27" i="36" s="1"/>
  <c r="X25" i="62" s="1"/>
  <c r="E23" i="36"/>
  <c r="F23" i="36" s="1"/>
  <c r="T25" i="62" s="1"/>
  <c r="E19" i="36"/>
  <c r="F19" i="36" s="1"/>
  <c r="P25" i="62" s="1"/>
  <c r="E15" i="36"/>
  <c r="F15" i="36" s="1"/>
  <c r="L25" i="62" s="1"/>
  <c r="E11" i="36"/>
  <c r="F11" i="36" s="1"/>
  <c r="H25" i="62" s="1"/>
  <c r="E7" i="36"/>
  <c r="F7" i="36" s="1"/>
  <c r="D25" i="62" s="1"/>
  <c r="E32" i="36"/>
  <c r="F32" i="36" s="1"/>
  <c r="AC25" i="62" s="1"/>
  <c r="E28" i="36"/>
  <c r="F28" i="36" s="1"/>
  <c r="Y25" i="62" s="1"/>
  <c r="E24" i="36"/>
  <c r="F24" i="36" s="1"/>
  <c r="U25" i="62" s="1"/>
  <c r="E20" i="36"/>
  <c r="F20" i="36" s="1"/>
  <c r="Q25" i="62" s="1"/>
  <c r="E16" i="36"/>
  <c r="F16" i="36" s="1"/>
  <c r="M25" i="62" s="1"/>
  <c r="E12" i="36"/>
  <c r="F12" i="36" s="1"/>
  <c r="I25" i="62" s="1"/>
  <c r="E8" i="36"/>
  <c r="F8" i="36" s="1"/>
  <c r="E25" i="62" s="1"/>
  <c r="F105" i="36"/>
  <c r="E29" i="36"/>
  <c r="F29" i="36" s="1"/>
  <c r="Z25" i="62" s="1"/>
  <c r="E25" i="36"/>
  <c r="F25" i="36" s="1"/>
  <c r="V25" i="62" s="1"/>
  <c r="E21" i="36"/>
  <c r="F21" i="36" s="1"/>
  <c r="R25" i="62" s="1"/>
  <c r="E17" i="36"/>
  <c r="F17" i="36" s="1"/>
  <c r="N25" i="62" s="1"/>
  <c r="E13" i="36"/>
  <c r="F13" i="36" s="1"/>
  <c r="J25" i="62" s="1"/>
  <c r="E9" i="36"/>
  <c r="F9" i="36" s="1"/>
  <c r="F25" i="62" s="1"/>
  <c r="E5" i="36"/>
  <c r="E32" i="32"/>
  <c r="F32" i="32" s="1"/>
  <c r="AC29" i="62" s="1"/>
  <c r="E24" i="32"/>
  <c r="F24" i="32" s="1"/>
  <c r="U29" i="62" s="1"/>
  <c r="E16" i="32"/>
  <c r="F16" i="32" s="1"/>
  <c r="M29" i="62" s="1"/>
  <c r="E8" i="32"/>
  <c r="F8" i="32" s="1"/>
  <c r="E29" i="62" s="1"/>
  <c r="E25" i="32"/>
  <c r="F25" i="32" s="1"/>
  <c r="V29" i="62" s="1"/>
  <c r="E17" i="32"/>
  <c r="F17" i="32" s="1"/>
  <c r="N29" i="62" s="1"/>
  <c r="E9" i="32"/>
  <c r="F9" i="32" s="1"/>
  <c r="F29" i="62" s="1"/>
  <c r="E30" i="32"/>
  <c r="F30" i="32" s="1"/>
  <c r="AA29" i="62" s="1"/>
  <c r="E26" i="32"/>
  <c r="F26" i="32" s="1"/>
  <c r="W29" i="62" s="1"/>
  <c r="E22" i="32"/>
  <c r="F22" i="32" s="1"/>
  <c r="S29" i="62" s="1"/>
  <c r="E18" i="32"/>
  <c r="F18" i="32" s="1"/>
  <c r="O29" i="62" s="1"/>
  <c r="E14" i="32"/>
  <c r="F14" i="32" s="1"/>
  <c r="K29" i="62" s="1"/>
  <c r="E10" i="32"/>
  <c r="F10" i="32" s="1"/>
  <c r="G29" i="62" s="1"/>
  <c r="E6" i="32"/>
  <c r="F6" i="32" s="1"/>
  <c r="C29" i="62" s="1"/>
  <c r="E31" i="32"/>
  <c r="F31" i="32" s="1"/>
  <c r="AB29" i="62" s="1"/>
  <c r="E27" i="32"/>
  <c r="F27" i="32" s="1"/>
  <c r="X29" i="62" s="1"/>
  <c r="E23" i="32"/>
  <c r="F23" i="32" s="1"/>
  <c r="T29" i="62" s="1"/>
  <c r="E19" i="32"/>
  <c r="F19" i="32" s="1"/>
  <c r="P29" i="62" s="1"/>
  <c r="E15" i="32"/>
  <c r="F15" i="32" s="1"/>
  <c r="L29" i="62" s="1"/>
  <c r="E11" i="32"/>
  <c r="F11" i="32" s="1"/>
  <c r="H29" i="62" s="1"/>
  <c r="E7" i="32"/>
  <c r="F7" i="32" s="1"/>
  <c r="D29" i="62" s="1"/>
  <c r="E28" i="32"/>
  <c r="F28" i="32" s="1"/>
  <c r="Y29" i="62" s="1"/>
  <c r="E20" i="32"/>
  <c r="F20" i="32" s="1"/>
  <c r="Q29" i="62" s="1"/>
  <c r="E12" i="32"/>
  <c r="F12" i="32" s="1"/>
  <c r="I29" i="62" s="1"/>
  <c r="F105" i="32"/>
  <c r="E29" i="32"/>
  <c r="F29" i="32" s="1"/>
  <c r="Z29" i="62" s="1"/>
  <c r="E21" i="32"/>
  <c r="F21" i="32" s="1"/>
  <c r="R29" i="62" s="1"/>
  <c r="E13" i="32"/>
  <c r="F13" i="32" s="1"/>
  <c r="J29" i="62" s="1"/>
  <c r="E5" i="32"/>
  <c r="L39" i="63"/>
  <c r="K39" i="63"/>
  <c r="J39" i="63"/>
  <c r="I39" i="63"/>
  <c r="F105" i="31"/>
  <c r="E25" i="31"/>
  <c r="F25" i="31" s="1"/>
  <c r="V30" i="62" s="1"/>
  <c r="E17" i="31"/>
  <c r="F17" i="31" s="1"/>
  <c r="N30" i="62" s="1"/>
  <c r="E9" i="31"/>
  <c r="F9" i="31" s="1"/>
  <c r="F30" i="62" s="1"/>
  <c r="E28" i="31"/>
  <c r="F28" i="31" s="1"/>
  <c r="Y30" i="62" s="1"/>
  <c r="E20" i="31"/>
  <c r="F20" i="31" s="1"/>
  <c r="Q30" i="62" s="1"/>
  <c r="E12" i="31"/>
  <c r="F12" i="31" s="1"/>
  <c r="I30" i="62" s="1"/>
  <c r="E31" i="31"/>
  <c r="F31" i="31" s="1"/>
  <c r="AB30" i="62" s="1"/>
  <c r="E27" i="31"/>
  <c r="F27" i="31" s="1"/>
  <c r="X30" i="62" s="1"/>
  <c r="X62" i="62" s="1"/>
  <c r="E23" i="31"/>
  <c r="F23" i="31" s="1"/>
  <c r="T30" i="62" s="1"/>
  <c r="E19" i="31"/>
  <c r="F19" i="31" s="1"/>
  <c r="P30" i="62" s="1"/>
  <c r="P62" i="62" s="1"/>
  <c r="E15" i="31"/>
  <c r="F15" i="31" s="1"/>
  <c r="L30" i="62" s="1"/>
  <c r="E11" i="31"/>
  <c r="F11" i="31" s="1"/>
  <c r="H30" i="62" s="1"/>
  <c r="E7" i="31"/>
  <c r="F7" i="31" s="1"/>
  <c r="D30" i="62" s="1"/>
  <c r="E30" i="31"/>
  <c r="F30" i="31" s="1"/>
  <c r="AA30" i="62" s="1"/>
  <c r="AA63" i="62" s="1"/>
  <c r="E26" i="31"/>
  <c r="F26" i="31" s="1"/>
  <c r="W30" i="62" s="1"/>
  <c r="E22" i="31"/>
  <c r="F22" i="31" s="1"/>
  <c r="S30" i="62" s="1"/>
  <c r="S65" i="62" s="1"/>
  <c r="E18" i="31"/>
  <c r="F18" i="31" s="1"/>
  <c r="O30" i="62" s="1"/>
  <c r="E14" i="31"/>
  <c r="F14" i="31" s="1"/>
  <c r="K30" i="62" s="1"/>
  <c r="K63" i="62" s="1"/>
  <c r="E10" i="31"/>
  <c r="F10" i="31" s="1"/>
  <c r="G30" i="62" s="1"/>
  <c r="E6" i="31"/>
  <c r="F6" i="31" s="1"/>
  <c r="C30" i="62" s="1"/>
  <c r="C63" i="62" s="1"/>
  <c r="E29" i="31"/>
  <c r="F29" i="31" s="1"/>
  <c r="Z30" i="62" s="1"/>
  <c r="Z64" i="62" s="1"/>
  <c r="E21" i="31"/>
  <c r="F21" i="31" s="1"/>
  <c r="R30" i="62" s="1"/>
  <c r="E13" i="31"/>
  <c r="F13" i="31" s="1"/>
  <c r="J30" i="62" s="1"/>
  <c r="J64" i="62" s="1"/>
  <c r="E5" i="31"/>
  <c r="E32" i="31"/>
  <c r="F32" i="31" s="1"/>
  <c r="AC30" i="62" s="1"/>
  <c r="E24" i="31"/>
  <c r="F24" i="31" s="1"/>
  <c r="U30" i="62" s="1"/>
  <c r="E16" i="31"/>
  <c r="F16" i="31" s="1"/>
  <c r="M30" i="62" s="1"/>
  <c r="E8" i="31"/>
  <c r="F8" i="31" s="1"/>
  <c r="E30" i="62" s="1"/>
  <c r="T39" i="63"/>
  <c r="S39" i="63"/>
  <c r="H39" i="63"/>
  <c r="G39" i="63"/>
  <c r="V39" i="63"/>
  <c r="U39" i="63"/>
  <c r="J59" i="63"/>
  <c r="I59" i="63"/>
  <c r="L59" i="63"/>
  <c r="K59" i="63"/>
  <c r="V59" i="63"/>
  <c r="U59" i="63"/>
  <c r="H59" i="63"/>
  <c r="G59" i="63"/>
  <c r="T59" i="63"/>
  <c r="S59" i="63"/>
  <c r="E6" i="60"/>
  <c r="E26" i="60"/>
  <c r="E20" i="60"/>
  <c r="E30" i="60"/>
  <c r="E9" i="60"/>
  <c r="T46" i="63"/>
  <c r="S46" i="63"/>
  <c r="H46" i="63"/>
  <c r="G46" i="63"/>
  <c r="E14" i="60"/>
  <c r="E12" i="60"/>
  <c r="E24" i="60"/>
  <c r="E5" i="60"/>
  <c r="E13" i="60"/>
  <c r="J46" i="63"/>
  <c r="I46" i="63"/>
  <c r="V46" i="63"/>
  <c r="U46" i="63"/>
  <c r="L46" i="63"/>
  <c r="K46" i="63"/>
  <c r="E10" i="60"/>
  <c r="E18" i="60"/>
  <c r="E8" i="60"/>
  <c r="E16" i="60"/>
  <c r="E22" i="60"/>
  <c r="E28" i="60"/>
  <c r="E32" i="60"/>
  <c r="E7" i="60"/>
  <c r="E11" i="60"/>
  <c r="E15" i="60"/>
  <c r="E19" i="60"/>
  <c r="E23" i="60"/>
  <c r="E27" i="60"/>
  <c r="E31" i="60"/>
  <c r="H44" i="63"/>
  <c r="G44" i="63"/>
  <c r="L44" i="63"/>
  <c r="K44" i="63"/>
  <c r="E17" i="60"/>
  <c r="E21" i="60"/>
  <c r="E25" i="60"/>
  <c r="J44" i="63"/>
  <c r="I44" i="63"/>
  <c r="T44" i="63"/>
  <c r="S44" i="63"/>
  <c r="V44" i="63"/>
  <c r="U44" i="63"/>
  <c r="E33" i="44"/>
  <c r="C20" i="63" s="1"/>
  <c r="F5" i="44"/>
  <c r="L20" i="63"/>
  <c r="K20" i="63"/>
  <c r="P20" i="63"/>
  <c r="O20" i="63"/>
  <c r="T20" i="63"/>
  <c r="S20" i="63"/>
  <c r="E33" i="17"/>
  <c r="C47" i="63" s="1"/>
  <c r="F5" i="17"/>
  <c r="L47" i="63"/>
  <c r="K47" i="63"/>
  <c r="P47" i="63"/>
  <c r="O47" i="63"/>
  <c r="T47" i="63"/>
  <c r="S47" i="63"/>
  <c r="E33" i="15"/>
  <c r="C49" i="63" s="1"/>
  <c r="F5" i="15"/>
  <c r="L49" i="63"/>
  <c r="K49" i="63"/>
  <c r="P49" i="63"/>
  <c r="O49" i="63"/>
  <c r="T49" i="63"/>
  <c r="S49" i="63"/>
  <c r="E33" i="12"/>
  <c r="C52" i="63" s="1"/>
  <c r="F5" i="12"/>
  <c r="L52" i="63"/>
  <c r="K52" i="63"/>
  <c r="P52" i="63"/>
  <c r="O52" i="63"/>
  <c r="T52" i="63"/>
  <c r="S52" i="63"/>
  <c r="E33" i="3"/>
  <c r="C61" i="63" s="1"/>
  <c r="F5" i="3"/>
  <c r="R61" i="63"/>
  <c r="Q61" i="63"/>
  <c r="D62" i="62"/>
  <c r="D63" i="62"/>
  <c r="H64" i="62"/>
  <c r="L64" i="62"/>
  <c r="L65" i="62"/>
  <c r="T64" i="62"/>
  <c r="T65" i="62"/>
  <c r="X64" i="62"/>
  <c r="G63" i="62"/>
  <c r="G62" i="62"/>
  <c r="K65" i="62"/>
  <c r="O65" i="62"/>
  <c r="O64" i="62"/>
  <c r="S64" i="62"/>
  <c r="W63" i="62"/>
  <c r="W62" i="62"/>
  <c r="AA65" i="62"/>
  <c r="AA64" i="62"/>
  <c r="P7" i="63"/>
  <c r="O64" i="63"/>
  <c r="O7" i="63"/>
  <c r="E33" i="53"/>
  <c r="C11" i="63"/>
  <c r="F5" i="53"/>
  <c r="L11" i="63"/>
  <c r="K11" i="63"/>
  <c r="P11" i="63"/>
  <c r="O11" i="63"/>
  <c r="T11" i="63"/>
  <c r="S11" i="63"/>
  <c r="J35" i="63"/>
  <c r="I35" i="63"/>
  <c r="H35" i="63"/>
  <c r="G35" i="63"/>
  <c r="R35" i="63"/>
  <c r="Q35" i="63"/>
  <c r="V35" i="63"/>
  <c r="U35" i="63"/>
  <c r="P39" i="63"/>
  <c r="O39" i="63"/>
  <c r="E33" i="25"/>
  <c r="C39" i="63" s="1"/>
  <c r="F5" i="25"/>
  <c r="J50" i="63"/>
  <c r="I50" i="63"/>
  <c r="H50" i="63"/>
  <c r="G50" i="63"/>
  <c r="R50" i="63"/>
  <c r="Q50" i="63"/>
  <c r="V50" i="63"/>
  <c r="U50" i="63"/>
  <c r="J55" i="63"/>
  <c r="I55" i="63"/>
  <c r="H55" i="63"/>
  <c r="G55" i="63"/>
  <c r="R55" i="63"/>
  <c r="Q55" i="63"/>
  <c r="V55" i="63"/>
  <c r="U55" i="63"/>
  <c r="E33" i="4"/>
  <c r="C60" i="63" s="1"/>
  <c r="F5" i="4"/>
  <c r="J60" i="63"/>
  <c r="I60" i="63"/>
  <c r="H60" i="63"/>
  <c r="G60" i="63"/>
  <c r="R60" i="63"/>
  <c r="Q60" i="63"/>
  <c r="V60" i="63"/>
  <c r="U60" i="63"/>
  <c r="L63" i="63"/>
  <c r="K63" i="63"/>
  <c r="P63" i="63"/>
  <c r="O63" i="63"/>
  <c r="T63" i="63"/>
  <c r="S63" i="63"/>
  <c r="J15" i="63"/>
  <c r="I15" i="63"/>
  <c r="H15" i="63"/>
  <c r="G15" i="63"/>
  <c r="R15" i="63"/>
  <c r="Q15" i="63"/>
  <c r="V15" i="63"/>
  <c r="U15" i="63"/>
  <c r="L10" i="63"/>
  <c r="K10" i="63"/>
  <c r="P10" i="63"/>
  <c r="O10" i="63"/>
  <c r="T10" i="63"/>
  <c r="S10" i="63"/>
  <c r="E33" i="54"/>
  <c r="C10" i="63" s="1"/>
  <c r="F5" i="54"/>
  <c r="J21" i="63"/>
  <c r="I21" i="63"/>
  <c r="H21" i="63"/>
  <c r="G21" i="63"/>
  <c r="R21" i="63"/>
  <c r="Q21" i="63"/>
  <c r="E33" i="43"/>
  <c r="C21" i="63" s="1"/>
  <c r="F5" i="43"/>
  <c r="L23" i="63"/>
  <c r="K23" i="63"/>
  <c r="P23" i="63"/>
  <c r="O23" i="63"/>
  <c r="T23" i="63"/>
  <c r="S23" i="63"/>
  <c r="E33" i="41"/>
  <c r="C23" i="63" s="1"/>
  <c r="F5" i="41"/>
  <c r="L25" i="63"/>
  <c r="K25" i="63"/>
  <c r="P25" i="63"/>
  <c r="O25" i="63"/>
  <c r="T25" i="63"/>
  <c r="S25" i="63"/>
  <c r="E33" i="39"/>
  <c r="C25" i="63" s="1"/>
  <c r="F5" i="39"/>
  <c r="L27" i="63"/>
  <c r="K27" i="63"/>
  <c r="P27" i="63"/>
  <c r="O27" i="63"/>
  <c r="T27" i="63"/>
  <c r="S27" i="63"/>
  <c r="E33" i="37"/>
  <c r="C27" i="63" s="1"/>
  <c r="F5" i="37"/>
  <c r="L29" i="63"/>
  <c r="K29" i="63"/>
  <c r="P29" i="63"/>
  <c r="O29" i="63"/>
  <c r="T29" i="63"/>
  <c r="S29" i="63"/>
  <c r="E33" i="35"/>
  <c r="C29" i="63" s="1"/>
  <c r="F5" i="35"/>
  <c r="L31" i="63"/>
  <c r="K31" i="63"/>
  <c r="P31" i="63"/>
  <c r="O31" i="63"/>
  <c r="V31" i="63"/>
  <c r="U31" i="63"/>
  <c r="J41" i="63"/>
  <c r="I41" i="63"/>
  <c r="H41" i="63"/>
  <c r="G41" i="63"/>
  <c r="R41" i="63"/>
  <c r="Q41" i="63"/>
  <c r="V41" i="63"/>
  <c r="U41" i="63"/>
  <c r="P46" i="63"/>
  <c r="O46" i="63"/>
  <c r="E33" i="18"/>
  <c r="C46" i="63" s="1"/>
  <c r="F5" i="18"/>
  <c r="J19" i="63"/>
  <c r="I19" i="63"/>
  <c r="H19" i="63"/>
  <c r="G19" i="63"/>
  <c r="R19" i="63"/>
  <c r="Q19" i="63"/>
  <c r="V19" i="63"/>
  <c r="U19" i="63"/>
  <c r="J17" i="63"/>
  <c r="I17" i="63"/>
  <c r="H17" i="63"/>
  <c r="G17" i="63"/>
  <c r="R17" i="63"/>
  <c r="Q17" i="63"/>
  <c r="V17" i="63"/>
  <c r="U17" i="63"/>
  <c r="L34" i="63"/>
  <c r="K34" i="63"/>
  <c r="P34" i="63"/>
  <c r="O34" i="63"/>
  <c r="T34" i="63"/>
  <c r="S34" i="63"/>
  <c r="P59" i="63"/>
  <c r="O59" i="63"/>
  <c r="E33" i="59"/>
  <c r="C62" i="63" s="1"/>
  <c r="F5" i="59"/>
  <c r="L62" i="63"/>
  <c r="K62" i="63"/>
  <c r="P62" i="63"/>
  <c r="O62" i="63"/>
  <c r="T62" i="63"/>
  <c r="S62" i="63"/>
  <c r="J16" i="63"/>
  <c r="I16" i="63"/>
  <c r="H16" i="63"/>
  <c r="G16" i="63"/>
  <c r="R16" i="63"/>
  <c r="Q16" i="63"/>
  <c r="V16" i="63"/>
  <c r="U16" i="63"/>
  <c r="E33" i="38"/>
  <c r="C26" i="63" s="1"/>
  <c r="F5" i="38"/>
  <c r="L26" i="63"/>
  <c r="K26" i="63"/>
  <c r="P26" i="63"/>
  <c r="O26" i="63"/>
  <c r="T26" i="63"/>
  <c r="S26" i="63"/>
  <c r="E33" i="40"/>
  <c r="C24" i="63" s="1"/>
  <c r="F5" i="40"/>
  <c r="L24" i="63"/>
  <c r="K24" i="63"/>
  <c r="P24" i="63"/>
  <c r="O24" i="63"/>
  <c r="V24" i="63"/>
  <c r="U24" i="63"/>
  <c r="J38" i="63"/>
  <c r="I38" i="63"/>
  <c r="H38" i="63"/>
  <c r="G38" i="63"/>
  <c r="R38" i="63"/>
  <c r="Q38" i="63"/>
  <c r="V38" i="63"/>
  <c r="U38" i="63"/>
  <c r="L37" i="63"/>
  <c r="K37" i="63"/>
  <c r="P37" i="63"/>
  <c r="O37" i="63"/>
  <c r="T37" i="63"/>
  <c r="S37" i="63"/>
  <c r="E33" i="27"/>
  <c r="C37" i="63" s="1"/>
  <c r="F5" i="27"/>
  <c r="J54" i="63"/>
  <c r="I54" i="63"/>
  <c r="H54" i="63"/>
  <c r="G54" i="63"/>
  <c r="R54" i="63"/>
  <c r="Q54" i="63"/>
  <c r="J56" i="63"/>
  <c r="I56" i="63"/>
  <c r="H56" i="63"/>
  <c r="G56" i="63"/>
  <c r="R56" i="63"/>
  <c r="Q56" i="63"/>
  <c r="V56" i="63"/>
  <c r="U56" i="63"/>
  <c r="J13" i="63"/>
  <c r="I13" i="63"/>
  <c r="H13" i="63"/>
  <c r="G13" i="63"/>
  <c r="R13" i="63"/>
  <c r="Q13" i="63"/>
  <c r="V13" i="63"/>
  <c r="U13" i="63"/>
  <c r="L12" i="63"/>
  <c r="K12" i="63"/>
  <c r="P12" i="63"/>
  <c r="O12" i="63"/>
  <c r="V12" i="63"/>
  <c r="U12" i="63"/>
  <c r="J14" i="63"/>
  <c r="I14" i="63"/>
  <c r="H14" i="63"/>
  <c r="G14" i="63"/>
  <c r="R14" i="63"/>
  <c r="Q14" i="63"/>
  <c r="V14" i="63"/>
  <c r="U14" i="63"/>
  <c r="J18" i="63"/>
  <c r="I18" i="63"/>
  <c r="H18" i="63"/>
  <c r="G18" i="63"/>
  <c r="R18" i="63"/>
  <c r="Q18" i="63"/>
  <c r="V18" i="63"/>
  <c r="U18" i="63"/>
  <c r="E33" i="22"/>
  <c r="C42" i="63" s="1"/>
  <c r="F5" i="22"/>
  <c r="L42" i="63"/>
  <c r="K42" i="63"/>
  <c r="P42" i="63"/>
  <c r="O42" i="63"/>
  <c r="V42" i="63"/>
  <c r="U42" i="63"/>
  <c r="L51" i="63"/>
  <c r="K51" i="63"/>
  <c r="P51" i="63"/>
  <c r="O51" i="63"/>
  <c r="T51" i="63"/>
  <c r="S51" i="63"/>
  <c r="E33" i="13"/>
  <c r="C51" i="63" s="1"/>
  <c r="F5" i="13"/>
  <c r="L53" i="63"/>
  <c r="K53" i="63"/>
  <c r="P53" i="63"/>
  <c r="O53" i="63"/>
  <c r="T53" i="63"/>
  <c r="S53" i="63"/>
  <c r="E33" i="11"/>
  <c r="C53" i="63" s="1"/>
  <c r="F5" i="11"/>
  <c r="L8" i="63"/>
  <c r="K8" i="63"/>
  <c r="P8" i="63"/>
  <c r="O8" i="63"/>
  <c r="T8" i="63"/>
  <c r="S8" i="63"/>
  <c r="E33" i="56"/>
  <c r="C8" i="63" s="1"/>
  <c r="F5" i="56"/>
  <c r="J22" i="63"/>
  <c r="I22" i="63"/>
  <c r="H22" i="63"/>
  <c r="G22" i="63"/>
  <c r="R22" i="63"/>
  <c r="Q22" i="63"/>
  <c r="V22" i="63"/>
  <c r="U22" i="63"/>
  <c r="J40" i="63"/>
  <c r="I40" i="63"/>
  <c r="H40" i="63"/>
  <c r="G40" i="63"/>
  <c r="R40" i="63"/>
  <c r="Q40" i="63"/>
  <c r="V40" i="63"/>
  <c r="U40" i="63"/>
  <c r="J36" i="63"/>
  <c r="I36" i="63"/>
  <c r="H36" i="63"/>
  <c r="G36" i="63"/>
  <c r="R36" i="63"/>
  <c r="Q36" i="63"/>
  <c r="V36" i="63"/>
  <c r="U36" i="63"/>
  <c r="J45" i="63"/>
  <c r="I45" i="63"/>
  <c r="H45" i="63"/>
  <c r="G45" i="63"/>
  <c r="R45" i="63"/>
  <c r="Q45" i="63"/>
  <c r="E33" i="21"/>
  <c r="C43" i="63" s="1"/>
  <c r="F5" i="21"/>
  <c r="L43" i="63"/>
  <c r="K43" i="63"/>
  <c r="P43" i="63"/>
  <c r="O43" i="63"/>
  <c r="T43" i="63"/>
  <c r="S43" i="63"/>
  <c r="E33" i="55"/>
  <c r="C9" i="63" s="1"/>
  <c r="F5" i="55"/>
  <c r="L9" i="63"/>
  <c r="K9" i="63"/>
  <c r="P9" i="63"/>
  <c r="O9" i="63"/>
  <c r="T9" i="63"/>
  <c r="S9" i="63"/>
  <c r="J30" i="63"/>
  <c r="I30" i="63"/>
  <c r="H30" i="63"/>
  <c r="G30" i="63"/>
  <c r="R30" i="63"/>
  <c r="Q30" i="63"/>
  <c r="V30" i="63"/>
  <c r="U30" i="63"/>
  <c r="R44" i="63"/>
  <c r="Q44" i="63"/>
  <c r="P48" i="63"/>
  <c r="O48" i="63"/>
  <c r="E33" i="16"/>
  <c r="C48" i="63" s="1"/>
  <c r="F5" i="16"/>
  <c r="L57" i="63"/>
  <c r="K57" i="63"/>
  <c r="P57" i="63"/>
  <c r="O57" i="63"/>
  <c r="T57" i="63"/>
  <c r="S57" i="63"/>
  <c r="J58" i="63"/>
  <c r="I58" i="63"/>
  <c r="H58" i="63"/>
  <c r="G58" i="63"/>
  <c r="R58" i="63"/>
  <c r="Q58" i="63"/>
  <c r="V58" i="63"/>
  <c r="U58" i="63"/>
  <c r="J20" i="63"/>
  <c r="I20" i="63"/>
  <c r="H20" i="63"/>
  <c r="G20" i="63"/>
  <c r="R20" i="63"/>
  <c r="Q20" i="63"/>
  <c r="V20" i="63"/>
  <c r="U20" i="63"/>
  <c r="J47" i="63"/>
  <c r="I47" i="63"/>
  <c r="H47" i="63"/>
  <c r="G47" i="63"/>
  <c r="R47" i="63"/>
  <c r="Q47" i="63"/>
  <c r="V47" i="63"/>
  <c r="U47" i="63"/>
  <c r="J49" i="63"/>
  <c r="I49" i="63"/>
  <c r="H49" i="63"/>
  <c r="G49" i="63"/>
  <c r="R49" i="63"/>
  <c r="Q49" i="63"/>
  <c r="V49" i="63"/>
  <c r="U49" i="63"/>
  <c r="J52" i="63"/>
  <c r="I52" i="63"/>
  <c r="H52" i="63"/>
  <c r="G52" i="63"/>
  <c r="R52" i="63"/>
  <c r="Q52" i="63"/>
  <c r="V52" i="63"/>
  <c r="U52" i="63"/>
  <c r="P61" i="63"/>
  <c r="O61" i="63"/>
  <c r="E33" i="57"/>
  <c r="C7" i="63" s="1"/>
  <c r="F5" i="57"/>
  <c r="F62" i="62"/>
  <c r="F63" i="62"/>
  <c r="J62" i="62"/>
  <c r="J63" i="62"/>
  <c r="N62" i="62"/>
  <c r="N63" i="62"/>
  <c r="R62" i="62"/>
  <c r="R63" i="62"/>
  <c r="V62" i="62"/>
  <c r="V63" i="62"/>
  <c r="Z62" i="62"/>
  <c r="Z63" i="62"/>
  <c r="E65" i="62"/>
  <c r="E63" i="62"/>
  <c r="E64" i="62"/>
  <c r="E62" i="62"/>
  <c r="I63" i="62"/>
  <c r="I62" i="62"/>
  <c r="M63" i="62"/>
  <c r="M62" i="62"/>
  <c r="Q63" i="62"/>
  <c r="Q62" i="62"/>
  <c r="U65" i="62"/>
  <c r="U63" i="62"/>
  <c r="U64" i="62"/>
  <c r="U62" i="62"/>
  <c r="Y65" i="62"/>
  <c r="Y63" i="62"/>
  <c r="Y64" i="62"/>
  <c r="Y62" i="62"/>
  <c r="R7" i="63"/>
  <c r="Q7" i="63"/>
  <c r="J11" i="63"/>
  <c r="I11" i="63"/>
  <c r="H11" i="63"/>
  <c r="G11" i="63"/>
  <c r="R11" i="63"/>
  <c r="Q11" i="63"/>
  <c r="V11" i="63"/>
  <c r="U11" i="63"/>
  <c r="E33" i="29"/>
  <c r="C35" i="63" s="1"/>
  <c r="F5" i="29"/>
  <c r="L35" i="63"/>
  <c r="K35" i="63"/>
  <c r="P35" i="63"/>
  <c r="O35" i="63"/>
  <c r="T35" i="63"/>
  <c r="S35" i="63"/>
  <c r="R39" i="63"/>
  <c r="Q39" i="63"/>
  <c r="E33" i="14"/>
  <c r="C50" i="63"/>
  <c r="F5" i="14"/>
  <c r="L50" i="63"/>
  <c r="K50" i="63"/>
  <c r="P50" i="63"/>
  <c r="O50" i="63"/>
  <c r="T50" i="63"/>
  <c r="S50" i="63"/>
  <c r="E33" i="9"/>
  <c r="C55" i="63" s="1"/>
  <c r="F5" i="9"/>
  <c r="L55" i="63"/>
  <c r="K55" i="63"/>
  <c r="P55" i="63"/>
  <c r="O55" i="63"/>
  <c r="T55" i="63"/>
  <c r="S55" i="63"/>
  <c r="L60" i="63"/>
  <c r="K60" i="63"/>
  <c r="P60" i="63"/>
  <c r="O60" i="63"/>
  <c r="T60" i="63"/>
  <c r="S60" i="63"/>
  <c r="E33" i="1"/>
  <c r="C63" i="63" s="1"/>
  <c r="F5" i="1"/>
  <c r="J63" i="63"/>
  <c r="I63" i="63"/>
  <c r="H63" i="63"/>
  <c r="G63" i="63"/>
  <c r="R63" i="63"/>
  <c r="Q63" i="63"/>
  <c r="V63" i="63"/>
  <c r="U63" i="63"/>
  <c r="E33" i="49"/>
  <c r="C15" i="63" s="1"/>
  <c r="F5" i="49"/>
  <c r="L15" i="63"/>
  <c r="K15" i="63"/>
  <c r="P15" i="63"/>
  <c r="O15" i="63"/>
  <c r="T15" i="63"/>
  <c r="S15" i="63"/>
  <c r="J10" i="63"/>
  <c r="I10" i="63"/>
  <c r="H10" i="63"/>
  <c r="G10" i="63"/>
  <c r="R10" i="63"/>
  <c r="Q10" i="63"/>
  <c r="V10" i="63"/>
  <c r="U10" i="63"/>
  <c r="L21" i="63"/>
  <c r="K21" i="63"/>
  <c r="P21" i="63"/>
  <c r="O21" i="63"/>
  <c r="V21" i="63"/>
  <c r="U21" i="63"/>
  <c r="J23" i="63"/>
  <c r="I23" i="63"/>
  <c r="H23" i="63"/>
  <c r="G23" i="63"/>
  <c r="R23" i="63"/>
  <c r="Q23" i="63"/>
  <c r="V23" i="63"/>
  <c r="U23" i="63"/>
  <c r="J25" i="63"/>
  <c r="I25" i="63"/>
  <c r="H25" i="63"/>
  <c r="G25" i="63"/>
  <c r="R25" i="63"/>
  <c r="Q25" i="63"/>
  <c r="V25" i="63"/>
  <c r="U25" i="63"/>
  <c r="J27" i="63"/>
  <c r="I27" i="63"/>
  <c r="H27" i="63"/>
  <c r="G27" i="63"/>
  <c r="R27" i="63"/>
  <c r="Q27" i="63"/>
  <c r="V27" i="63"/>
  <c r="U27" i="63"/>
  <c r="J29" i="63"/>
  <c r="I29" i="63"/>
  <c r="H29" i="63"/>
  <c r="G29" i="63"/>
  <c r="R29" i="63"/>
  <c r="Q29" i="63"/>
  <c r="V29" i="63"/>
  <c r="U29" i="63"/>
  <c r="J31" i="63"/>
  <c r="I31" i="63"/>
  <c r="H31" i="63"/>
  <c r="G31" i="63"/>
  <c r="R31" i="63"/>
  <c r="Q31" i="63"/>
  <c r="E33" i="33"/>
  <c r="C31" i="63" s="1"/>
  <c r="F5" i="33"/>
  <c r="L41" i="63"/>
  <c r="K41" i="63"/>
  <c r="P41" i="63"/>
  <c r="O41" i="63"/>
  <c r="T41" i="63"/>
  <c r="S41" i="63"/>
  <c r="E33" i="23"/>
  <c r="C41" i="63" s="1"/>
  <c r="F5" i="23"/>
  <c r="R46" i="63"/>
  <c r="Q46" i="63"/>
  <c r="E33" i="45"/>
  <c r="C19" i="63" s="1"/>
  <c r="F5" i="45"/>
  <c r="L19" i="63"/>
  <c r="K19" i="63"/>
  <c r="P19" i="63"/>
  <c r="O19" i="63"/>
  <c r="T19" i="63"/>
  <c r="S19" i="63"/>
  <c r="E33" i="47"/>
  <c r="C17" i="63" s="1"/>
  <c r="F5" i="47"/>
  <c r="L17" i="63"/>
  <c r="K17" i="63"/>
  <c r="P17" i="63"/>
  <c r="O17" i="63"/>
  <c r="T17" i="63"/>
  <c r="S17" i="63"/>
  <c r="E33" i="30"/>
  <c r="C34" i="63" s="1"/>
  <c r="F5" i="30"/>
  <c r="J34" i="63"/>
  <c r="I34" i="63"/>
  <c r="H34" i="63"/>
  <c r="G34" i="63"/>
  <c r="R34" i="63"/>
  <c r="Q34" i="63"/>
  <c r="V34" i="63"/>
  <c r="U34" i="63"/>
  <c r="E33" i="5"/>
  <c r="C59" i="63" s="1"/>
  <c r="F5" i="5"/>
  <c r="R59" i="63"/>
  <c r="Q59" i="63"/>
  <c r="J62" i="63"/>
  <c r="I62" i="63"/>
  <c r="H62" i="63"/>
  <c r="G62" i="63"/>
  <c r="R62" i="63"/>
  <c r="Q62" i="63"/>
  <c r="V62" i="63"/>
  <c r="U62" i="63"/>
  <c r="L16" i="63"/>
  <c r="K16" i="63"/>
  <c r="P16" i="63"/>
  <c r="O16" i="63"/>
  <c r="T16" i="63"/>
  <c r="S16" i="63"/>
  <c r="E33" i="48"/>
  <c r="C16" i="63" s="1"/>
  <c r="F5" i="48"/>
  <c r="J26" i="63"/>
  <c r="I26" i="63"/>
  <c r="H26" i="63"/>
  <c r="G26" i="63"/>
  <c r="R26" i="63"/>
  <c r="Q26" i="63"/>
  <c r="V26" i="63"/>
  <c r="U26" i="63"/>
  <c r="J24" i="63"/>
  <c r="I24" i="63"/>
  <c r="H24" i="63"/>
  <c r="G24" i="63"/>
  <c r="R24" i="63"/>
  <c r="Q24" i="63"/>
  <c r="E33" i="26"/>
  <c r="C38" i="63" s="1"/>
  <c r="F5" i="26"/>
  <c r="L38" i="63"/>
  <c r="K38" i="63"/>
  <c r="P38" i="63"/>
  <c r="O38" i="63"/>
  <c r="T38" i="63"/>
  <c r="S38" i="63"/>
  <c r="J37" i="63"/>
  <c r="I37" i="63"/>
  <c r="H37" i="63"/>
  <c r="G37" i="63"/>
  <c r="R37" i="63"/>
  <c r="Q37" i="63"/>
  <c r="V37" i="63"/>
  <c r="U37" i="63"/>
  <c r="E33" i="10"/>
  <c r="C54" i="63" s="1"/>
  <c r="F5" i="10"/>
  <c r="L54" i="63"/>
  <c r="K54" i="63"/>
  <c r="P54" i="63"/>
  <c r="O54" i="63"/>
  <c r="T54" i="63"/>
  <c r="S54" i="63"/>
  <c r="L56" i="63"/>
  <c r="K56" i="63"/>
  <c r="P56" i="63"/>
  <c r="O56" i="63"/>
  <c r="T56" i="63"/>
  <c r="S56" i="63"/>
  <c r="E33" i="8"/>
  <c r="C56" i="63" s="1"/>
  <c r="F5" i="8"/>
  <c r="E33" i="51"/>
  <c r="C13" i="63" s="1"/>
  <c r="F5" i="51"/>
  <c r="L13" i="63"/>
  <c r="K13" i="63"/>
  <c r="P13" i="63"/>
  <c r="O13" i="63"/>
  <c r="T13" i="63"/>
  <c r="S13" i="63"/>
  <c r="J12" i="63"/>
  <c r="I12" i="63"/>
  <c r="H12" i="63"/>
  <c r="G12" i="63"/>
  <c r="R12" i="63"/>
  <c r="Q12" i="63"/>
  <c r="E33" i="52"/>
  <c r="C12" i="63" s="1"/>
  <c r="F5" i="52"/>
  <c r="L14" i="63"/>
  <c r="K14" i="63"/>
  <c r="P14" i="63"/>
  <c r="O14" i="63"/>
  <c r="T14" i="63"/>
  <c r="S14" i="63"/>
  <c r="E33" i="50"/>
  <c r="C14" i="63" s="1"/>
  <c r="F5" i="50"/>
  <c r="L18" i="63"/>
  <c r="K18" i="63"/>
  <c r="P18" i="63"/>
  <c r="O18" i="63"/>
  <c r="T18" i="63"/>
  <c r="S18" i="63"/>
  <c r="E33" i="46"/>
  <c r="C18" i="63" s="1"/>
  <c r="F5" i="46"/>
  <c r="J42" i="63"/>
  <c r="I42" i="63"/>
  <c r="H42" i="63"/>
  <c r="G42" i="63"/>
  <c r="R42" i="63"/>
  <c r="Q42" i="63"/>
  <c r="J51" i="63"/>
  <c r="I51" i="63"/>
  <c r="H51" i="63"/>
  <c r="G51" i="63"/>
  <c r="R51" i="63"/>
  <c r="Q51" i="63"/>
  <c r="V51" i="63"/>
  <c r="U51" i="63"/>
  <c r="J53" i="63"/>
  <c r="I53" i="63"/>
  <c r="H53" i="63"/>
  <c r="G53" i="63"/>
  <c r="R53" i="63"/>
  <c r="Q53" i="63"/>
  <c r="V53" i="63"/>
  <c r="U53" i="63"/>
  <c r="J8" i="63"/>
  <c r="I8" i="63"/>
  <c r="H8" i="63"/>
  <c r="G8" i="63"/>
  <c r="R8" i="63"/>
  <c r="Q8" i="63"/>
  <c r="V8" i="63"/>
  <c r="U8" i="63"/>
  <c r="E33" i="42"/>
  <c r="C22" i="63" s="1"/>
  <c r="F5" i="42"/>
  <c r="L22" i="63"/>
  <c r="K22" i="63"/>
  <c r="P22" i="63"/>
  <c r="O22" i="63"/>
  <c r="T22" i="63"/>
  <c r="S22" i="63"/>
  <c r="E33" i="24"/>
  <c r="C40" i="63" s="1"/>
  <c r="F5" i="24"/>
  <c r="L40" i="63"/>
  <c r="K40" i="63"/>
  <c r="P40" i="63"/>
  <c r="O40" i="63"/>
  <c r="T40" i="63"/>
  <c r="S40" i="63"/>
  <c r="E33" i="28"/>
  <c r="C36" i="63" s="1"/>
  <c r="F5" i="28"/>
  <c r="L36" i="63"/>
  <c r="K36" i="63"/>
  <c r="P36" i="63"/>
  <c r="O36" i="63"/>
  <c r="T36" i="63"/>
  <c r="S36" i="63"/>
  <c r="E33" i="19"/>
  <c r="C45" i="63" s="1"/>
  <c r="F5" i="19"/>
  <c r="L45" i="63"/>
  <c r="K45" i="63"/>
  <c r="P45" i="63"/>
  <c r="O45" i="63"/>
  <c r="V45" i="63"/>
  <c r="U45" i="63"/>
  <c r="J43" i="63"/>
  <c r="I43" i="63"/>
  <c r="H43" i="63"/>
  <c r="G43" i="63"/>
  <c r="R43" i="63"/>
  <c r="Q43" i="63"/>
  <c r="V43" i="63"/>
  <c r="U43" i="63"/>
  <c r="J9" i="63"/>
  <c r="I9" i="63"/>
  <c r="H9" i="63"/>
  <c r="G9" i="63"/>
  <c r="R9" i="63"/>
  <c r="Q9" i="63"/>
  <c r="V9" i="63"/>
  <c r="U9" i="63"/>
  <c r="E33" i="34"/>
  <c r="C30" i="63" s="1"/>
  <c r="F5" i="34"/>
  <c r="L30" i="63"/>
  <c r="K30" i="63"/>
  <c r="P30" i="63"/>
  <c r="O30" i="63"/>
  <c r="T30" i="63"/>
  <c r="S30" i="63"/>
  <c r="P44" i="63"/>
  <c r="O44" i="63"/>
  <c r="E33" i="20"/>
  <c r="C44" i="63" s="1"/>
  <c r="F5" i="20"/>
  <c r="R48" i="63"/>
  <c r="Q48" i="63"/>
  <c r="E33" i="7"/>
  <c r="C57" i="63" s="1"/>
  <c r="F5" i="7"/>
  <c r="J57" i="63"/>
  <c r="I57" i="63"/>
  <c r="H57" i="63"/>
  <c r="G57" i="63"/>
  <c r="R57" i="63"/>
  <c r="Q57" i="63"/>
  <c r="V57" i="63"/>
  <c r="U57" i="63"/>
  <c r="E33" i="6"/>
  <c r="C58" i="63" s="1"/>
  <c r="F5" i="6"/>
  <c r="L58" i="63"/>
  <c r="K58" i="63"/>
  <c r="P58" i="63"/>
  <c r="O58" i="63"/>
  <c r="T58" i="63"/>
  <c r="S58" i="63"/>
  <c r="F98" i="60" l="1"/>
  <c r="F100" i="60"/>
  <c r="F99" i="60"/>
  <c r="K64" i="63" s="1"/>
  <c r="F104" i="60"/>
  <c r="N64" i="62"/>
  <c r="R64" i="62"/>
  <c r="M65" i="62"/>
  <c r="F64" i="62"/>
  <c r="V64" i="62"/>
  <c r="I65" i="62"/>
  <c r="Q65" i="62"/>
  <c r="D64" i="62"/>
  <c r="L62" i="62"/>
  <c r="T62" i="62"/>
  <c r="G65" i="62"/>
  <c r="O63" i="62"/>
  <c r="W65" i="62"/>
  <c r="Q64" i="62"/>
  <c r="M64" i="62"/>
  <c r="I64" i="62"/>
  <c r="Z65" i="62"/>
  <c r="V65" i="62"/>
  <c r="R65" i="62"/>
  <c r="N65" i="62"/>
  <c r="J65" i="62"/>
  <c r="F65" i="62"/>
  <c r="W64" i="62"/>
  <c r="O62" i="62"/>
  <c r="G64" i="62"/>
  <c r="T63" i="62"/>
  <c r="L63" i="62"/>
  <c r="D65" i="62"/>
  <c r="F103" i="60"/>
  <c r="S64" i="63" s="1"/>
  <c r="U64" i="63"/>
  <c r="F102" i="60"/>
  <c r="Q64" i="63" s="1"/>
  <c r="G64" i="63"/>
  <c r="P64" i="62"/>
  <c r="C65" i="62"/>
  <c r="X65" i="62"/>
  <c r="C64" i="62"/>
  <c r="K64" i="62"/>
  <c r="S63" i="62"/>
  <c r="H65" i="62"/>
  <c r="P65" i="62"/>
  <c r="AA62" i="62"/>
  <c r="S62" i="62"/>
  <c r="H62" i="62"/>
  <c r="K62" i="62"/>
  <c r="C62" i="62"/>
  <c r="X63" i="62"/>
  <c r="P63" i="62"/>
  <c r="H63" i="62"/>
  <c r="L28" i="63"/>
  <c r="K28" i="63"/>
  <c r="T28" i="63"/>
  <c r="S28" i="63"/>
  <c r="H28" i="63"/>
  <c r="G28" i="63"/>
  <c r="J28" i="63"/>
  <c r="I28" i="63"/>
  <c r="V28" i="63"/>
  <c r="U28" i="63"/>
  <c r="E33" i="31"/>
  <c r="F5" i="31"/>
  <c r="C33" i="63"/>
  <c r="G33" i="63"/>
  <c r="H33" i="63"/>
  <c r="U33" i="63"/>
  <c r="V33" i="63"/>
  <c r="T33" i="63"/>
  <c r="S33" i="63"/>
  <c r="T32" i="63"/>
  <c r="S32" i="63"/>
  <c r="G32" i="63"/>
  <c r="H32" i="63"/>
  <c r="V32" i="63"/>
  <c r="U32" i="63"/>
  <c r="P32" i="63"/>
  <c r="O32" i="63"/>
  <c r="R28" i="63"/>
  <c r="Q28" i="63"/>
  <c r="P33" i="63"/>
  <c r="O33" i="63"/>
  <c r="I33" i="63"/>
  <c r="J33" i="63"/>
  <c r="Q33" i="63"/>
  <c r="R33" i="63"/>
  <c r="L33" i="63"/>
  <c r="K33" i="63"/>
  <c r="E33" i="32"/>
  <c r="C32" i="63" s="1"/>
  <c r="F5" i="32"/>
  <c r="L32" i="63"/>
  <c r="K32" i="63"/>
  <c r="I32" i="63"/>
  <c r="J32" i="63"/>
  <c r="J64" i="63" s="1"/>
  <c r="Q32" i="63"/>
  <c r="R32" i="63"/>
  <c r="E33" i="36"/>
  <c r="C28" i="63" s="1"/>
  <c r="F5" i="36"/>
  <c r="P28" i="63"/>
  <c r="P64" i="63" s="1"/>
  <c r="O28" i="63"/>
  <c r="E33" i="60"/>
  <c r="C64" i="63" s="1"/>
  <c r="B55" i="62"/>
  <c r="D55" i="65"/>
  <c r="E55" i="65" s="1"/>
  <c r="F33" i="6"/>
  <c r="AD55" i="62" s="1"/>
  <c r="B41" i="62"/>
  <c r="D41" i="65"/>
  <c r="E41" i="65" s="1"/>
  <c r="F33" i="20"/>
  <c r="AD41" i="62" s="1"/>
  <c r="B42" i="62"/>
  <c r="D42" i="65"/>
  <c r="E42" i="65" s="1"/>
  <c r="F33" i="19"/>
  <c r="AD42" i="62" s="1"/>
  <c r="B37" i="62"/>
  <c r="D37" i="65"/>
  <c r="E37" i="65" s="1"/>
  <c r="F33" i="24"/>
  <c r="AD37" i="62" s="1"/>
  <c r="D11" i="65"/>
  <c r="E11" i="65" s="1"/>
  <c r="F33" i="50"/>
  <c r="AD11" i="62" s="1"/>
  <c r="D10" i="65"/>
  <c r="E10" i="65" s="1"/>
  <c r="F33" i="51"/>
  <c r="AD10" i="62" s="1"/>
  <c r="D51" i="65"/>
  <c r="E51" i="65" s="1"/>
  <c r="F33" i="10"/>
  <c r="AD51" i="62" s="1"/>
  <c r="D13" i="65"/>
  <c r="E13" i="65" s="1"/>
  <c r="F33" i="48"/>
  <c r="AD13" i="62" s="1"/>
  <c r="B31" i="62"/>
  <c r="D16" i="65"/>
  <c r="E16" i="65" s="1"/>
  <c r="F33" i="45"/>
  <c r="AD16" i="62" s="1"/>
  <c r="D28" i="65"/>
  <c r="E28" i="65" s="1"/>
  <c r="F33" i="33"/>
  <c r="AD28" i="62" s="1"/>
  <c r="D60" i="65"/>
  <c r="E60" i="65" s="1"/>
  <c r="F33" i="1"/>
  <c r="AD60" i="62" s="1"/>
  <c r="B47" i="62"/>
  <c r="D47" i="65"/>
  <c r="E47" i="65" s="1"/>
  <c r="F33" i="14"/>
  <c r="AD47" i="62" s="1"/>
  <c r="B45" i="62"/>
  <c r="D45" i="65"/>
  <c r="E45" i="65" s="1"/>
  <c r="F33" i="16"/>
  <c r="AD45" i="62" s="1"/>
  <c r="B40" i="62"/>
  <c r="D40" i="65"/>
  <c r="E40" i="65" s="1"/>
  <c r="F33" i="21"/>
  <c r="AD40" i="62" s="1"/>
  <c r="B50" i="62"/>
  <c r="D50" i="65"/>
  <c r="E50" i="65" s="1"/>
  <c r="F33" i="11"/>
  <c r="AD50" i="62" s="1"/>
  <c r="B39" i="62"/>
  <c r="D39" i="65"/>
  <c r="E39" i="65" s="1"/>
  <c r="F33" i="22"/>
  <c r="AD39" i="62" s="1"/>
  <c r="B34" i="62"/>
  <c r="D34" i="65"/>
  <c r="E34" i="65" s="1"/>
  <c r="F33" i="27"/>
  <c r="AD34" i="62" s="1"/>
  <c r="B23" i="62"/>
  <c r="D23" i="65"/>
  <c r="E23" i="65" s="1"/>
  <c r="F33" i="38"/>
  <c r="AD23" i="62" s="1"/>
  <c r="B43" i="62"/>
  <c r="D43" i="65"/>
  <c r="E43" i="65" s="1"/>
  <c r="F33" i="18"/>
  <c r="AD43" i="62" s="1"/>
  <c r="B24" i="62"/>
  <c r="D24" i="65"/>
  <c r="E24" i="65" s="1"/>
  <c r="F33" i="37"/>
  <c r="AD24" i="62" s="1"/>
  <c r="B20" i="62"/>
  <c r="D20" i="65"/>
  <c r="E20" i="65" s="1"/>
  <c r="F33" i="41"/>
  <c r="AD20" i="62" s="1"/>
  <c r="B7" i="62"/>
  <c r="D7" i="65"/>
  <c r="E7" i="65" s="1"/>
  <c r="F33" i="54"/>
  <c r="AD7" i="62" s="1"/>
  <c r="B36" i="62"/>
  <c r="D36" i="65"/>
  <c r="E36" i="65" s="1"/>
  <c r="F33" i="25"/>
  <c r="AD36" i="62" s="1"/>
  <c r="B49" i="62"/>
  <c r="D49" i="65"/>
  <c r="E49" i="65" s="1"/>
  <c r="F33" i="12"/>
  <c r="AD49" i="62" s="1"/>
  <c r="B44" i="62"/>
  <c r="D44" i="65"/>
  <c r="E44" i="65" s="1"/>
  <c r="F33" i="17"/>
  <c r="AD44" i="62" s="1"/>
  <c r="B11" i="62"/>
  <c r="B10" i="62"/>
  <c r="B51" i="62"/>
  <c r="B13" i="62"/>
  <c r="D31" i="65"/>
  <c r="E31" i="65" s="1"/>
  <c r="F33" i="30"/>
  <c r="AD31" i="62" s="1"/>
  <c r="B16" i="62"/>
  <c r="B28" i="62"/>
  <c r="B60" i="62"/>
  <c r="B54" i="62"/>
  <c r="D54" i="65"/>
  <c r="E54" i="65" s="1"/>
  <c r="F33" i="7"/>
  <c r="AD54" i="62" s="1"/>
  <c r="B27" i="62"/>
  <c r="D27" i="65"/>
  <c r="E27" i="65" s="1"/>
  <c r="F33" i="34"/>
  <c r="AD27" i="62" s="1"/>
  <c r="B33" i="62"/>
  <c r="D33" i="65"/>
  <c r="E33" i="65" s="1"/>
  <c r="F33" i="28"/>
  <c r="AD33" i="62" s="1"/>
  <c r="B19" i="62"/>
  <c r="D19" i="65"/>
  <c r="E19" i="65" s="1"/>
  <c r="F33" i="42"/>
  <c r="AD19" i="62" s="1"/>
  <c r="H64" i="63"/>
  <c r="I64" i="63"/>
  <c r="B15" i="62"/>
  <c r="D15" i="65"/>
  <c r="E15" i="65" s="1"/>
  <c r="F33" i="46"/>
  <c r="AD15" i="62" s="1"/>
  <c r="B9" i="62"/>
  <c r="D9" i="65"/>
  <c r="E9" i="65" s="1"/>
  <c r="F33" i="52"/>
  <c r="AD9" i="62" s="1"/>
  <c r="B53" i="62"/>
  <c r="D53" i="65"/>
  <c r="E53" i="65" s="1"/>
  <c r="F33" i="8"/>
  <c r="AD53" i="62" s="1"/>
  <c r="B35" i="62"/>
  <c r="D35" i="65"/>
  <c r="E35" i="65" s="1"/>
  <c r="F33" i="26"/>
  <c r="AD35" i="62" s="1"/>
  <c r="B56" i="62"/>
  <c r="D56" i="65"/>
  <c r="E56" i="65" s="1"/>
  <c r="F33" i="5"/>
  <c r="AD56" i="62" s="1"/>
  <c r="B14" i="62"/>
  <c r="D14" i="65"/>
  <c r="E14" i="65" s="1"/>
  <c r="F33" i="47"/>
  <c r="AD14" i="62" s="1"/>
  <c r="B38" i="62"/>
  <c r="D38" i="65"/>
  <c r="E38" i="65" s="1"/>
  <c r="F33" i="23"/>
  <c r="AD38" i="62" s="1"/>
  <c r="B12" i="62"/>
  <c r="D12" i="65"/>
  <c r="E12" i="65" s="1"/>
  <c r="F33" i="49"/>
  <c r="AD12" i="62" s="1"/>
  <c r="B52" i="62"/>
  <c r="D52" i="65"/>
  <c r="E52" i="65" s="1"/>
  <c r="F33" i="9"/>
  <c r="AD52" i="62" s="1"/>
  <c r="B32" i="62"/>
  <c r="D32" i="65"/>
  <c r="E32" i="65" s="1"/>
  <c r="F33" i="29"/>
  <c r="AD32" i="62" s="1"/>
  <c r="B4" i="62"/>
  <c r="D4" i="65"/>
  <c r="F33" i="57"/>
  <c r="AD4" i="62" s="1"/>
  <c r="B6" i="62"/>
  <c r="D6" i="65"/>
  <c r="E6" i="65" s="1"/>
  <c r="F33" i="55"/>
  <c r="AD6" i="62" s="1"/>
  <c r="B5" i="62"/>
  <c r="D5" i="65"/>
  <c r="E5" i="65" s="1"/>
  <c r="F33" i="56"/>
  <c r="AD5" i="62" s="1"/>
  <c r="L64" i="63"/>
  <c r="B48" i="62"/>
  <c r="D48" i="65"/>
  <c r="E48" i="65" s="1"/>
  <c r="F33" i="13"/>
  <c r="AD48" i="62" s="1"/>
  <c r="B21" i="62"/>
  <c r="D21" i="65"/>
  <c r="E21" i="65" s="1"/>
  <c r="F33" i="40"/>
  <c r="AD21" i="62" s="1"/>
  <c r="B59" i="62"/>
  <c r="D59" i="65"/>
  <c r="E59" i="65" s="1"/>
  <c r="F33" i="59"/>
  <c r="AD59" i="62" s="1"/>
  <c r="B26" i="62"/>
  <c r="D26" i="65"/>
  <c r="E26" i="65" s="1"/>
  <c r="F33" i="35"/>
  <c r="AD26" i="62" s="1"/>
  <c r="B22" i="62"/>
  <c r="D22" i="65"/>
  <c r="E22" i="65" s="1"/>
  <c r="F33" i="39"/>
  <c r="AD22" i="62" s="1"/>
  <c r="B18" i="62"/>
  <c r="D18" i="65"/>
  <c r="E18" i="65" s="1"/>
  <c r="F33" i="43"/>
  <c r="AD18" i="62" s="1"/>
  <c r="B57" i="62"/>
  <c r="D57" i="65"/>
  <c r="E57" i="65" s="1"/>
  <c r="F33" i="4"/>
  <c r="AD57" i="62" s="1"/>
  <c r="B8" i="62"/>
  <c r="D8" i="65"/>
  <c r="E8" i="65" s="1"/>
  <c r="F33" i="53"/>
  <c r="AD8" i="62" s="1"/>
  <c r="B58" i="62"/>
  <c r="D58" i="65"/>
  <c r="E58" i="65" s="1"/>
  <c r="F33" i="3"/>
  <c r="AD58" i="62" s="1"/>
  <c r="B46" i="62"/>
  <c r="D46" i="65"/>
  <c r="E46" i="65" s="1"/>
  <c r="F33" i="15"/>
  <c r="AD46" i="62" s="1"/>
  <c r="B17" i="62"/>
  <c r="D17" i="65"/>
  <c r="E17" i="65" s="1"/>
  <c r="F33" i="44"/>
  <c r="AD17" i="62" s="1"/>
  <c r="R64" i="63" l="1"/>
  <c r="D13" i="63"/>
  <c r="D16" i="63"/>
  <c r="D54" i="63"/>
  <c r="D14" i="63"/>
  <c r="V64" i="63"/>
  <c r="T64" i="63"/>
  <c r="F105" i="60"/>
  <c r="D63" i="63"/>
  <c r="D31" i="63"/>
  <c r="D19" i="63"/>
  <c r="D60" i="63"/>
  <c r="D20" i="63"/>
  <c r="D62" i="63"/>
  <c r="D24" i="63"/>
  <c r="D22" i="63"/>
  <c r="D36" i="63"/>
  <c r="D30" i="63"/>
  <c r="D52" i="63"/>
  <c r="D48" i="63"/>
  <c r="D35" i="63"/>
  <c r="D55" i="63"/>
  <c r="D15" i="63"/>
  <c r="D41" i="63"/>
  <c r="D17" i="63"/>
  <c r="D59" i="63"/>
  <c r="D39" i="63"/>
  <c r="D23" i="63"/>
  <c r="D27" i="63"/>
  <c r="D37" i="63"/>
  <c r="D53" i="63"/>
  <c r="D45" i="63"/>
  <c r="D9" i="63"/>
  <c r="D7" i="63"/>
  <c r="D49" i="63"/>
  <c r="D61" i="63"/>
  <c r="D11" i="63"/>
  <c r="D21" i="63"/>
  <c r="D25" i="63"/>
  <c r="D29" i="63"/>
  <c r="D51" i="63"/>
  <c r="D8" i="63"/>
  <c r="D38" i="63"/>
  <c r="D56" i="63"/>
  <c r="D12" i="63"/>
  <c r="D18" i="63"/>
  <c r="D57" i="63"/>
  <c r="D47" i="63"/>
  <c r="D10" i="63"/>
  <c r="D46" i="63"/>
  <c r="D26" i="63"/>
  <c r="D42" i="63"/>
  <c r="D43" i="63"/>
  <c r="D50" i="63"/>
  <c r="D34" i="63"/>
  <c r="D40" i="63"/>
  <c r="D44" i="63"/>
  <c r="D58" i="63"/>
  <c r="D25" i="65"/>
  <c r="E25" i="65" s="1"/>
  <c r="F33" i="36"/>
  <c r="AD25" i="62" s="1"/>
  <c r="B29" i="62"/>
  <c r="B30" i="62"/>
  <c r="B25" i="62"/>
  <c r="F33" i="32"/>
  <c r="AD29" i="62" s="1"/>
  <c r="D29" i="65"/>
  <c r="E29" i="65" s="1"/>
  <c r="F33" i="31"/>
  <c r="AD30" i="62" s="1"/>
  <c r="AD65" i="62" s="1"/>
  <c r="D30" i="65"/>
  <c r="E30" i="65" s="1"/>
  <c r="E4" i="65"/>
  <c r="B61" i="65"/>
  <c r="C61" i="65" s="1"/>
  <c r="F18" i="60"/>
  <c r="F11" i="60"/>
  <c r="F27" i="60"/>
  <c r="F12" i="60"/>
  <c r="F28" i="60"/>
  <c r="F21" i="60"/>
  <c r="F14" i="60"/>
  <c r="F30" i="60"/>
  <c r="F15" i="60"/>
  <c r="F16" i="60"/>
  <c r="F9" i="60"/>
  <c r="F25" i="60"/>
  <c r="F10" i="60"/>
  <c r="F26" i="60"/>
  <c r="F19" i="60"/>
  <c r="F20" i="60"/>
  <c r="F13" i="60"/>
  <c r="F29" i="60"/>
  <c r="F6" i="60"/>
  <c r="F22" i="60"/>
  <c r="F7" i="60"/>
  <c r="F23" i="60"/>
  <c r="F8" i="60"/>
  <c r="F24" i="60"/>
  <c r="F17" i="60"/>
  <c r="F5" i="60"/>
  <c r="F33" i="60"/>
  <c r="AD61" i="62" s="1"/>
  <c r="B62" i="62" l="1"/>
  <c r="AD64" i="62"/>
  <c r="B63" i="62"/>
  <c r="B64" i="62"/>
  <c r="B65" i="62"/>
  <c r="D61" i="65"/>
  <c r="E61" i="65" s="1"/>
  <c r="D28" i="63"/>
  <c r="D32" i="63"/>
  <c r="D33" i="63"/>
  <c r="AD63" i="62"/>
  <c r="AD62" i="62"/>
  <c r="B61" i="62"/>
  <c r="U61" i="62"/>
  <c r="T61" i="62"/>
  <c r="S61" i="62"/>
  <c r="Z61" i="62"/>
  <c r="Q61" i="62"/>
  <c r="W61" i="62"/>
  <c r="V61" i="62"/>
  <c r="M61" i="62"/>
  <c r="AA61" i="62"/>
  <c r="R61" i="62"/>
  <c r="I61" i="62"/>
  <c r="H61" i="62"/>
  <c r="N61" i="62"/>
  <c r="E61" i="62"/>
  <c r="D61" i="62"/>
  <c r="C61" i="62"/>
  <c r="J61" i="62"/>
  <c r="P61" i="62"/>
  <c r="G61" i="62"/>
  <c r="F61" i="62"/>
  <c r="L61" i="62"/>
  <c r="K61" i="62"/>
  <c r="Y61" i="62"/>
  <c r="X61" i="62"/>
  <c r="O61" i="62"/>
  <c r="D64" i="63" l="1"/>
</calcChain>
</file>

<file path=xl/connections.xml><?xml version="1.0" encoding="utf-8"?>
<connections xmlns="http://schemas.openxmlformats.org/spreadsheetml/2006/main">
  <connection id="1" keepAlive="1" name="Broadway AP_FRP_RFOE CCSurvey" type="5" refreshedVersion="4" deleted="1" background="1" saveData="1">
    <dbPr connection="" command="" commandType="3"/>
  </connection>
</connections>
</file>

<file path=xl/sharedStrings.xml><?xml version="1.0" encoding="utf-8"?>
<sst xmlns="http://schemas.openxmlformats.org/spreadsheetml/2006/main" count="9552" uniqueCount="1094">
  <si>
    <t>Agriculture</t>
  </si>
  <si>
    <t>Architecture and Precision Production Trades</t>
  </si>
  <si>
    <t>Biology, Physical Sciences, and Science Technology</t>
  </si>
  <si>
    <t>Business Management, Marketing, and Administrative Services</t>
  </si>
  <si>
    <t>Career Pilot</t>
  </si>
  <si>
    <t>Communications</t>
  </si>
  <si>
    <t>Computer and Information Sciences</t>
  </si>
  <si>
    <t>Construction Trades</t>
  </si>
  <si>
    <t>Consumer and Homemaking Education</t>
  </si>
  <si>
    <t>Engineering</t>
  </si>
  <si>
    <t>Engineering Related</t>
  </si>
  <si>
    <t>English Language, Lit, Philosophy, Humanities, &amp; Interdisciplinary</t>
  </si>
  <si>
    <t>Foreign Languages</t>
  </si>
  <si>
    <t>Health Occupations - Dental Hygiene</t>
  </si>
  <si>
    <t>Health Occupations - Other</t>
  </si>
  <si>
    <t>Health Occupations - Respiratory Therapy</t>
  </si>
  <si>
    <t>Health Occupations - Vocational Nursing</t>
  </si>
  <si>
    <t>Mathematics</t>
  </si>
  <si>
    <t>Mechanics and Repairers - Automotive</t>
  </si>
  <si>
    <t>Mechanics and Repairers - Electronics</t>
  </si>
  <si>
    <t>Physical Education and Fitness</t>
  </si>
  <si>
    <t>Protective Services and Public Administration</t>
  </si>
  <si>
    <t>Psychology, Social Sciences, and History</t>
  </si>
  <si>
    <t>Visual and Performing Arts</t>
  </si>
  <si>
    <t>Developmental Education - Math</t>
  </si>
  <si>
    <t>Developmental Education - Reading/Writing</t>
  </si>
  <si>
    <t>Fund</t>
  </si>
  <si>
    <t>Contact Hours</t>
  </si>
  <si>
    <t>Research</t>
  </si>
  <si>
    <t>Local Benefits</t>
  </si>
  <si>
    <t>Institutional Support</t>
  </si>
  <si>
    <t>Student Services</t>
  </si>
  <si>
    <t>Academic Support</t>
  </si>
  <si>
    <t>Scholarships and Fellowships</t>
  </si>
  <si>
    <t>Equipment Depreciation</t>
  </si>
  <si>
    <t>Total</t>
  </si>
  <si>
    <t>FICE</t>
  </si>
  <si>
    <t>Password</t>
  </si>
  <si>
    <t>Approved</t>
  </si>
  <si>
    <t>ApprovalDate</t>
  </si>
  <si>
    <t>LastMod</t>
  </si>
  <si>
    <t>CBNote</t>
  </si>
  <si>
    <t>dist_name</t>
  </si>
  <si>
    <t>person</t>
  </si>
  <si>
    <t>title</t>
  </si>
  <si>
    <t>phone</t>
  </si>
  <si>
    <t>email</t>
  </si>
  <si>
    <t>GrandTotal</t>
  </si>
  <si>
    <t>SecATotal</t>
  </si>
  <si>
    <t>SecBTotal</t>
  </si>
  <si>
    <t>AFRExb2</t>
  </si>
  <si>
    <t>Difference</t>
  </si>
  <si>
    <t>Sec2Local</t>
  </si>
  <si>
    <t>Sec2State</t>
  </si>
  <si>
    <t>Sec2_Total</t>
  </si>
  <si>
    <t>Sec3SW1</t>
  </si>
  <si>
    <t>Sec3SW2</t>
  </si>
  <si>
    <t>Sec3SW3</t>
  </si>
  <si>
    <t>Sec3SW4</t>
  </si>
  <si>
    <t>Sec3SW5</t>
  </si>
  <si>
    <t>Sec3SW6</t>
  </si>
  <si>
    <t>Sec3SWTotal</t>
  </si>
  <si>
    <t>Sec3Oth1</t>
  </si>
  <si>
    <t>Sec3Oth2</t>
  </si>
  <si>
    <t>Sec3Oth3</t>
  </si>
  <si>
    <t>Sec3Oth4</t>
  </si>
  <si>
    <t>Sec3Oth5</t>
  </si>
  <si>
    <t>Sec3Oth6</t>
  </si>
  <si>
    <t>Sec3OthTotal</t>
  </si>
  <si>
    <t>Sec3_1</t>
  </si>
  <si>
    <t>Sec3_2</t>
  </si>
  <si>
    <t>Sec3_3</t>
  </si>
  <si>
    <t>Sec3_4</t>
  </si>
  <si>
    <t>Sec3_5</t>
  </si>
  <si>
    <t>Sec3_6</t>
  </si>
  <si>
    <t>Sec3_Total</t>
  </si>
  <si>
    <t>Sec4SW1</t>
  </si>
  <si>
    <t>Sec4SW2</t>
  </si>
  <si>
    <t>Sec4SW3</t>
  </si>
  <si>
    <t>Sec4SW4</t>
  </si>
  <si>
    <t>Sec4SWTotal</t>
  </si>
  <si>
    <t>Sec4Oth1</t>
  </si>
  <si>
    <t>Sec4Oth2</t>
  </si>
  <si>
    <t>Sec4Oth3</t>
  </si>
  <si>
    <t>Sec4Oth4</t>
  </si>
  <si>
    <t>Sec4OthTotal</t>
  </si>
  <si>
    <t>Sec4_1</t>
  </si>
  <si>
    <t>Sec4_2</t>
  </si>
  <si>
    <t>Sec4_3</t>
  </si>
  <si>
    <t>Sec4_4</t>
  </si>
  <si>
    <t>Sec4_Total</t>
  </si>
  <si>
    <t>Sec5SW1</t>
  </si>
  <si>
    <t>Sec5SW2</t>
  </si>
  <si>
    <t>Sec5SW3</t>
  </si>
  <si>
    <t>Sec5SW4</t>
  </si>
  <si>
    <t>Sec5SW5</t>
  </si>
  <si>
    <t>Sec5SWTotal</t>
  </si>
  <si>
    <t>Sec5SB1</t>
  </si>
  <si>
    <t>Sec5SB2</t>
  </si>
  <si>
    <t>Sec5SB3</t>
  </si>
  <si>
    <t>Sec5SB4</t>
  </si>
  <si>
    <t>Sec5SB5</t>
  </si>
  <si>
    <t>Sec5SBTotal</t>
  </si>
  <si>
    <t>Sec5Oth1</t>
  </si>
  <si>
    <t>Sec5Oth2</t>
  </si>
  <si>
    <t>Sec5Oth3</t>
  </si>
  <si>
    <t>Sec5Oth4</t>
  </si>
  <si>
    <t>Sec5Oth5</t>
  </si>
  <si>
    <t>Sec5OthTotal</t>
  </si>
  <si>
    <t>Sec5_1</t>
  </si>
  <si>
    <t>Sec5_2</t>
  </si>
  <si>
    <t>Sec5_3</t>
  </si>
  <si>
    <t>Sec5_4</t>
  </si>
  <si>
    <t>Sec5_5</t>
  </si>
  <si>
    <t>Sec5_Total</t>
  </si>
  <si>
    <t>Sec6SW1</t>
  </si>
  <si>
    <t>Sec6SW2</t>
  </si>
  <si>
    <t>Sec6SW3</t>
  </si>
  <si>
    <t>Sec6SWTotal</t>
  </si>
  <si>
    <t>Sec6SB1</t>
  </si>
  <si>
    <t>Sec6SB2</t>
  </si>
  <si>
    <t>Sec6SB3</t>
  </si>
  <si>
    <t>Sec6SBTotal</t>
  </si>
  <si>
    <t>Sec6Oth1</t>
  </si>
  <si>
    <t>Sec6Oth2</t>
  </si>
  <si>
    <t>Sec6Oth3</t>
  </si>
  <si>
    <t>Sec6OthTotal</t>
  </si>
  <si>
    <t>Sec6_1</t>
  </si>
  <si>
    <t>Sec6_2</t>
  </si>
  <si>
    <t>Sec6_3</t>
  </si>
  <si>
    <t>Sec6_Total</t>
  </si>
  <si>
    <t>FICE_Link</t>
  </si>
  <si>
    <t>LocalBenefits</t>
  </si>
  <si>
    <t>StateBenefits</t>
  </si>
  <si>
    <t>HRS1</t>
  </si>
  <si>
    <t>HRS2</t>
  </si>
  <si>
    <t>HRS3</t>
  </si>
  <si>
    <t>HRS4</t>
  </si>
  <si>
    <t>HRS5</t>
  </si>
  <si>
    <t>HRS6</t>
  </si>
  <si>
    <t>HRS7</t>
  </si>
  <si>
    <t>HRS8</t>
  </si>
  <si>
    <t>HRS9</t>
  </si>
  <si>
    <t>HRS10</t>
  </si>
  <si>
    <t>HRS11</t>
  </si>
  <si>
    <t>HRS12</t>
  </si>
  <si>
    <t>HRS13</t>
  </si>
  <si>
    <t>HRS14</t>
  </si>
  <si>
    <t>HRS15</t>
  </si>
  <si>
    <t>HRS16</t>
  </si>
  <si>
    <t>HRS17</t>
  </si>
  <si>
    <t>HRS18</t>
  </si>
  <si>
    <t>HRS19</t>
  </si>
  <si>
    <t>HRS20</t>
  </si>
  <si>
    <t>HRS21</t>
  </si>
  <si>
    <t>HRS22</t>
  </si>
  <si>
    <t>HRS23</t>
  </si>
  <si>
    <t>HRS24</t>
  </si>
  <si>
    <t>HRS25</t>
  </si>
  <si>
    <t>HRS26</t>
  </si>
  <si>
    <t>HRS27</t>
  </si>
  <si>
    <t>HRS28</t>
  </si>
  <si>
    <t>HRS29</t>
  </si>
  <si>
    <t>HRSTotal</t>
  </si>
  <si>
    <t>FacSal1</t>
  </si>
  <si>
    <t>FacSal2</t>
  </si>
  <si>
    <t>FacSal3</t>
  </si>
  <si>
    <t>FacSal4</t>
  </si>
  <si>
    <t>FacSal5</t>
  </si>
  <si>
    <t>FacSal6</t>
  </si>
  <si>
    <t>FacSal7</t>
  </si>
  <si>
    <t>FacSal8</t>
  </si>
  <si>
    <t>FacSal9</t>
  </si>
  <si>
    <t>FacSal10</t>
  </si>
  <si>
    <t>FacSal11</t>
  </si>
  <si>
    <t>FacSal12</t>
  </si>
  <si>
    <t>FacSal13</t>
  </si>
  <si>
    <t>FacSal14</t>
  </si>
  <si>
    <t>FacSal15</t>
  </si>
  <si>
    <t>FacSal16</t>
  </si>
  <si>
    <t>FacSal17</t>
  </si>
  <si>
    <t>FacSal18</t>
  </si>
  <si>
    <t>FacSal19</t>
  </si>
  <si>
    <t>FacSal20</t>
  </si>
  <si>
    <t>FacSal21</t>
  </si>
  <si>
    <t>FacSal22</t>
  </si>
  <si>
    <t>FacSal23</t>
  </si>
  <si>
    <t>FacSal24</t>
  </si>
  <si>
    <t>FacSal25</t>
  </si>
  <si>
    <t>FacSal26</t>
  </si>
  <si>
    <t>FacSal27</t>
  </si>
  <si>
    <t>FacSal28</t>
  </si>
  <si>
    <t>FacSal29</t>
  </si>
  <si>
    <t>FacSalTotal</t>
  </si>
  <si>
    <t>OthSal1</t>
  </si>
  <si>
    <t>OthSal2</t>
  </si>
  <si>
    <t>OthSal3</t>
  </si>
  <si>
    <t>OthSal4</t>
  </si>
  <si>
    <t>OthSal5</t>
  </si>
  <si>
    <t>OthSal6</t>
  </si>
  <si>
    <t>OthSal7</t>
  </si>
  <si>
    <t>OthSal8</t>
  </si>
  <si>
    <t>OthSal9</t>
  </si>
  <si>
    <t>OthSal10</t>
  </si>
  <si>
    <t>OthSal11</t>
  </si>
  <si>
    <t>OthSal12</t>
  </si>
  <si>
    <t>OthSal13</t>
  </si>
  <si>
    <t>OthSal14</t>
  </si>
  <si>
    <t>OthSal15</t>
  </si>
  <si>
    <t>OthSal16</t>
  </si>
  <si>
    <t>OthSal17</t>
  </si>
  <si>
    <t>OthSal18</t>
  </si>
  <si>
    <t>OthSal19</t>
  </si>
  <si>
    <t>OthSal20</t>
  </si>
  <si>
    <t>OthSal21</t>
  </si>
  <si>
    <t>OthSal22</t>
  </si>
  <si>
    <t>OthSal23</t>
  </si>
  <si>
    <t>OthSal24</t>
  </si>
  <si>
    <t>OthSal25</t>
  </si>
  <si>
    <t>OthSal26</t>
  </si>
  <si>
    <t>OthSal27</t>
  </si>
  <si>
    <t>OthSal28</t>
  </si>
  <si>
    <t>OthSal29</t>
  </si>
  <si>
    <t>OthSalTotal</t>
  </si>
  <si>
    <t>Benefits1</t>
  </si>
  <si>
    <t>Benefits2</t>
  </si>
  <si>
    <t>Benefits3</t>
  </si>
  <si>
    <t>Benefits4</t>
  </si>
  <si>
    <t>Benefits5</t>
  </si>
  <si>
    <t>Benefits6</t>
  </si>
  <si>
    <t>Benefits7</t>
  </si>
  <si>
    <t>Benefits8</t>
  </si>
  <si>
    <t>Benefits9</t>
  </si>
  <si>
    <t>Benefits10</t>
  </si>
  <si>
    <t>Benefits11</t>
  </si>
  <si>
    <t>Benefits12</t>
  </si>
  <si>
    <t>Benefits13</t>
  </si>
  <si>
    <t>Benefits14</t>
  </si>
  <si>
    <t>Benefits15</t>
  </si>
  <si>
    <t>Benefits16</t>
  </si>
  <si>
    <t>Benefits17</t>
  </si>
  <si>
    <t>Benefits18</t>
  </si>
  <si>
    <t>Benefits19</t>
  </si>
  <si>
    <t>Benefits20</t>
  </si>
  <si>
    <t>Benefits21</t>
  </si>
  <si>
    <t>Benefits22</t>
  </si>
  <si>
    <t>Benefits23</t>
  </si>
  <si>
    <t>Benefits24</t>
  </si>
  <si>
    <t>Benefits25</t>
  </si>
  <si>
    <t>Benefits26</t>
  </si>
  <si>
    <t>Benefits27</t>
  </si>
  <si>
    <t>Benefits28</t>
  </si>
  <si>
    <t>Benefits29</t>
  </si>
  <si>
    <t>BenefitsTotal</t>
  </si>
  <si>
    <t>OtherOps1</t>
  </si>
  <si>
    <t>OtherOps2</t>
  </si>
  <si>
    <t>OtherOps3</t>
  </si>
  <si>
    <t>OtherOps4</t>
  </si>
  <si>
    <t>OtherOps5</t>
  </si>
  <si>
    <t>OtherOps6</t>
  </si>
  <si>
    <t>OtherOps7</t>
  </si>
  <si>
    <t>OtherOps8</t>
  </si>
  <si>
    <t>OtherOps9</t>
  </si>
  <si>
    <t>OtherOps10</t>
  </si>
  <si>
    <t>OtherOps11</t>
  </si>
  <si>
    <t>OtherOps12</t>
  </si>
  <si>
    <t>OtherOps13</t>
  </si>
  <si>
    <t>OtherOps14</t>
  </si>
  <si>
    <t>OtherOps15</t>
  </si>
  <si>
    <t>OtherOps16</t>
  </si>
  <si>
    <t>OtherOps17</t>
  </si>
  <si>
    <t>OtherOps18</t>
  </si>
  <si>
    <t>OtherOps19</t>
  </si>
  <si>
    <t>OtherOps20</t>
  </si>
  <si>
    <t>OtherOps21</t>
  </si>
  <si>
    <t>OtherOps22</t>
  </si>
  <si>
    <t>OtherOps23</t>
  </si>
  <si>
    <t>OtherOps24</t>
  </si>
  <si>
    <t>OtherOps25</t>
  </si>
  <si>
    <t>OtherOps26</t>
  </si>
  <si>
    <t>OtherOps27</t>
  </si>
  <si>
    <t>OtherOps28</t>
  </si>
  <si>
    <t>OtherOps29</t>
  </si>
  <si>
    <t>OtherOpsTotal</t>
  </si>
  <si>
    <t>DOE1</t>
  </si>
  <si>
    <t>DOE2</t>
  </si>
  <si>
    <t>DOE3</t>
  </si>
  <si>
    <t>DOE4</t>
  </si>
  <si>
    <t>DOE5</t>
  </si>
  <si>
    <t>DOE6</t>
  </si>
  <si>
    <t>DOE7</t>
  </si>
  <si>
    <t>DOE8</t>
  </si>
  <si>
    <t>DOE9</t>
  </si>
  <si>
    <t>DOE10</t>
  </si>
  <si>
    <t>DOE11</t>
  </si>
  <si>
    <t>DOE12</t>
  </si>
  <si>
    <t>DOE13</t>
  </si>
  <si>
    <t>DOE14</t>
  </si>
  <si>
    <t>DOE15</t>
  </si>
  <si>
    <t>DOE16</t>
  </si>
  <si>
    <t>DOE17</t>
  </si>
  <si>
    <t>DOE18</t>
  </si>
  <si>
    <t>DOE19</t>
  </si>
  <si>
    <t>DOE20</t>
  </si>
  <si>
    <t>DOE21</t>
  </si>
  <si>
    <t>DOE22</t>
  </si>
  <si>
    <t>DOE23</t>
  </si>
  <si>
    <t>DOE24</t>
  </si>
  <si>
    <t>DOE25</t>
  </si>
  <si>
    <t>DOE26</t>
  </si>
  <si>
    <t>DOE27</t>
  </si>
  <si>
    <t>DOE28</t>
  </si>
  <si>
    <t>DOE29</t>
  </si>
  <si>
    <t>DOETotal</t>
  </si>
  <si>
    <t>Total1</t>
  </si>
  <si>
    <t>Total2</t>
  </si>
  <si>
    <t>Total3</t>
  </si>
  <si>
    <t>Total4</t>
  </si>
  <si>
    <t>Total5</t>
  </si>
  <si>
    <t>Total6</t>
  </si>
  <si>
    <t>Total7</t>
  </si>
  <si>
    <t>Total8</t>
  </si>
  <si>
    <t>Total9</t>
  </si>
  <si>
    <t>Total10</t>
  </si>
  <si>
    <t>Total11</t>
  </si>
  <si>
    <t>Total12</t>
  </si>
  <si>
    <t>Total13</t>
  </si>
  <si>
    <t>Total14</t>
  </si>
  <si>
    <t>Total15</t>
  </si>
  <si>
    <t>Total16</t>
  </si>
  <si>
    <t>Total17</t>
  </si>
  <si>
    <t>Total18</t>
  </si>
  <si>
    <t>Total19</t>
  </si>
  <si>
    <t>Total20</t>
  </si>
  <si>
    <t>Total21</t>
  </si>
  <si>
    <t>Total22</t>
  </si>
  <si>
    <t>Total23</t>
  </si>
  <si>
    <t>Total24</t>
  </si>
  <si>
    <t>Total25</t>
  </si>
  <si>
    <t>Total26</t>
  </si>
  <si>
    <t>Total27</t>
  </si>
  <si>
    <t>Total28</t>
  </si>
  <si>
    <t>Total29</t>
  </si>
  <si>
    <t>Sec1_Total</t>
  </si>
  <si>
    <t>Comments</t>
  </si>
  <si>
    <t>PartA</t>
  </si>
  <si>
    <t>PartB</t>
  </si>
  <si>
    <t>GrandTotalExpenses</t>
  </si>
  <si>
    <t>AFRDifference</t>
  </si>
  <si>
    <t>Depreciation</t>
  </si>
  <si>
    <t>003539</t>
  </si>
  <si>
    <t>Alvin Community College</t>
  </si>
  <si>
    <t>003540</t>
  </si>
  <si>
    <t>Amarillo College</t>
  </si>
  <si>
    <t>003546</t>
  </si>
  <si>
    <t>Coastal Bend College</t>
  </si>
  <si>
    <t>003549</t>
  </si>
  <si>
    <t>Blinn College</t>
  </si>
  <si>
    <t>003553</t>
  </si>
  <si>
    <t>Cisco Junior College</t>
  </si>
  <si>
    <t>003554</t>
  </si>
  <si>
    <t>Clarendon College</t>
  </si>
  <si>
    <t>003558</t>
  </si>
  <si>
    <t>North Central Texas College</t>
  </si>
  <si>
    <t>003563</t>
  </si>
  <si>
    <t>Del Mar College</t>
  </si>
  <si>
    <t>003568</t>
  </si>
  <si>
    <t>Frank Phillips College</t>
  </si>
  <si>
    <t>003570</t>
  </si>
  <si>
    <t>Grayson County College</t>
  </si>
  <si>
    <t>003572</t>
  </si>
  <si>
    <t>Trinity Valley Community College</t>
  </si>
  <si>
    <t>003573</t>
  </si>
  <si>
    <t>Hill College</t>
  </si>
  <si>
    <t>003574</t>
  </si>
  <si>
    <t>Howard College</t>
  </si>
  <si>
    <t>003580</t>
  </si>
  <si>
    <t>Kilgore College</t>
  </si>
  <si>
    <t>003582</t>
  </si>
  <si>
    <t>Laredo Community College</t>
  </si>
  <si>
    <t>003583</t>
  </si>
  <si>
    <t>Lee College</t>
  </si>
  <si>
    <t>003590</t>
  </si>
  <si>
    <t>McLennan Community College</t>
  </si>
  <si>
    <t>003593</t>
  </si>
  <si>
    <t>Navarro College</t>
  </si>
  <si>
    <t>003596</t>
  </si>
  <si>
    <t>Odessa College</t>
  </si>
  <si>
    <t>003600</t>
  </si>
  <si>
    <t>Panola College</t>
  </si>
  <si>
    <t>003601</t>
  </si>
  <si>
    <t>Paris Junior College</t>
  </si>
  <si>
    <t>003603</t>
  </si>
  <si>
    <t>Ranger College</t>
  </si>
  <si>
    <t>003607</t>
  </si>
  <si>
    <t>Alamo Community College District</t>
  </si>
  <si>
    <t>003609</t>
  </si>
  <si>
    <t>San Jacinto College District</t>
  </si>
  <si>
    <t>003611</t>
  </si>
  <si>
    <t>South Plains College</t>
  </si>
  <si>
    <t>003614</t>
  </si>
  <si>
    <t>Southwest Texas Junior College</t>
  </si>
  <si>
    <t>Tarrant County College District</t>
  </si>
  <si>
    <t>003627</t>
  </si>
  <si>
    <t>Temple College</t>
  </si>
  <si>
    <t>003628</t>
  </si>
  <si>
    <t>Texarkana College</t>
  </si>
  <si>
    <t>003634</t>
  </si>
  <si>
    <t>Texas State Technical College-Waco</t>
  </si>
  <si>
    <t>003643</t>
  </si>
  <si>
    <t>Texas Southmost College</t>
  </si>
  <si>
    <t>003648</t>
  </si>
  <si>
    <t>Tyler Junior College</t>
  </si>
  <si>
    <t>003662</t>
  </si>
  <si>
    <t>Victoria College, The</t>
  </si>
  <si>
    <t>003664</t>
  </si>
  <si>
    <t>Weatherford College</t>
  </si>
  <si>
    <t>003668</t>
  </si>
  <si>
    <t>Wharton County Junior College</t>
  </si>
  <si>
    <t>004003</t>
  </si>
  <si>
    <t>Central Texas College</t>
  </si>
  <si>
    <t>006661</t>
  </si>
  <si>
    <t>Angelina College</t>
  </si>
  <si>
    <t>006662</t>
  </si>
  <si>
    <t>Galveston College</t>
  </si>
  <si>
    <t>007096</t>
  </si>
  <si>
    <t>College of the Mainland Community College District</t>
  </si>
  <si>
    <t>007857</t>
  </si>
  <si>
    <t>Brazosport College</t>
  </si>
  <si>
    <t>009225</t>
  </si>
  <si>
    <t>Texas State Technical College-Harlingen</t>
  </si>
  <si>
    <t>009549</t>
  </si>
  <si>
    <t>Western Texas College</t>
  </si>
  <si>
    <t>009797</t>
  </si>
  <si>
    <t>Midland College</t>
  </si>
  <si>
    <t>009932</t>
  </si>
  <si>
    <t>Texas State Technical College-West Texas</t>
  </si>
  <si>
    <t>010060</t>
  </si>
  <si>
    <t>Vernon College</t>
  </si>
  <si>
    <t>010387</t>
  </si>
  <si>
    <t>El Paso Community College</t>
  </si>
  <si>
    <t>010633</t>
  </si>
  <si>
    <t>Houston Community College System</t>
  </si>
  <si>
    <t>011145</t>
  </si>
  <si>
    <t>012015</t>
  </si>
  <si>
    <t>Austin Community College</t>
  </si>
  <si>
    <t>023154</t>
  </si>
  <si>
    <t>Northeast Texas Community College</t>
  </si>
  <si>
    <t>023485</t>
  </si>
  <si>
    <t>Lamar State College-Port Arthur</t>
  </si>
  <si>
    <t>023582</t>
  </si>
  <si>
    <t>Lamar State College-Orange</t>
  </si>
  <si>
    <t>023614</t>
  </si>
  <si>
    <t>Collin County Community College District</t>
  </si>
  <si>
    <t>029150</t>
  </si>
  <si>
    <t>Dallas County Community College District</t>
  </si>
  <si>
    <t>South Texas College</t>
  </si>
  <si>
    <t>Texas State Technical Collage-Marshall</t>
  </si>
  <si>
    <t>Lamar Institute of Technology</t>
  </si>
  <si>
    <t>Faculty Salaries</t>
  </si>
  <si>
    <t>Departmental Operating Expense</t>
  </si>
  <si>
    <t>Mechanics and Repairers - Diesel, Aviation Mechanics, and Transportation Workers</t>
  </si>
  <si>
    <t>Expense</t>
  </si>
  <si>
    <t>Expense per Contact Hour</t>
  </si>
  <si>
    <t>Health Occupations - Dental Assistants, Medical Lab, and Assoc. Degree Nursing</t>
  </si>
  <si>
    <t>Total Expense by
 Discipline</t>
  </si>
  <si>
    <t>Departmental Operating Expense by
 Discipline</t>
  </si>
  <si>
    <t>Faculty Salaries by
 Discipline</t>
  </si>
  <si>
    <t>Allocated Administrative Expense</t>
  </si>
  <si>
    <t>Not Used</t>
  </si>
  <si>
    <t>Other Allocated Administrative Expenses - Institutional Support - Salaries and Wages</t>
  </si>
  <si>
    <t>Other Allocated Administrative Expenses - Student Services - Salaries and Wages</t>
  </si>
  <si>
    <t>Other Allocated Administrative Expenses - Academic Support - Salaries and Wages</t>
  </si>
  <si>
    <t>Other Allocated Administrative Expenses - Scholarships and Fellowships - Salaries and Wages</t>
  </si>
  <si>
    <t>Other Allocated Administrative Expenses - Total - Salaries and Wages</t>
  </si>
  <si>
    <t>Other Allocated Administrative Expenses - Institutional Support - Other Operating Expenses</t>
  </si>
  <si>
    <t>Other Allocated Administrative Expenses - Student Services - Other Operating Expenses</t>
  </si>
  <si>
    <t>Other Allocated Administrative Expenses - Academic Support - Other Operating Expenses</t>
  </si>
  <si>
    <t>Other Allocated Administrative Expenses - Research - Salaries and Support</t>
  </si>
  <si>
    <t>Other Allocated Administrative Expenses - Scholarships and Fellowships - Other Operating Expenses</t>
  </si>
  <si>
    <t>Other Allocated Administrative Expenses - Equipment Depreciation - Other Operating Expenses</t>
  </si>
  <si>
    <t>Other Allocated Administrative Expenses - Total - Other Operating Expenses</t>
  </si>
  <si>
    <t>Reconciling Items Non-Fundable, Unrestricted Operating Expenses - Public Services - Museums - Salaries and Wages</t>
  </si>
  <si>
    <t>Reconciling Items Non-Fundable, Unrestricted Operating Expenses - Public Services - Non-state Funded Educational Programs - Salaries and Wages</t>
  </si>
  <si>
    <t>Reconciling Items Non-Fundable, Unrestricted Operating Expenses - Public Services - Other Public Services - Salaries and Wages</t>
  </si>
  <si>
    <t>Reconciling Items Non-Fundable, Unrestricted Operating Expenses - Public Services - Total - Salaries and Wages</t>
  </si>
  <si>
    <t>Reconciling Items Non-Fundable, Unrestricted Operating Expenses - Public Services - Non-state Funded Educational Programs - Other Operating Expenses</t>
  </si>
  <si>
    <t>Reconciling Items Non-Fundable, Unrestricted Operating Expenses - Public Services - Museums - Other Operating Expenses</t>
  </si>
  <si>
    <t>Reconciling Items Non-Fundable, Unrestricted Operating Expenses - Public Services - Other Public Services - Other Operating Expenses</t>
  </si>
  <si>
    <t>Reconciling Items Non-Fundable, Unrestricted Operating Expenses - Public Services - Depreciation of Public Service Equipment - Other Operating Expenses</t>
  </si>
  <si>
    <t>Reconciling Items Non-Fundable, Unrestricted Operating Expenses - Public Services - Total - Other Operating Expenses</t>
  </si>
  <si>
    <t xml:space="preserve">Reconciling Items Non-Fundable, Unrestricted Operating Expenses - Public Services - Non-state Funded Educational Programs </t>
  </si>
  <si>
    <t xml:space="preserve">Reconciling Items Non-Fundable, Unrestricted Operating Expenses - Public Services - Museums </t>
  </si>
  <si>
    <t xml:space="preserve">Reconciling Items Non-Fundable, Unrestricted Operating Expenses - Public Services - Other Public Services </t>
  </si>
  <si>
    <t xml:space="preserve">Reconciling Items Non-Fundable, Unrestricted Operating Expenses - Public Services - Depreciation of Public Service Equipment </t>
  </si>
  <si>
    <t xml:space="preserve">Reconciling Items Non-Fundable, Unrestricted Operating Expenses - Public Services - Total </t>
  </si>
  <si>
    <t>Reconciling Items Non-Fundable, Unrestricted Operating Expenses - Operations And Maintenance Of Plant - Physical Plant Services - Salaries And Wages</t>
  </si>
  <si>
    <t>Reconciling Items Non-Fundable, Unrestricted Operating Expenses - Operations And Maintenance Of Plant - Major Repairs and Renovations - Salaries And Wages</t>
  </si>
  <si>
    <t>Reconciling Items Non-Fundable, Unrestricted Operating Expenses - Operations And Maintenance Of Plant - Total - Salaries And Wages</t>
  </si>
  <si>
    <t>Reconciling Items Non-Fundable, Unrestricted Operating Expenses - Operations And Maintenance Of Plant - Staff Benefits</t>
  </si>
  <si>
    <t>Reconciling Items Non-Fundable, Unrestricted Operating Expenses - Operations And Maintenance Of Plant - Physical Plant Services - Other Operating Expense</t>
  </si>
  <si>
    <t>Reconciling Items Non-Fundable, Unrestricted Operating Expenses - Operations And Maintenance Of Plant - Major Repairs and Renovations - Other Operating Expenses</t>
  </si>
  <si>
    <t>Reconciling Items Non-Fundable, Unrestricted Operating Expenses - Operations And Maintenance Of Plant - Depreciation of Physical Plant Equipment - Other Operating Expenses</t>
  </si>
  <si>
    <t>Reconciling Items Non-Fundable, Unrestricted Operating Expenses - Operations And Maintenance Of Plant - Total - Other Operating Expenses</t>
  </si>
  <si>
    <t>Reconciling Items Non-Fundable, Unrestricted Operating Expenses - Operations And Maintenance Of Plant - Physical Plant Services - Total</t>
  </si>
  <si>
    <t>Reconciling Items Non-Fundable, Unrestricted Operating Expenses - Operations And Maintenance Of Plant - Major Repairs and Renovations - Total</t>
  </si>
  <si>
    <t>Reconciling Items Non-Fundable, Unrestricted Operating Expenses - Operations And Maintenance Of Plant - Staff Benefits - Total</t>
  </si>
  <si>
    <t>Reconciling Items Non-Fundable, Unrestricted Operating Expenses - Operations And Maintenance Of Plant - Depreciation of Physical Plant Equipment - Total</t>
  </si>
  <si>
    <t>Reconciling Items Non-Fundable, Unrestricted Operating Expenses - Operations And Maintenance Of Plant - Total</t>
  </si>
  <si>
    <t>Instructional Staff Benefits - Local Paid Benefits</t>
  </si>
  <si>
    <t>Fundable, Unrestricted Operating Expenses - Instructional Programs - 
Agriculture - Contact Hours</t>
  </si>
  <si>
    <t>Fundable, Unrestricted Operating Expenses - Instructional Programs - 
Architecture and Precision Production Trades - Contact Hours</t>
  </si>
  <si>
    <t>Fundable, Unrestricted Operating Expenses - Instructional Programs - 
Biology, Physical Sciences, and Science Technology - Contact Hours</t>
  </si>
  <si>
    <t>Fundable, Unrestricted Operating Expenses - Instructional Programs - 
Business Management, Marketing, and Administrative Services - Contact Hours</t>
  </si>
  <si>
    <t>Fundable, Unrestricted Operating Expenses - Instructional Programs - 
Career Pilot - Contact Hours</t>
  </si>
  <si>
    <t>Fundable, Unrestricted Operating Expenses - Instructional Programs - 
Communications - Contact Hours</t>
  </si>
  <si>
    <t>Fundable, Unrestricted Operating Expenses - Instructional Programs - 
Computer and Information Sciences - Contact Hours</t>
  </si>
  <si>
    <t>Fundable, Unrestricted Operating Expenses - Instructional Programs - 
Construction Trades - Contact Hours</t>
  </si>
  <si>
    <t>Fundable, Unrestricted Operating Expenses - Instructional Programs - 
Consumer and Homemaking Education - Contact Hours</t>
  </si>
  <si>
    <t>Fundable, Unrestricted Operating Expenses - Instructional Programs - 
Engineering - Contact Hours</t>
  </si>
  <si>
    <t>Fundable, Unrestricted Operating Expenses - Instructional Programs - 
Engineering Related - Contact Hours</t>
  </si>
  <si>
    <t>Fundable, Unrestricted Operating Expenses - Instructional Programs - 
English Language, Lit, Philosophy, Humanities, &amp; Interdisciplinary - Contact Hours</t>
  </si>
  <si>
    <t>Fundable, Unrestricted Operating Expenses - Instructional Programs - 
Foreign Languages - Contact Hours</t>
  </si>
  <si>
    <t>Fundable, Unrestricted Operating Expenses - Instructional Programs - 
Health Occupations - Dental Assistants, Medical Lab, and Assoc. Degree Nursing - Contact Hours</t>
  </si>
  <si>
    <t>Fundable, Unrestricted Operating Expenses - Instructional Programs - 
Health Occupations - Dental Hygiene - Contact Hours</t>
  </si>
  <si>
    <t>Fundable, Unrestricted Operating Expenses - Instructional Programs - 
Health Occupations - Other - Contact Hours</t>
  </si>
  <si>
    <t>Fundable, Unrestricted Operating Expenses - Instructional Programs - 
Health Occupations - Respiratory Therapy - Contact Hours</t>
  </si>
  <si>
    <t>Fundable, Unrestricted Operating Expenses - Instructional Programs - 
Health Occupations - Vocational Nursing - Contact Hours</t>
  </si>
  <si>
    <t>Fundable, Unrestricted Operating Expenses - Instructional Programs - 
Mathematics - Contact Hours</t>
  </si>
  <si>
    <t>Fundable, Unrestricted Operating Expenses - Instructional Programs - 
Mechanics and Repairers - Automotive - Contact Hours</t>
  </si>
  <si>
    <t>Fundable, Unrestricted Operating Expenses - Instructional Programs - 
Mechanics and Repairers - Diesel, Aviation Mechanics, and Transportation Workers - Contact Hours</t>
  </si>
  <si>
    <t>Fundable, Unrestricted Operating Expenses - Instructional Programs - 
Mechanics and Repairers - Electronics - Contact Hours</t>
  </si>
  <si>
    <t>Fundable, Unrestricted Operating Expenses - Instructional Programs - 
Physical Education and Fitness - Contact Hours</t>
  </si>
  <si>
    <t>Fundable, Unrestricted Operating Expenses - Instructional Programs - 
Protective Services and Public Administration - Contact Hours</t>
  </si>
  <si>
    <t>Fundable, Unrestricted Operating Expenses - Instructional Programs - 
Psychology, Social Sciences, and History - Contact Hours</t>
  </si>
  <si>
    <t>Fundable, Unrestricted Operating Expenses - Instructional Programs - 
Visual and Performing Arts - Contact Hours</t>
  </si>
  <si>
    <t>Fundable, Unrestricted Operating Expenses - Instructional Programs - 
Developmental Education - Math - Contact Hours</t>
  </si>
  <si>
    <t>Fundable, Unrestricted Operating Expenses - Instructional Programs - 
Developmental Education - Reading/Writing - Contact Hours</t>
  </si>
  <si>
    <t>Fundable, Unrestricted Operating Expenses - Instructional Programs - 
Total - Contact Hours</t>
  </si>
  <si>
    <t>Fundable, Unrestricted Operating Expenses - Instructional Programs - 
Agriculture - Faculty Salaries</t>
  </si>
  <si>
    <t>Fundable, Unrestricted Operating Expenses - Instructional Programs - 
Architecture and Precision Production Trades - Faculty Salaries</t>
  </si>
  <si>
    <t>Fundable, Unrestricted Operating Expenses - Instructional Programs - 
Biology, Physical Sciences, and Science Technology - Faculty Salaries</t>
  </si>
  <si>
    <t>Fundable, Unrestricted Operating Expenses - Instructional Programs - 
Business Management, Marketing, and Administrative Services - Faculty Salaries</t>
  </si>
  <si>
    <t>Fundable, Unrestricted Operating Expenses - Instructional Programs - 
Career Pilot - Faculty Salaries</t>
  </si>
  <si>
    <t>Fundable, Unrestricted Operating Expenses - Instructional Programs - 
Communications - Faculty Salaries</t>
  </si>
  <si>
    <t>Fundable, Unrestricted Operating Expenses - Instructional Programs - 
Computer and Information Sciences - Faculty Salaries</t>
  </si>
  <si>
    <t>Fundable, Unrestricted Operating Expenses - Instructional Programs - 
Construction Trades - Faculty Salaries</t>
  </si>
  <si>
    <t>Fundable, Unrestricted Operating Expenses - Instructional Programs - 
Consumer and Homemaking Education - Faculty Salaries</t>
  </si>
  <si>
    <t>Fundable, Unrestricted Operating Expenses - Instructional Programs - 
Engineering - Faculty Salaries</t>
  </si>
  <si>
    <t>Fundable, Unrestricted Operating Expenses - Instructional Programs - 
Engineering Related - Faculty Salaries</t>
  </si>
  <si>
    <t>Fundable, Unrestricted Operating Expenses - Instructional Programs - 
English Language, Lit, Philosophy, Humanities, &amp; Interdisciplinary - Faculty Salaries</t>
  </si>
  <si>
    <t>Fundable, Unrestricted Operating Expenses - Instructional Programs - 
Foreign Languages - Faculty Salaries</t>
  </si>
  <si>
    <t>Fundable, Unrestricted Operating Expenses - Instructional Programs - 
Health Occupations - Dental Assistants, Medical Lab, and Assoc. Degree Nursing - Faculty Salaries</t>
  </si>
  <si>
    <t>Fundable, Unrestricted Operating Expenses - Instructional Programs - 
Health Occupations - Dental Hygiene - Faculty Salaries</t>
  </si>
  <si>
    <t>Fundable, Unrestricted Operating Expenses - Instructional Programs - 
Health Occupations - Other - Faculty Salaries</t>
  </si>
  <si>
    <t>Fundable, Unrestricted Operating Expenses - Instructional Programs - 
Health Occupations - Respiratory Therapy - Faculty Salaries</t>
  </si>
  <si>
    <t>Fundable, Unrestricted Operating Expenses - Instructional Programs - 
Health Occupations - Vocational Nursing - Faculty Salaries</t>
  </si>
  <si>
    <t>Fundable, Unrestricted Operating Expenses - Instructional Programs - 
Mathematics - Faculty Salaries</t>
  </si>
  <si>
    <t>Fundable, Unrestricted Operating Expenses - Instructional Programs - 
Mechanics and Repairers - Automotive - Faculty Salaries</t>
  </si>
  <si>
    <t>Fundable, Unrestricted Operating Expenses - Instructional Programs - 
Mechanics and Repairers - Diesel, Aviation Mechanics, and Transportation Workers - Faculty Salaries</t>
  </si>
  <si>
    <t>Fundable, Unrestricted Operating Expenses - Instructional Programs - 
Mechanics and Repairers - Electronics - Faculty Salaries</t>
  </si>
  <si>
    <t>Fundable, Unrestricted Operating Expenses - Instructional Programs - 
Physical Education and Fitness - Faculty Salaries</t>
  </si>
  <si>
    <t>Fundable, Unrestricted Operating Expenses - Instructional Programs - 
Protective Services and Public Administration - Faculty Salaries</t>
  </si>
  <si>
    <t>Fundable, Unrestricted Operating Expenses - Instructional Programs - 
Psychology, Social Sciences, and History - Faculty Salaries</t>
  </si>
  <si>
    <t>Fundable, Unrestricted Operating Expenses - Instructional Programs - 
Visual and Performing Arts - Faculty Salaries</t>
  </si>
  <si>
    <t>Fundable, Unrestricted Operating Expenses - Instructional Programs - 
Developmental Education - Math - Faculty Salaries</t>
  </si>
  <si>
    <t>Fundable, Unrestricted Operating Expenses - Instructional Programs - 
Developmental Education - Reading/Writing - Faculty Salaries</t>
  </si>
  <si>
    <t>Fundable, Unrestricted Operating Expenses - Instructional Programs - 
Total - Faculty Salaries</t>
  </si>
  <si>
    <t>Fundable, Unrestricted Operating Expenses - Instructional Programs - 
Agriculture - Other Salaries and Wages</t>
  </si>
  <si>
    <t>Fundable, Unrestricted Operating Expenses - Instructional Programs - 
Architecture and Precision Production Trades - Other Salaries and Wages</t>
  </si>
  <si>
    <t>Fundable, Unrestricted Operating Expenses - Instructional Programs - 
Biology, Physical Sciences, and Science Technology - Other Salaries and Wages</t>
  </si>
  <si>
    <t>Fundable, Unrestricted Operating Expenses - Instructional Programs - 
Business Management, Marketing, and Administrative Services - Other Salaries and Wages</t>
  </si>
  <si>
    <t>Fundable, Unrestricted Operating Expenses - Instructional Programs - 
Career Pilot - Other Salaries and Wages</t>
  </si>
  <si>
    <t>Fundable, Unrestricted Operating Expenses - Instructional Programs - 
Communications - Other Salaries and Wages</t>
  </si>
  <si>
    <t>Fundable, Unrestricted Operating Expenses - Instructional Programs - 
Computer and Information Sciences - Other Salaries and Wages</t>
  </si>
  <si>
    <t>Fundable, Unrestricted Operating Expenses - Instructional Programs - 
Construction Trades - Other Salaries and Wages</t>
  </si>
  <si>
    <t>Fundable, Unrestricted Operating Expenses - Instructional Programs - 
Consumer and Homemaking Education - Other Salaries and Wages</t>
  </si>
  <si>
    <t>Fundable, Unrestricted Operating Expenses - Instructional Programs - 
Engineering - Other Salaries and Wages</t>
  </si>
  <si>
    <t>Fundable, Unrestricted Operating Expenses - Instructional Programs - 
Engineering Related - Other Salaries and Wages</t>
  </si>
  <si>
    <t>Fundable, Unrestricted Operating Expenses - Instructional Programs - 
English Language, Lit, Philosophy, Humanities, &amp; Interdisciplinary - Other Salaries and Wages</t>
  </si>
  <si>
    <t>Fundable, Unrestricted Operating Expenses - Instructional Programs - 
Foreign Languages - Other Salaries and Wages</t>
  </si>
  <si>
    <t>Fundable, Unrestricted Operating Expenses - Instructional Programs - 
Health Occupations - Dental Assistants, Medical Lab, and Assoc. Degree Nursing - Other Salaries and Wages</t>
  </si>
  <si>
    <t>Fundable, Unrestricted Operating Expenses - Instructional Programs - 
Health Occupations - Dental Hygiene - Other Salaries and Wages</t>
  </si>
  <si>
    <t>Fundable, Unrestricted Operating Expenses - Instructional Programs - 
Health Occupations - Other - Other Salaries and Wages</t>
  </si>
  <si>
    <t>Fundable, Unrestricted Operating Expenses - Instructional Programs - 
Health Occupations - Respiratory Therapy - Other Salaries and Wages</t>
  </si>
  <si>
    <t>Fundable, Unrestricted Operating Expenses - Instructional Programs - 
Health Occupations - Vocational Nursing - Other Salaries and Wages</t>
  </si>
  <si>
    <t>Fundable, Unrestricted Operating Expenses - Instructional Programs - 
Mathematics - Other Salaries and Wages</t>
  </si>
  <si>
    <t>Fundable, Unrestricted Operating Expenses - Instructional Programs - 
Mechanics and Repairers - Automotive - Other Salaries and Wages</t>
  </si>
  <si>
    <t>Fundable, Unrestricted Operating Expenses - Instructional Programs - 
Mechanics and Repairers - Diesel, Aviation Mechanics, and Transportation Workers - Other Salaries and Wages</t>
  </si>
  <si>
    <t>Fundable, Unrestricted Operating Expenses - Instructional Programs - 
Mechanics and Repairers - Electronics - Other Salaries and Wages</t>
  </si>
  <si>
    <t>Fundable, Unrestricted Operating Expenses - Instructional Programs - 
Physical Education and Fitness - Other Salaries and Wages</t>
  </si>
  <si>
    <t>Fundable, Unrestricted Operating Expenses - Instructional Programs - 
Protective Services and Public Administration - Other Salaries and Wages</t>
  </si>
  <si>
    <t>Fundable, Unrestricted Operating Expenses - Instructional Programs - 
Psychology, Social Sciences, and History - Other Salaries and Wages</t>
  </si>
  <si>
    <t>Fundable, Unrestricted Operating Expenses - Instructional Programs - 
Visual and Performing Arts - Other Salaries and Wages</t>
  </si>
  <si>
    <t>Fundable, Unrestricted Operating Expenses - Instructional Programs - 
Developmental Education - Math - Other Salaries and Wages</t>
  </si>
  <si>
    <t>Fundable, Unrestricted Operating Expenses - Instructional Programs - 
Developmental Education - Reading/Writing - Other Salaries and Wages</t>
  </si>
  <si>
    <t>Fundable, Unrestricted Operating Expenses - Instructional Programs - 
Total - Other Salaries and Wages</t>
  </si>
  <si>
    <t>Fundable, Unrestricted Operating Expenses - Instructional Programs - 
Agriculture - Staff Benefits</t>
  </si>
  <si>
    <t>Fundable, Unrestricted Operating Expenses - Instructional Programs - 
Architecture and Precision Production Trades - Staff Benefits</t>
  </si>
  <si>
    <t>Fundable, Unrestricted Operating Expenses - Instructional Programs - 
Biology, Physical Sciences, and Science Technology - Staff Benefits</t>
  </si>
  <si>
    <t>Fundable, Unrestricted Operating Expenses - Instructional Programs - 
Business Management, Marketing, and Administrative Services - Staff Benefits</t>
  </si>
  <si>
    <t>Fundable, Unrestricted Operating Expenses - Instructional Programs - 
Career Pilot - Staff Benefits</t>
  </si>
  <si>
    <t>Fundable, Unrestricted Operating Expenses - Instructional Programs - 
Communications - Staff Benefits</t>
  </si>
  <si>
    <t>Fundable, Unrestricted Operating Expenses - Instructional Programs - 
Computer and Information Sciences - Staff Benefits</t>
  </si>
  <si>
    <t>Fundable, Unrestricted Operating Expenses - Instructional Programs - 
Construction Trades - Staff Benefits</t>
  </si>
  <si>
    <t>Fundable, Unrestricted Operating Expenses - Instructional Programs - 
Consumer and Homemaking Education - Staff Benefits</t>
  </si>
  <si>
    <t>Fundable, Unrestricted Operating Expenses - Instructional Programs - 
Engineering - Staff Benefits</t>
  </si>
  <si>
    <t>Fundable, Unrestricted Operating Expenses - Instructional Programs - 
Engineering Related - Staff Benefits</t>
  </si>
  <si>
    <t>Fundable, Unrestricted Operating Expenses - Instructional Programs - 
English Language, Lit, Philosophy, Humanities, &amp; Interdisciplinary - Staff Benefits</t>
  </si>
  <si>
    <t>Fundable, Unrestricted Operating Expenses - Instructional Programs - 
Foreign Languages - Staff Benefits</t>
  </si>
  <si>
    <t>Fundable, Unrestricted Operating Expenses - Instructional Programs - 
Health Occupations - Dental Assistants, Medical Lab, and Assoc. Degree Nursing - Staff Benefits</t>
  </si>
  <si>
    <t>Fundable, Unrestricted Operating Expenses - Instructional Programs - 
Health Occupations - Dental Hygiene - Staff Benefits</t>
  </si>
  <si>
    <t>Fundable, Unrestricted Operating Expenses - Instructional Programs - 
Health Occupations - Other - Staff Benefits</t>
  </si>
  <si>
    <t>Fundable, Unrestricted Operating Expenses - Instructional Programs - 
Health Occupations - Respiratory Therapy - Staff Benefits</t>
  </si>
  <si>
    <t>Fundable, Unrestricted Operating Expenses - Instructional Programs - 
Health Occupations - Vocational Nursing - Staff Benefits</t>
  </si>
  <si>
    <t>Fundable, Unrestricted Operating Expenses - Instructional Programs - 
Mathematics - Staff Benefits</t>
  </si>
  <si>
    <t>Fundable, Unrestricted Operating Expenses - Instructional Programs - 
Mechanics and Repairers - Automotive - Staff Benefits</t>
  </si>
  <si>
    <t>Fundable, Unrestricted Operating Expenses - Instructional Programs - 
Mechanics and Repairers - Diesel, Aviation Mechanics, and Transportation Workers - Staff Benefits</t>
  </si>
  <si>
    <t>Fundable, Unrestricted Operating Expenses - Instructional Programs - 
Mechanics and Repairers - Electronics - Staff Benefits</t>
  </si>
  <si>
    <t>Fundable, Unrestricted Operating Expenses - Instructional Programs - 
Physical Education and Fitness - Staff Benefits</t>
  </si>
  <si>
    <t>Fundable, Unrestricted Operating Expenses - Instructional Programs - 
Protective Services and Public Administration - Staff Benefits</t>
  </si>
  <si>
    <t>Fundable, Unrestricted Operating Expenses - Instructional Programs - 
Psychology, Social Sciences, and History - Staff Benefits</t>
  </si>
  <si>
    <t>Fundable, Unrestricted Operating Expenses - Instructional Programs - 
Visual and Performing Arts - Staff Benefits</t>
  </si>
  <si>
    <t>Fundable, Unrestricted Operating Expenses - Instructional Programs - 
Developmental Education - Math - Staff Benefits</t>
  </si>
  <si>
    <t>Fundable, Unrestricted Operating Expenses - Instructional Programs - 
Developmental Education - Reading/Writing - Staff Benefits</t>
  </si>
  <si>
    <t>Fundable, Unrestricted Operating Expenses - Instructional Programs - 
Total - Staff Benefits</t>
  </si>
  <si>
    <t>Fundable, Unrestricted Operating Expenses - Instructional Programs - 
Agriculture - Other Operating Expense</t>
  </si>
  <si>
    <t>Fundable, Unrestricted Operating Expenses - Instructional Programs - 
Architecture and Precision Production Trades - Other Operating Expense</t>
  </si>
  <si>
    <t>Fundable, Unrestricted Operating Expenses - Instructional Programs - 
Biology, Physical Sciences, and Science Technology - Other Operating Expense</t>
  </si>
  <si>
    <t>Fundable, Unrestricted Operating Expenses - Instructional Programs - 
Business Management, Marketing, and Administrative Services - Other Operating Expense</t>
  </si>
  <si>
    <t>Fundable, Unrestricted Operating Expenses - Instructional Programs - 
Career Pilot - Other Operating Expense</t>
  </si>
  <si>
    <t>Fundable, Unrestricted Operating Expenses - Instructional Programs - 
Communications - Other Operating Expense</t>
  </si>
  <si>
    <t>Fundable, Unrestricted Operating Expenses - Instructional Programs - 
Computer and Information Sciences - Other Operating Expense</t>
  </si>
  <si>
    <t>Fundable, Unrestricted Operating Expenses - Instructional Programs - 
Construction Trades - Other Operating Expense</t>
  </si>
  <si>
    <t>Fundable, Unrestricted Operating Expenses - Instructional Programs - 
Consumer and Homemaking Education - Other Operating Expense</t>
  </si>
  <si>
    <t>Fundable, Unrestricted Operating Expenses - Instructional Programs - 
Engineering - Other Operating Expense</t>
  </si>
  <si>
    <t>Fundable, Unrestricted Operating Expenses - Instructional Programs - 
Engineering Related - Other Operating Expense</t>
  </si>
  <si>
    <t>Fundable, Unrestricted Operating Expenses - Instructional Programs - 
English Language, Lit, Philosophy, Humanities, &amp; Interdisciplinary - Other Operating Expense</t>
  </si>
  <si>
    <t>Fundable, Unrestricted Operating Expenses - Instructional Programs - 
Foreign Languages - Other Operating Expense</t>
  </si>
  <si>
    <t>Fundable, Unrestricted Operating Expenses - Instructional Programs - 
Health Occupations - Dental Assistants, Medical Lab, and Assoc. Degree Nursing - Other Operating Expense</t>
  </si>
  <si>
    <t>Fundable, Unrestricted Operating Expenses - Instructional Programs - 
Health Occupations - Dental Hygiene - Other Operating Expense</t>
  </si>
  <si>
    <t>Fundable, Unrestricted Operating Expenses - Instructional Programs - 
Health Occupations - Other - Other Operating Expense</t>
  </si>
  <si>
    <t>Fundable, Unrestricted Operating Expenses - Instructional Programs - 
Health Occupations - Respiratory Therapy - Other Operating Expense</t>
  </si>
  <si>
    <t>Fundable, Unrestricted Operating Expenses - Instructional Programs - 
Health Occupations - Vocational Nursing - Other Operating Expense</t>
  </si>
  <si>
    <t>Fundable, Unrestricted Operating Expenses - Instructional Programs - 
Mathematics - Other Operating Expense</t>
  </si>
  <si>
    <t>Fundable, Unrestricted Operating Expenses - Instructional Programs - 
Mechanics and Repairers - Automotive - Other Operating Expense</t>
  </si>
  <si>
    <t>Fundable, Unrestricted Operating Expenses - Instructional Programs - 
Mechanics and Repairers - Diesel, Aviation Mechanics, and Transportation Workers - Other Operating Expense</t>
  </si>
  <si>
    <t>Fundable, Unrestricted Operating Expenses - Instructional Programs - 
Mechanics and Repairers - Electronics - Other Operating Expense</t>
  </si>
  <si>
    <t>Fundable, Unrestricted Operating Expenses - Instructional Programs - 
Physical Education and Fitness - Other Operating Expense</t>
  </si>
  <si>
    <t>Fundable, Unrestricted Operating Expenses - Instructional Programs - 
Protective Services and Public Administration - Other Operating Expense</t>
  </si>
  <si>
    <t>Fundable, Unrestricted Operating Expenses - Instructional Programs - 
Psychology, Social Sciences, and History - Other Operating Expense</t>
  </si>
  <si>
    <t>Fundable, Unrestricted Operating Expenses - Instructional Programs - 
Visual and Performing Arts - Other Operating Expense</t>
  </si>
  <si>
    <t>Fundable, Unrestricted Operating Expenses - Instructional Programs - 
Developmental Education - Math - Other Operating Expense</t>
  </si>
  <si>
    <t>Fundable, Unrestricted Operating Expenses - Instructional Programs - 
Developmental Education - Reading/Writing - Other Operating Expense</t>
  </si>
  <si>
    <t>Fundable, Unrestricted Operating Expenses - Instructional Programs - 
Total - Other Operating Expense</t>
  </si>
  <si>
    <t>Fundable, Unrestricted Operating Expenses - Instructional Programs - 
Agriculture - Departmental Operating Expense</t>
  </si>
  <si>
    <t>Fundable, Unrestricted Operating Expenses - Instructional Programs - 
Architecture and Precision Production Trades - Departmental Operating Expense</t>
  </si>
  <si>
    <t>Fundable, Unrestricted Operating Expenses - Instructional Programs - 
Biology, Physical Sciences, and Science Technology - Departmental Operating Expense</t>
  </si>
  <si>
    <t>Fundable, Unrestricted Operating Expenses - Instructional Programs - 
Business Management, Marketing, and Administrative Services - Departmental Operating Expense</t>
  </si>
  <si>
    <t>Fundable, Unrestricted Operating Expenses - Instructional Programs - 
Career Pilot - Departmental Operating Expense</t>
  </si>
  <si>
    <t>Fundable, Unrestricted Operating Expenses - Instructional Programs - 
Communications - Departmental Operating Expense</t>
  </si>
  <si>
    <t>Fundable, Unrestricted Operating Expenses - Instructional Programs - 
Computer and Information Sciences - Departmental Operating Expense</t>
  </si>
  <si>
    <t>Fundable, Unrestricted Operating Expenses - Instructional Programs - 
Construction Trades - Departmental Operating Expense</t>
  </si>
  <si>
    <t>Fundable, Unrestricted Operating Expenses - Instructional Programs - 
Consumer and Homemaking Education - Departmental Operating Expense</t>
  </si>
  <si>
    <t>Fundable, Unrestricted Operating Expenses - Instructional Programs - 
Engineering - Departmental Operating Expense</t>
  </si>
  <si>
    <t>Fundable, Unrestricted Operating Expenses - Instructional Programs - 
Engineering Related - Departmental Operating Expense</t>
  </si>
  <si>
    <t>Fundable, Unrestricted Operating Expenses - Instructional Programs - 
English Language, Lit, Philosophy, Humanities, &amp; Interdisciplinary - Departmental Operating Expense</t>
  </si>
  <si>
    <t>Fundable, Unrestricted Operating Expenses - Instructional Programs - 
Foreign Languages - Departmental Operating Expense</t>
  </si>
  <si>
    <t>Fundable, Unrestricted Operating Expenses - Instructional Programs - 
Health Occupations - Dental Assistants, Medical Lab, and Assoc. Degree Nursing - Departmental Operating Expense</t>
  </si>
  <si>
    <t>Fundable, Unrestricted Operating Expenses - Instructional Programs - 
Health Occupations - Dental Hygiene - Departmental Operating Expense</t>
  </si>
  <si>
    <t>Fundable, Unrestricted Operating Expenses - Instructional Programs - 
Health Occupations - Other - Departmental Operating Expense</t>
  </si>
  <si>
    <t>Fundable, Unrestricted Operating Expenses - Instructional Programs - 
Health Occupations - Respiratory Therapy - Departmental Operating Expense</t>
  </si>
  <si>
    <t>Fundable, Unrestricted Operating Expenses - Instructional Programs - 
Health Occupations - Vocational Nursing - Departmental Operating Expense</t>
  </si>
  <si>
    <t>Fundable, Unrestricted Operating Expenses - Instructional Programs - 
Mathematics - Departmental Operating Expense</t>
  </si>
  <si>
    <t>Fundable, Unrestricted Operating Expenses - Instructional Programs - 
Mechanics and Repairers - Automotive - Departmental Operating Expense</t>
  </si>
  <si>
    <t>Fundable, Unrestricted Operating Expenses - Instructional Programs - 
Mechanics and Repairers - Diesel, Aviation Mechanics, and Transportation Workers - Departmental Operating Expense</t>
  </si>
  <si>
    <t>Fundable, Unrestricted Operating Expenses - Instructional Programs - 
Mechanics and Repairers - Electronics - Departmental Operating Expense</t>
  </si>
  <si>
    <t>Fundable, Unrestricted Operating Expenses - Instructional Programs - 
Physical Education and Fitness - Departmental Operating Expense</t>
  </si>
  <si>
    <t>Fundable, Unrestricted Operating Expenses - Instructional Programs - 
Protective Services and Public Administration - Departmental Operating Expense</t>
  </si>
  <si>
    <t>Fundable, Unrestricted Operating Expenses - Instructional Programs - 
Psychology, Social Sciences, and History - Departmental Operating Expense</t>
  </si>
  <si>
    <t>Fundable, Unrestricted Operating Expenses - Instructional Programs - 
Visual and Performing Arts - Departmental Operating Expense</t>
  </si>
  <si>
    <t>Fundable, Unrestricted Operating Expenses - Instructional Programs - 
Developmental Education - Math - Departmental Operating Expense</t>
  </si>
  <si>
    <t>Fundable, Unrestricted Operating Expenses - Instructional Programs - 
Developmental Education - Reading/Writing - Departmental Operating Expense</t>
  </si>
  <si>
    <t>Fundable, Unrestricted Operating Expenses - Instructional Programs - 
Total - Departmental Operating Expense</t>
  </si>
  <si>
    <t>Fundable, Unrestricted Operating Expenses - Instructional Programs - 
Agriculture - Total</t>
  </si>
  <si>
    <t>Fundable, Unrestricted Operating Expenses - Instructional Programs - 
Architecture and Precision Production Trades - Total</t>
  </si>
  <si>
    <t>Fundable, Unrestricted Operating Expenses - Instructional Programs - 
Biology, Physical Sciences, and Science Technology - Total</t>
  </si>
  <si>
    <t>Fundable, Unrestricted Operating Expenses - Instructional Programs - 
Business Management, Marketing, and Administrative Services - Total</t>
  </si>
  <si>
    <t>Fundable, Unrestricted Operating Expenses - Instructional Programs - 
Career Pilot - Total</t>
  </si>
  <si>
    <t>Fundable, Unrestricted Operating Expenses - Instructional Programs - 
Communications - Total</t>
  </si>
  <si>
    <t>Fundable, Unrestricted Operating Expenses - Instructional Programs - 
Computer and Information Sciences - Total</t>
  </si>
  <si>
    <t>Fundable, Unrestricted Operating Expenses - Instructional Programs - 
Construction Trades - Total</t>
  </si>
  <si>
    <t>Fundable, Unrestricted Operating Expenses - Instructional Programs - 
Consumer and Homemaking Education - Total</t>
  </si>
  <si>
    <t>Fundable, Unrestricted Operating Expenses - Instructional Programs - 
Engineering - Total</t>
  </si>
  <si>
    <t>Fundable, Unrestricted Operating Expenses - Instructional Programs - 
Engineering Related - Total</t>
  </si>
  <si>
    <t>Fundable, Unrestricted Operating Expenses - Instructional Programs - 
English Language, Lit, Philosophy, Humanities, &amp; Interdisciplinary - Total</t>
  </si>
  <si>
    <t>Fundable, Unrestricted Operating Expenses - Instructional Programs - 
Foreign Languages - Total</t>
  </si>
  <si>
    <t>Fundable, Unrestricted Operating Expenses - Instructional Programs - 
Health Occupations - Dental Assistants, Medical Lab, and Assoc. Degree Nursing - Total</t>
  </si>
  <si>
    <t>Fundable, Unrestricted Operating Expenses - Instructional Programs - 
Health Occupations - Dental Hygiene - Total</t>
  </si>
  <si>
    <t>Fundable, Unrestricted Operating Expenses - Instructional Programs - 
Health Occupations - Other - Total</t>
  </si>
  <si>
    <t>Fundable, Unrestricted Operating Expenses - Instructional Programs - 
Health Occupations - Respiratory Therapy - Total</t>
  </si>
  <si>
    <t>Fundable, Unrestricted Operating Expenses - Instructional Programs - 
Health Occupations - Vocational Nursing - Total</t>
  </si>
  <si>
    <t>Fundable, Unrestricted Operating Expenses - Instructional Programs - 
Mathematics - Total</t>
  </si>
  <si>
    <t>Fundable, Unrestricted Operating Expenses - Instructional Programs - 
Mechanics and Repairers - Automotive - Total</t>
  </si>
  <si>
    <t>Fundable, Unrestricted Operating Expenses - Instructional Programs - 
Mechanics and Repairers - Diesel, Aviation Mechanics, and Transportation Workers - Total</t>
  </si>
  <si>
    <t>Fundable, Unrestricted Operating Expenses - Instructional Programs - 
Mechanics and Repairers - Electronics - Total</t>
  </si>
  <si>
    <t>Fundable, Unrestricted Operating Expenses - Instructional Programs - 
Physical Education and Fitness - Total</t>
  </si>
  <si>
    <t>Fundable, Unrestricted Operating Expenses - Instructional Programs - 
Protective Services and Public Administration - Total</t>
  </si>
  <si>
    <t>Fundable, Unrestricted Operating Expenses - Instructional Programs - 
Psychology, Social Sciences, and History - Total</t>
  </si>
  <si>
    <t>Fundable, Unrestricted Operating Expenses - Instructional Programs - 
Visual and Performing Arts - Total</t>
  </si>
  <si>
    <t>Fundable, Unrestricted Operating Expenses - Instructional Programs - 
Developmental Education - Math - Total</t>
  </si>
  <si>
    <t>Fundable, Unrestricted Operating Expenses - Instructional Programs - 
Developmental Education - Reading/Writing - Total</t>
  </si>
  <si>
    <t>Fundable, Unrestricted Operating Expenses - Instructional Programs - 
Total - Total</t>
  </si>
  <si>
    <t>Depreciation Expense - Equipment and Furniture - AFR Schedule B</t>
  </si>
  <si>
    <t>Reconciliation Difference</t>
  </si>
  <si>
    <t>Total Unrestricted Educational Activities - AFR Schedule B</t>
  </si>
  <si>
    <t>Website Field Name</t>
  </si>
  <si>
    <t>Section and Part</t>
  </si>
  <si>
    <t>Model Address</t>
  </si>
  <si>
    <t>D104</t>
  </si>
  <si>
    <t>D98</t>
  </si>
  <si>
    <t>D99</t>
  </si>
  <si>
    <t>D100</t>
  </si>
  <si>
    <t>D101</t>
  </si>
  <si>
    <t>D102</t>
  </si>
  <si>
    <t>D103</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</si>
  <si>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</si>
  <si>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</si>
  <si>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</si>
  <si>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</si>
  <si>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</si>
  <si>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</si>
  <si>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</si>
  <si>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</si>
  <si>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</si>
  <si>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</si>
  <si>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</si>
  <si>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</si>
  <si>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</si>
  <si>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</si>
  <si>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</si>
  <si>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</si>
  <si>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</si>
  <si>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</si>
  <si>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</si>
  <si>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</si>
  <si>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</si>
  <si>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</si>
  <si>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</si>
  <si>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</si>
  <si>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</si>
  <si>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</si>
  <si>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</si>
  <si>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</si>
  <si>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</si>
  <si>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</si>
  <si>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</si>
  <si>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</si>
  <si>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</si>
  <si>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</si>
  <si>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</si>
  <si>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</si>
  <si>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</si>
  <si>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</si>
  <si>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</si>
  <si>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</si>
  <si>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</si>
  <si>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</si>
  <si>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</si>
  <si>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</si>
  <si>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</si>
  <si>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</si>
  <si>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</si>
  <si>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</si>
  <si>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</si>
  <si>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</si>
  <si>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</si>
  <si>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</si>
  <si>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</si>
  <si>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</si>
  <si>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</si>
  <si>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</si>
  <si>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</si>
  <si>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</si>
  <si>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</si>
  <si>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</si>
  <si>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</si>
  <si>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</si>
  <si>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</si>
  <si>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</si>
  <si>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</si>
  <si>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</si>
  <si>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</si>
  <si>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</si>
  <si>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</si>
  <si>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</si>
  <si>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</si>
  <si>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</si>
  <si>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</si>
  <si>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</si>
  <si>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</si>
  <si>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</si>
  <si>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</si>
  <si>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</si>
  <si>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</si>
  <si>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</si>
  <si>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</si>
  <si>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</si>
  <si>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</si>
  <si>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</si>
  <si>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</si>
  <si>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</si>
  <si>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</si>
  <si>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</si>
  <si>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</si>
  <si>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</si>
  <si>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</si>
  <si>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</si>
  <si>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</si>
  <si>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</si>
  <si>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</si>
  <si>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</si>
  <si>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</si>
  <si>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</si>
  <si>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</si>
  <si>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</si>
  <si>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</si>
  <si>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</si>
  <si>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</si>
  <si>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</si>
  <si>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</si>
  <si>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</si>
  <si>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</si>
  <si>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</si>
  <si>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</si>
  <si>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</si>
  <si>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</si>
  <si>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</si>
  <si>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</si>
  <si>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</si>
  <si>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</si>
  <si>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</si>
  <si>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</si>
  <si>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</si>
  <si>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</si>
  <si>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</si>
  <si>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</si>
  <si>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</si>
  <si>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</si>
  <si>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</si>
  <si>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</si>
  <si>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</si>
  <si>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</si>
  <si>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</si>
  <si>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</si>
  <si>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</si>
  <si>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</si>
  <si>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</si>
  <si>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</si>
  <si>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</si>
  <si>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</si>
  <si>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</si>
  <si>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</si>
  <si>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</si>
  <si>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</si>
  <si>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</si>
  <si>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</si>
  <si>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</si>
  <si>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</si>
  <si>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</si>
  <si>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</si>
  <si>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</si>
  <si>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</si>
  <si>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</si>
  <si>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</si>
  <si>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</si>
  <si>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</si>
  <si>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</si>
  <si>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</si>
  <si>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</si>
  <si>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</si>
  <si>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</si>
  <si>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</si>
  <si>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</si>
  <si>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</si>
  <si>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</si>
  <si>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</si>
  <si>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</si>
  <si>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</si>
  <si>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</si>
  <si>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</si>
  <si>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</si>
  <si>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</si>
  <si>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</si>
  <si>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</si>
  <si>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Total Expenses</t>
  </si>
  <si>
    <t>Total Fundable Expenses</t>
  </si>
  <si>
    <t>Section 1 Comments</t>
  </si>
  <si>
    <t>Other Allocated Administrative Expenses - Institutional Support - Total</t>
  </si>
  <si>
    <t>Other Allocated Administrative Expenses - Student Services - Total</t>
  </si>
  <si>
    <t>Other Allocated Administrative Expenses - Equipment Depreciation - Total</t>
  </si>
  <si>
    <t>Other Fundable Staff Benefits Excluding Instructional (Section 1) and Physical Plant (Section 5) Local</t>
  </si>
  <si>
    <t>Other Allocated Administrative Expenses - Total</t>
  </si>
  <si>
    <t>Website Password</t>
  </si>
  <si>
    <t>Certification  Flag</t>
  </si>
  <si>
    <t>Certification Date</t>
  </si>
  <si>
    <t>Last Modification Date</t>
  </si>
  <si>
    <t>Staff Notes</t>
  </si>
  <si>
    <t>Institution Name</t>
  </si>
  <si>
    <t>Institution Contact</t>
  </si>
  <si>
    <t>Institution Contact Title</t>
  </si>
  <si>
    <t>Institution Contact Phone</t>
  </si>
  <si>
    <t>Institution Contact Email</t>
  </si>
  <si>
    <t>FICE Code</t>
  </si>
  <si>
    <t>Password Page</t>
  </si>
  <si>
    <t>Coded</t>
  </si>
  <si>
    <t>Unknown</t>
  </si>
  <si>
    <t>Contact Information</t>
  </si>
  <si>
    <t>Part A Section 1</t>
  </si>
  <si>
    <t>Part A Section 2</t>
  </si>
  <si>
    <t>Part A Section 3</t>
  </si>
  <si>
    <t>Part B Section 4</t>
  </si>
  <si>
    <t>Part B Section 5</t>
  </si>
  <si>
    <t>Part A</t>
  </si>
  <si>
    <t>Part B</t>
  </si>
  <si>
    <t>All</t>
  </si>
  <si>
    <t>Unrestricted - Educational Activities</t>
  </si>
  <si>
    <t>Instruction</t>
  </si>
  <si>
    <t>Public Service</t>
  </si>
  <si>
    <t>Operation and Maintenance of Plant</t>
  </si>
  <si>
    <t>Salaries and Wages</t>
  </si>
  <si>
    <t>Other Expenses</t>
  </si>
  <si>
    <t>Annual Financial Report - Schedule B</t>
  </si>
  <si>
    <t>Other</t>
  </si>
  <si>
    <t>Depreciation Expense - Equipment</t>
  </si>
  <si>
    <t xml:space="preserve">Each year, the Texas Higher Education Coordinating Board revises the Texas Public Community and Technical Colleges Expense per Contact Hour Rates used in its Instruction and Operations Formula Funding Recommendation to the Legislative Budget Board (LBB).  The Report of Fundable Operating Expenses (RFOE),  completed by the institutions, collects departmental operating expense, faculty salaries, institutional support, student services, academic support, research, scholarships and fellowships, equipment depreciation, and local benefits for input into this summary using Annual Financial Report (AFR) Schedule B, which ties to the AFR Statement of Revenues, Expenses and Changes in Net Assets (SRECNA). The RFOE subcategorizes the expenditures collected in Schedule B funded with unrestricted funds, totals them for all institutions, and divides them by the statewide contact hours to determine rates by discipline. </t>
  </si>
  <si>
    <t>College Of The Mainland</t>
  </si>
  <si>
    <t>TSTC-Harlingen</t>
  </si>
  <si>
    <t>TSTC-West Texas</t>
  </si>
  <si>
    <t>TSTC-Marshall</t>
  </si>
  <si>
    <t>TSTC-Waco</t>
  </si>
  <si>
    <t>Lamar-IOT</t>
  </si>
  <si>
    <t>Lamar-Orange</t>
  </si>
  <si>
    <t>Lamar-Port Arthur</t>
  </si>
  <si>
    <t>Institution</t>
  </si>
  <si>
    <t>Discipline</t>
  </si>
  <si>
    <t>All Disciplines</t>
  </si>
  <si>
    <t>Average (Excluding zero values)</t>
  </si>
  <si>
    <t>High</t>
  </si>
  <si>
    <t>Low (Excluding zero values)</t>
  </si>
  <si>
    <t>Median (Excluding zero values)</t>
  </si>
  <si>
    <t>Discipline Summary of Expense per Contact Hour by Institution</t>
  </si>
  <si>
    <t>AG</t>
  </si>
  <si>
    <t>ARCH</t>
  </si>
  <si>
    <t>AG - Agriculture</t>
  </si>
  <si>
    <t>ARCH - Architecture and Precision Production Trades</t>
  </si>
  <si>
    <t>BA - Business Management, Marketing, and Administrative Services</t>
  </si>
  <si>
    <t>SCI - Biology, Physical Sciences, and Science Technology</t>
  </si>
  <si>
    <t>CP - Career Pilot</t>
  </si>
  <si>
    <t>COMM - Communications</t>
  </si>
  <si>
    <t>CS - Computer and Information Sciences</t>
  </si>
  <si>
    <t>CNSTR - Construction Trades</t>
  </si>
  <si>
    <t>HE - Consumer and Homemaking Education</t>
  </si>
  <si>
    <t>ENG - Engineering</t>
  </si>
  <si>
    <t>LA - English Language, Lit, Philosophy, Humanities, &amp; Interdisciplinary</t>
  </si>
  <si>
    <t>FL - Foreign Languages</t>
  </si>
  <si>
    <t>HODA - Health Occupations - Dental Assistants, Medical Lab, and Assoc. Degree Nursing</t>
  </si>
  <si>
    <t>HODH - Health Occupations - Dental Hygiene</t>
  </si>
  <si>
    <t>HOO - Health Occupations - Other</t>
  </si>
  <si>
    <t>HORT - Health Occupations - Respiratory Therapy</t>
  </si>
  <si>
    <t>NUR - Health Occupations - Vocational Nursing</t>
  </si>
  <si>
    <t>MATH - Mathematics</t>
  </si>
  <si>
    <t>AUTO - Mechanics and Repairers - Automotive</t>
  </si>
  <si>
    <t>MECH - Mechanics and Repairers - Diesel, Aviation Mechanics, and Transportation Workers</t>
  </si>
  <si>
    <t>ELECT - Mechanics and Repairers - Electronics</t>
  </si>
  <si>
    <t>PE - Physical Education and Fitness</t>
  </si>
  <si>
    <t>PA - Protective Services and Public Administration</t>
  </si>
  <si>
    <t>SS - Psychology, Social Sciences, and History</t>
  </si>
  <si>
    <t>FA - Visual and Performing Arts</t>
  </si>
  <si>
    <t>DEM - Developmental Education - Math</t>
  </si>
  <si>
    <t>DER - Developmental Education - Reading/Writing</t>
  </si>
  <si>
    <t>Total - All Disciplines</t>
  </si>
  <si>
    <t>SCI</t>
  </si>
  <si>
    <t>BA</t>
  </si>
  <si>
    <t>CP</t>
  </si>
  <si>
    <t>COMM</t>
  </si>
  <si>
    <t>CS</t>
  </si>
  <si>
    <t>CNSTR</t>
  </si>
  <si>
    <t>HE</t>
  </si>
  <si>
    <t>ENG</t>
  </si>
  <si>
    <t>ENGR - Engineering Related</t>
  </si>
  <si>
    <t>ENGR</t>
  </si>
  <si>
    <t>LA</t>
  </si>
  <si>
    <t>FL</t>
  </si>
  <si>
    <t>HODA</t>
  </si>
  <si>
    <t>HODH</t>
  </si>
  <si>
    <t>HOO</t>
  </si>
  <si>
    <t>HORT</t>
  </si>
  <si>
    <t>NUR</t>
  </si>
  <si>
    <t>MATH</t>
  </si>
  <si>
    <t>AUTO</t>
  </si>
  <si>
    <t>MECH</t>
  </si>
  <si>
    <t>ELECT</t>
  </si>
  <si>
    <t>PE</t>
  </si>
  <si>
    <t>PA</t>
  </si>
  <si>
    <t>SS</t>
  </si>
  <si>
    <t>FA</t>
  </si>
  <si>
    <t>DEM</t>
  </si>
  <si>
    <t>DER</t>
  </si>
  <si>
    <t>Instructional Support</t>
  </si>
  <si>
    <t>Total Non-fundable Expenses</t>
  </si>
  <si>
    <t>Total FTSE</t>
  </si>
  <si>
    <t>Total Expenditure</t>
  </si>
  <si>
    <t>Average Expenditure per FTSE</t>
  </si>
  <si>
    <t>Total for Instutions Reporting Expense</t>
  </si>
  <si>
    <t>Summary of Expense divided  Contact Hours</t>
  </si>
  <si>
    <t>Average Total Expenditure per Full-Time Student Equivalent (FTSE)</t>
  </si>
  <si>
    <t>Discipline Analysis by Institution</t>
  </si>
  <si>
    <t>Annual State Funded Semester Credit Hours</t>
  </si>
  <si>
    <t>Alvin</t>
  </si>
  <si>
    <t>Austin</t>
  </si>
  <si>
    <t>Mclennan</t>
  </si>
  <si>
    <t>Northeast Texas</t>
  </si>
  <si>
    <t>Cisco</t>
  </si>
  <si>
    <t>Laredo</t>
  </si>
  <si>
    <t>Paris</t>
  </si>
  <si>
    <t>Southwest Texas</t>
  </si>
  <si>
    <t>Temple</t>
  </si>
  <si>
    <t>Tyler</t>
  </si>
  <si>
    <t>Amarillo</t>
  </si>
  <si>
    <t>Angelina</t>
  </si>
  <si>
    <t>Blinn</t>
  </si>
  <si>
    <t>Brazosport</t>
  </si>
  <si>
    <t>Clarendon</t>
  </si>
  <si>
    <t>Coastal Bend</t>
  </si>
  <si>
    <t>Del Mar</t>
  </si>
  <si>
    <t>Frank Phillips</t>
  </si>
  <si>
    <t>Galveston</t>
  </si>
  <si>
    <t>Hill</t>
  </si>
  <si>
    <t xml:space="preserve">Howard </t>
  </si>
  <si>
    <t>Kilgore</t>
  </si>
  <si>
    <t>Lee</t>
  </si>
  <si>
    <t>Lonestar</t>
  </si>
  <si>
    <t>Midland</t>
  </si>
  <si>
    <t>Navarro</t>
  </si>
  <si>
    <t>North Central Texas</t>
  </si>
  <si>
    <t>Odessa</t>
  </si>
  <si>
    <t>Panola</t>
  </si>
  <si>
    <t>Ranger</t>
  </si>
  <si>
    <t>South Plains</t>
  </si>
  <si>
    <t>South Texas</t>
  </si>
  <si>
    <t>Texarkana</t>
  </si>
  <si>
    <t>Texas Southmost</t>
  </si>
  <si>
    <t>Vernon</t>
  </si>
  <si>
    <t>Victoria</t>
  </si>
  <si>
    <t>Weatherford</t>
  </si>
  <si>
    <t>Western Texas</t>
  </si>
  <si>
    <t>Collin</t>
  </si>
  <si>
    <t>Dallas</t>
  </si>
  <si>
    <t>El Paso</t>
  </si>
  <si>
    <t>Houston</t>
  </si>
  <si>
    <t>San Jacinto</t>
  </si>
  <si>
    <t>Tarrant</t>
  </si>
  <si>
    <t>Trinity Valley</t>
  </si>
  <si>
    <t>Wharton</t>
  </si>
  <si>
    <t>Alamo</t>
  </si>
  <si>
    <t>Central Texas</t>
  </si>
  <si>
    <t>Grayson</t>
  </si>
  <si>
    <t>per Hour</t>
  </si>
  <si>
    <t>1</t>
  </si>
  <si>
    <t>008900</t>
  </si>
  <si>
    <t>103634</t>
  </si>
  <si>
    <t>109225</t>
  </si>
  <si>
    <t>358135</t>
  </si>
  <si>
    <t>North Harris Montgomery Community College District</t>
  </si>
  <si>
    <t>Other Allocated Administrative Expenses - Library - Total</t>
  </si>
  <si>
    <t>Other Allocated Administrative Expenses - Instructional Administration - Total</t>
  </si>
  <si>
    <t>Other Allocated Administrative Expenses - Organized Activities - Total</t>
  </si>
  <si>
    <t>Library</t>
  </si>
  <si>
    <t>Instructional Administration</t>
  </si>
  <si>
    <t>Organized Activities</t>
  </si>
  <si>
    <t>Community and Technical Colleges, Report of Fundable Operating Expenses, Fiscal Year (FY) 2002</t>
  </si>
  <si>
    <t>Contact Hours for fall 2001 and spring and summer 2002</t>
  </si>
  <si>
    <t>Rate History</t>
  </si>
  <si>
    <t>Year over Year Change</t>
  </si>
  <si>
    <t>Expense per Contact Hour by
 Discipline</t>
  </si>
  <si>
    <t>Average</t>
  </si>
  <si>
    <t>Median</t>
  </si>
  <si>
    <t>Standard Deviation</t>
  </si>
  <si>
    <t>Percent of Rates to Maintain Funding Total</t>
  </si>
  <si>
    <t>This calculation is completed to indicate the relative change in financing assuming the legislature were to fund the institutions at the same total as the previous biennium. The percent funded used against the current rates is adjusted so that the total funded for all institutions is equal to the previous biennium's percent funded.</t>
  </si>
  <si>
    <t>Percent Change</t>
  </si>
  <si>
    <t>Percent of Rates Funded</t>
  </si>
  <si>
    <t>Lone Star College System District</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</si>
</sst>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
    <numFmt numFmtId="167" formatCode="&quot;$&quot;#,##0\ ;\(&quot;$&quot;#,##0\)"/>
    <numFmt numFmtId="168" formatCode="dd\-mmm\-yy"/>
    <numFmt numFmtId="169" formatCode="0.0%"/>
    <numFmt numFmtId="170" formatCode="&quot;$&quot;#,##0.00"/>
  </numFmts>
  <fonts count="23" x14ac:knownFonts="1">
    <font>
      <sz val="11"/>
      <color theme="1"/>
      <name val="Calibri"/>
      <family val="2"/>
      <scheme val="minor"/>
    </font>
    <font>
      <sz val="11"/>
      <color theme="1"/>
      <name val="Calibri"/>
      <family val="2"/>
      <scheme val="minor"/>
    </font>
    <font>
      <sz val="11"/>
      <color theme="1"/>
      <name val="Tahoma"/>
      <family val="2"/>
    </font>
    <font>
      <b/>
      <sz val="11"/>
      <color theme="1"/>
      <name val="Tahoma"/>
      <family val="2"/>
    </font>
    <font>
      <sz val="10"/>
      <name val="MS Sans Serif"/>
      <family val="2"/>
    </font>
    <font>
      <sz val="11"/>
      <name val="Tahoma"/>
      <family val="2"/>
    </font>
    <font>
      <b/>
      <sz val="11"/>
      <name val="Tahoma"/>
      <family val="2"/>
    </font>
    <font>
      <b/>
      <sz val="11"/>
      <color theme="0"/>
      <name val="Tahoma"/>
      <family val="2"/>
    </font>
    <font>
      <sz val="11"/>
      <color theme="0"/>
      <name val="Tahoma"/>
      <family val="2"/>
    </font>
    <font>
      <sz val="12"/>
      <name val="Arial"/>
      <family val="2"/>
    </font>
    <font>
      <sz val="10"/>
      <name val="Arial"/>
      <family val="2"/>
    </font>
    <font>
      <sz val="11"/>
      <color indexed="8"/>
      <name val="Calibri"/>
      <family val="2"/>
    </font>
    <font>
      <sz val="11"/>
      <color indexed="8"/>
      <name val="Tahoma"/>
      <family val="2"/>
    </font>
    <font>
      <sz val="10"/>
      <name val="System"/>
      <family val="2"/>
    </font>
    <font>
      <i/>
      <sz val="10"/>
      <name val="System"/>
      <family val="2"/>
    </font>
    <font>
      <sz val="10"/>
      <color indexed="24"/>
      <name val="Arial"/>
      <family val="2"/>
    </font>
    <font>
      <b/>
      <sz val="18"/>
      <color indexed="24"/>
      <name val="Arial"/>
      <family val="2"/>
    </font>
    <font>
      <b/>
      <sz val="12"/>
      <color indexed="24"/>
      <name val="Arial"/>
      <family val="2"/>
    </font>
    <font>
      <sz val="10"/>
      <name val="Verdana"/>
      <family val="2"/>
    </font>
    <font>
      <sz val="10"/>
      <color indexed="8"/>
      <name val="Arial"/>
      <family val="2"/>
    </font>
    <font>
      <sz val="10"/>
      <name val="Arial"/>
      <family val="2"/>
    </font>
    <font>
      <sz val="11"/>
      <color indexed="8"/>
      <name val="Calibri"/>
      <family val="2"/>
    </font>
    <font>
      <sz val="10"/>
      <color indexed="8"/>
      <name val="Arial"/>
      <family val="2"/>
    </font>
  </fonts>
  <fills count="4">
    <fill>
      <patternFill patternType="none"/>
    </fill>
    <fill>
      <patternFill patternType="gray125"/>
    </fill>
    <fill>
      <patternFill patternType="solid">
        <fgColor rgb="FFFF0000"/>
        <bgColor indexed="64"/>
      </patternFill>
    </fill>
    <fill>
      <patternFill patternType="solid">
        <fgColor rgb="FFFFE1E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s>
  <cellStyleXfs count="291">
    <xf numFmtId="0" fontId="0" fillId="0" borderId="0"/>
    <xf numFmtId="43" fontId="1" fillId="0" borderId="0" applyFont="0" applyFill="0" applyBorder="0" applyAlignment="0" applyProtection="0"/>
    <xf numFmtId="44" fontId="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7" fontId="9" fillId="0" borderId="0"/>
    <xf numFmtId="9" fontId="10"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9"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44" fontId="10" fillId="0" borderId="0" applyFont="0" applyFill="0" applyBorder="0" applyAlignment="0" applyProtection="0"/>
    <xf numFmtId="0" fontId="10" fillId="0" borderId="0"/>
    <xf numFmtId="0" fontId="4" fillId="0" borderId="0"/>
    <xf numFmtId="0" fontId="4" fillId="0" borderId="0"/>
    <xf numFmtId="0" fontId="9" fillId="0" borderId="0"/>
    <xf numFmtId="43"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3" fontId="10" fillId="0" borderId="0"/>
    <xf numFmtId="43" fontId="4" fillId="0" borderId="0" applyFont="0" applyFill="0" applyBorder="0" applyAlignment="0" applyProtection="0"/>
    <xf numFmtId="43" fontId="10" fillId="0" borderId="0" applyFont="0" applyFill="0" applyBorder="0" applyAlignment="0" applyProtection="0"/>
    <xf numFmtId="3" fontId="10" fillId="0" borderId="0"/>
    <xf numFmtId="44" fontId="10" fillId="0" borderId="0" applyFont="0" applyFill="0" applyBorder="0" applyAlignment="0" applyProtection="0"/>
    <xf numFmtId="44"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 fillId="0" borderId="0"/>
    <xf numFmtId="0" fontId="9" fillId="0" borderId="0"/>
    <xf numFmtId="0" fontId="9" fillId="0" borderId="0"/>
    <xf numFmtId="0" fontId="9" fillId="0" borderId="0"/>
    <xf numFmtId="0" fontId="2" fillId="0" borderId="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4" fillId="0" borderId="0" applyFont="0" applyFill="0" applyBorder="0" applyAlignment="0" applyProtection="0"/>
    <xf numFmtId="0" fontId="10" fillId="0" borderId="0"/>
    <xf numFmtId="0" fontId="10" fillId="0" borderId="0"/>
    <xf numFmtId="0" fontId="10"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4" fillId="0" borderId="0" applyFont="0" applyFill="0" applyBorder="0" applyAlignment="0" applyProtection="0"/>
    <xf numFmtId="0" fontId="1" fillId="0" borderId="0"/>
    <xf numFmtId="43" fontId="10" fillId="0" borderId="0" applyFont="0" applyFill="0" applyBorder="0" applyAlignment="0" applyProtection="0"/>
    <xf numFmtId="3" fontId="15" fillId="0" borderId="0" applyFont="0" applyFill="0" applyBorder="0" applyAlignment="0" applyProtection="0"/>
    <xf numFmtId="167"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36" applyNumberFormat="0" applyFont="0" applyFill="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43" fontId="20"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20" fillId="0" borderId="0"/>
    <xf numFmtId="43" fontId="19" fillId="0" borderId="0" applyFont="0" applyFill="0" applyBorder="0" applyAlignment="0" applyProtection="0"/>
    <xf numFmtId="0" fontId="19" fillId="0" borderId="0"/>
    <xf numFmtId="0" fontId="4" fillId="0" borderId="0"/>
    <xf numFmtId="0" fontId="22" fillId="0" borderId="0"/>
    <xf numFmtId="9" fontId="1" fillId="0" borderId="0" applyFont="0" applyFill="0" applyBorder="0" applyAlignment="0" applyProtection="0"/>
  </cellStyleXfs>
  <cellXfs count="210">
    <xf numFmtId="0" fontId="0" fillId="0" borderId="0" xfId="0"/>
    <xf numFmtId="0" fontId="2" fillId="0" borderId="0" xfId="0" applyFont="1"/>
    <xf numFmtId="43" fontId="2" fillId="0" borderId="0" xfId="2" applyNumberFormat="1" applyFont="1"/>
    <xf numFmtId="0" fontId="2" fillId="0" borderId="0" xfId="0" quotePrefix="1" applyFont="1"/>
    <xf numFmtId="165" fontId="2" fillId="0" borderId="0" xfId="2" applyNumberFormat="1" applyFont="1"/>
    <xf numFmtId="0" fontId="3" fillId="0" borderId="0" xfId="0" quotePrefix="1" applyFont="1"/>
    <xf numFmtId="0" fontId="2" fillId="0" borderId="0" xfId="0" applyFont="1"/>
    <xf numFmtId="0" fontId="2" fillId="0" borderId="0" xfId="0" applyFont="1"/>
    <xf numFmtId="44" fontId="2" fillId="0" borderId="0" xfId="2" applyNumberFormat="1" applyFont="1"/>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164" fontId="2" fillId="0" borderId="1" xfId="1" applyNumberFormat="1" applyFont="1" applyBorder="1"/>
    <xf numFmtId="165" fontId="2" fillId="0" borderId="1" xfId="2" applyNumberFormat="1" applyFont="1" applyBorder="1"/>
    <xf numFmtId="44" fontId="2" fillId="0" borderId="1" xfId="2" applyNumberFormat="1" applyFont="1" applyBorder="1"/>
    <xf numFmtId="164" fontId="2" fillId="0" borderId="1" xfId="2" applyNumberFormat="1" applyFont="1" applyBorder="1"/>
    <xf numFmtId="43" fontId="2" fillId="0" borderId="1" xfId="2" applyNumberFormat="1" applyFont="1" applyBorder="1"/>
    <xf numFmtId="0" fontId="5" fillId="0" borderId="5" xfId="3" applyFont="1" applyBorder="1" applyAlignment="1">
      <alignment horizontal="center"/>
    </xf>
    <xf numFmtId="44" fontId="2" fillId="0" borderId="6" xfId="2" applyNumberFormat="1" applyFont="1" applyBorder="1"/>
    <xf numFmtId="43" fontId="2" fillId="0" borderId="6" xfId="2" applyNumberFormat="1" applyFont="1" applyBorder="1"/>
    <xf numFmtId="0" fontId="5" fillId="0" borderId="7" xfId="3" applyFont="1" applyBorder="1" applyAlignment="1">
      <alignment horizontal="center"/>
    </xf>
    <xf numFmtId="164" fontId="2" fillId="0" borderId="8" xfId="1" applyNumberFormat="1" applyFont="1" applyBorder="1"/>
    <xf numFmtId="164" fontId="2" fillId="0" borderId="8" xfId="2" applyNumberFormat="1" applyFont="1" applyBorder="1"/>
    <xf numFmtId="43" fontId="2" fillId="0" borderId="9" xfId="2" applyNumberFormat="1" applyFont="1" applyBorder="1"/>
    <xf numFmtId="0" fontId="7" fillId="2" borderId="2" xfId="0" applyFont="1" applyFill="1" applyBorder="1" applyAlignment="1">
      <alignment horizontal="center"/>
    </xf>
    <xf numFmtId="0" fontId="7" fillId="2" borderId="3" xfId="0" applyFont="1" applyFill="1" applyBorder="1" applyAlignment="1">
      <alignment horizontal="center" wrapText="1"/>
    </xf>
    <xf numFmtId="164" fontId="7" fillId="2" borderId="3" xfId="1" applyNumberFormat="1" applyFont="1" applyFill="1" applyBorder="1" applyAlignment="1">
      <alignment horizontal="center" wrapText="1"/>
    </xf>
    <xf numFmtId="43" fontId="7" fillId="2" borderId="4" xfId="1" applyFont="1" applyFill="1" applyBorder="1" applyAlignment="1">
      <alignment horizontal="center" wrapText="1"/>
    </xf>
    <xf numFmtId="0" fontId="3" fillId="0" borderId="0" xfId="0" applyFont="1" applyAlignment="1">
      <alignment horizontal="right"/>
    </xf>
    <xf numFmtId="165" fontId="3" fillId="0" borderId="0" xfId="2" applyNumberFormat="1" applyFont="1"/>
    <xf numFmtId="44" fontId="3" fillId="0" borderId="0" xfId="2" applyNumberFormat="1" applyFont="1"/>
    <xf numFmtId="0" fontId="7" fillId="2" borderId="3" xfId="0" applyFont="1" applyFill="1" applyBorder="1" applyAlignment="1">
      <alignment horizontal="center"/>
    </xf>
    <xf numFmtId="164" fontId="3" fillId="0" borderId="0" xfId="0" applyNumberFormat="1" applyFont="1"/>
    <xf numFmtId="0" fontId="2" fillId="0" borderId="10" xfId="0" applyFont="1" applyBorder="1"/>
    <xf numFmtId="0" fontId="2" fillId="0" borderId="11" xfId="0" applyFont="1" applyBorder="1"/>
    <xf numFmtId="0" fontId="2" fillId="0" borderId="12" xfId="0" applyFont="1" applyBorder="1"/>
    <xf numFmtId="0" fontId="6" fillId="0" borderId="0" xfId="3" applyFont="1" applyAlignment="1"/>
    <xf numFmtId="0" fontId="6" fillId="0" borderId="0" xfId="3" applyFont="1" applyAlignment="1">
      <alignment horizontal="right"/>
    </xf>
    <xf numFmtId="0" fontId="0" fillId="0" borderId="0" xfId="0" applyAlignment="1">
      <alignment horizontal="center" wrapText="1"/>
    </xf>
    <xf numFmtId="0" fontId="0" fillId="0" borderId="0" xfId="0" applyAlignment="1"/>
    <xf numFmtId="0" fontId="2" fillId="0" borderId="5" xfId="0" applyFont="1" applyBorder="1"/>
    <xf numFmtId="0" fontId="2" fillId="0" borderId="7" xfId="0" applyFont="1" applyBorder="1"/>
    <xf numFmtId="0" fontId="7" fillId="2" borderId="4" xfId="0" applyFont="1" applyFill="1" applyBorder="1" applyAlignment="1">
      <alignment horizontal="center"/>
    </xf>
    <xf numFmtId="0" fontId="7" fillId="2" borderId="2" xfId="0" applyFont="1" applyFill="1" applyBorder="1" applyAlignment="1">
      <alignment horizontal="center" wrapText="1"/>
    </xf>
    <xf numFmtId="0" fontId="7" fillId="2" borderId="4" xfId="0" applyFont="1" applyFill="1" applyBorder="1" applyAlignment="1">
      <alignment horizontal="center" wrapText="1"/>
    </xf>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41" fontId="2" fillId="0" borderId="1" xfId="2" applyNumberFormat="1" applyFont="1" applyBorder="1"/>
    <xf numFmtId="41" fontId="3" fillId="0" borderId="1" xfId="2" applyNumberFormat="1" applyFont="1" applyBorder="1"/>
    <xf numFmtId="41" fontId="2" fillId="0" borderId="8" xfId="2" applyNumberFormat="1" applyFont="1" applyBorder="1"/>
    <xf numFmtId="41" fontId="2" fillId="0" borderId="28" xfId="2" applyNumberFormat="1" applyFont="1" applyBorder="1"/>
    <xf numFmtId="41" fontId="2" fillId="0" borderId="29" xfId="2" applyNumberFormat="1" applyFont="1" applyBorder="1"/>
    <xf numFmtId="0" fontId="2" fillId="0" borderId="23" xfId="0" applyFont="1" applyBorder="1" applyAlignment="1">
      <alignment wrapText="1"/>
    </xf>
    <xf numFmtId="0" fontId="8" fillId="0" borderId="0" xfId="0" applyFont="1"/>
    <xf numFmtId="0" fontId="2" fillId="0" borderId="0" xfId="0" applyFont="1"/>
    <xf numFmtId="0" fontId="3" fillId="0" borderId="0" xfId="0" applyFont="1"/>
    <xf numFmtId="164" fontId="3" fillId="0" borderId="0" xfId="1" applyNumberFormat="1" applyFont="1"/>
    <xf numFmtId="0" fontId="2" fillId="0" borderId="0" xfId="0" applyFont="1"/>
    <xf numFmtId="164" fontId="2" fillId="0" borderId="0" xfId="1" applyNumberFormat="1" applyFont="1"/>
    <xf numFmtId="0" fontId="3" fillId="0" borderId="0" xfId="0" applyFont="1"/>
    <xf numFmtId="43" fontId="2" fillId="0" borderId="0" xfId="0" applyNumberFormat="1" applyFont="1"/>
    <xf numFmtId="43" fontId="2" fillId="0" borderId="8" xfId="2" applyNumberFormat="1" applyFont="1" applyBorder="1"/>
    <xf numFmtId="0" fontId="0" fillId="0" borderId="0" xfId="0"/>
    <xf numFmtId="0" fontId="2" fillId="0" borderId="0" xfId="0" applyFont="1"/>
    <xf numFmtId="164" fontId="2" fillId="0" borderId="0" xfId="0" applyNumberFormat="1" applyFont="1"/>
    <xf numFmtId="0" fontId="3" fillId="0" borderId="0" xfId="0" applyFont="1"/>
    <xf numFmtId="43" fontId="2" fillId="3" borderId="10" xfId="2" applyNumberFormat="1" applyFont="1" applyFill="1" applyBorder="1"/>
    <xf numFmtId="43" fontId="2" fillId="0" borderId="27" xfId="0" applyNumberFormat="1" applyFont="1" applyBorder="1"/>
    <xf numFmtId="0" fontId="12" fillId="0" borderId="26" xfId="26" applyFont="1" applyFill="1" applyBorder="1" applyAlignment="1" applyProtection="1">
      <alignment horizontal="left" wrapText="1"/>
    </xf>
    <xf numFmtId="43" fontId="2" fillId="3" borderId="1" xfId="2" applyNumberFormat="1" applyFont="1" applyFill="1" applyBorder="1"/>
    <xf numFmtId="44" fontId="2" fillId="3" borderId="1" xfId="2" applyNumberFormat="1" applyFont="1" applyFill="1" applyBorder="1"/>
    <xf numFmtId="0" fontId="8" fillId="0" borderId="0" xfId="3" applyFont="1" applyFill="1" applyBorder="1" applyAlignment="1"/>
    <xf numFmtId="41" fontId="2" fillId="0" borderId="1" xfId="2" applyNumberFormat="1" applyFont="1" applyFill="1" applyBorder="1"/>
    <xf numFmtId="165" fontId="2" fillId="0" borderId="19" xfId="2" applyNumberFormat="1" applyFont="1" applyFill="1" applyBorder="1"/>
    <xf numFmtId="165" fontId="2" fillId="0" borderId="8" xfId="2" applyNumberFormat="1" applyFont="1" applyFill="1" applyBorder="1"/>
    <xf numFmtId="164" fontId="2" fillId="0" borderId="8" xfId="1" applyNumberFormat="1" applyFont="1" applyFill="1" applyBorder="1"/>
    <xf numFmtId="165" fontId="2" fillId="0" borderId="17" xfId="2" applyNumberFormat="1" applyFont="1" applyFill="1" applyBorder="1"/>
    <xf numFmtId="0" fontId="12" fillId="0" borderId="7" xfId="26" applyFont="1" applyFill="1" applyBorder="1" applyAlignment="1" applyProtection="1">
      <alignment horizontal="left" wrapText="1"/>
    </xf>
    <xf numFmtId="165" fontId="2" fillId="0" borderId="1" xfId="2" applyNumberFormat="1" applyFont="1" applyFill="1" applyBorder="1"/>
    <xf numFmtId="0" fontId="2" fillId="0" borderId="0" xfId="0" applyFont="1" applyAlignment="1">
      <alignment wrapText="1"/>
    </xf>
    <xf numFmtId="164" fontId="2" fillId="0" borderId="1" xfId="1" applyNumberFormat="1" applyFont="1" applyFill="1" applyBorder="1"/>
    <xf numFmtId="0" fontId="5" fillId="0" borderId="0" xfId="0" applyFont="1" applyFill="1" applyBorder="1" applyAlignment="1"/>
    <xf numFmtId="0" fontId="6" fillId="0" borderId="0" xfId="0" applyFont="1" applyFill="1" applyBorder="1" applyAlignment="1"/>
    <xf numFmtId="0" fontId="5" fillId="0" borderId="0" xfId="3" applyFont="1" applyFill="1" applyBorder="1" applyAlignment="1"/>
    <xf numFmtId="0" fontId="7" fillId="0" borderId="0" xfId="0" applyFont="1" applyFill="1" applyBorder="1" applyAlignment="1"/>
    <xf numFmtId="0" fontId="12" fillId="0" borderId="2" xfId="26" applyFont="1" applyFill="1" applyBorder="1" applyAlignment="1" applyProtection="1">
      <alignment horizontal="left" wrapText="1"/>
    </xf>
    <xf numFmtId="3" fontId="5" fillId="0" borderId="7" xfId="59" applyNumberFormat="1" applyFont="1" applyFill="1" applyBorder="1" applyAlignment="1" applyProtection="1">
      <alignment horizontal="left"/>
    </xf>
    <xf numFmtId="0" fontId="12" fillId="0" borderId="5" xfId="26" applyFont="1" applyFill="1" applyBorder="1" applyAlignment="1" applyProtection="1">
      <alignment horizontal="left" wrapText="1"/>
    </xf>
    <xf numFmtId="37" fontId="5" fillId="0" borderId="5" xfId="6" applyFont="1" applyFill="1" applyBorder="1"/>
    <xf numFmtId="37" fontId="5" fillId="0" borderId="5" xfId="6" applyFont="1" applyBorder="1"/>
    <xf numFmtId="43" fontId="2" fillId="0" borderId="6" xfId="0" applyNumberFormat="1" applyFont="1" applyBorder="1"/>
    <xf numFmtId="44" fontId="2" fillId="0" borderId="6" xfId="0" applyNumberFormat="1" applyFont="1" applyBorder="1"/>
    <xf numFmtId="3" fontId="5" fillId="0" borderId="5" xfId="59" applyNumberFormat="1" applyFont="1" applyFill="1" applyBorder="1" applyAlignment="1" applyProtection="1">
      <alignment horizontal="left"/>
    </xf>
    <xf numFmtId="3" fontId="5" fillId="3" borderId="18" xfId="59" quotePrefix="1" applyNumberFormat="1" applyFont="1" applyFill="1" applyBorder="1" applyAlignment="1" applyProtection="1">
      <alignment horizontal="right"/>
    </xf>
    <xf numFmtId="3" fontId="5" fillId="3" borderId="18" xfId="59" applyNumberFormat="1" applyFont="1" applyFill="1" applyBorder="1" applyAlignment="1" applyProtection="1">
      <alignment horizontal="right"/>
    </xf>
    <xf numFmtId="3" fontId="5" fillId="3" borderId="13" xfId="59" applyNumberFormat="1" applyFont="1" applyFill="1" applyBorder="1" applyAlignment="1" applyProtection="1">
      <alignment horizontal="right"/>
    </xf>
    <xf numFmtId="166" fontId="0" fillId="0" borderId="0" xfId="0" applyNumberFormat="1"/>
    <xf numFmtId="0" fontId="7" fillId="2" borderId="33" xfId="59" applyFont="1" applyFill="1" applyBorder="1" applyAlignment="1">
      <alignment horizontal="center" wrapText="1"/>
    </xf>
    <xf numFmtId="37" fontId="5" fillId="0" borderId="32" xfId="6" applyFont="1" applyBorder="1"/>
    <xf numFmtId="0" fontId="7" fillId="2" borderId="30" xfId="59" applyFont="1" applyFill="1" applyBorder="1" applyAlignment="1">
      <alignment horizontal="center" wrapText="1"/>
    </xf>
    <xf numFmtId="0" fontId="7" fillId="2" borderId="31" xfId="59" applyFont="1" applyFill="1" applyBorder="1" applyAlignment="1">
      <alignment horizontal="center" wrapText="1"/>
    </xf>
    <xf numFmtId="0" fontId="10" fillId="0" borderId="0" xfId="59"/>
    <xf numFmtId="0" fontId="5" fillId="0" borderId="0" xfId="59" applyFont="1"/>
    <xf numFmtId="0" fontId="6" fillId="0" borderId="0" xfId="59" applyFont="1" applyFill="1" applyAlignment="1">
      <alignment horizontal="left"/>
    </xf>
    <xf numFmtId="0" fontId="6" fillId="0" borderId="0" xfId="59" quotePrefix="1" applyFont="1" applyFill="1" applyAlignment="1">
      <alignment horizontal="left"/>
    </xf>
    <xf numFmtId="164" fontId="5" fillId="0" borderId="3" xfId="32" applyNumberFormat="1" applyFont="1" applyFill="1" applyBorder="1" applyAlignment="1">
      <alignment horizontal="right"/>
    </xf>
    <xf numFmtId="166" fontId="5" fillId="0" borderId="3" xfId="59" applyNumberFormat="1" applyFont="1" applyFill="1" applyBorder="1"/>
    <xf numFmtId="166" fontId="5" fillId="0" borderId="4" xfId="59" applyNumberFormat="1" applyFont="1" applyFill="1" applyBorder="1"/>
    <xf numFmtId="3" fontId="5" fillId="0" borderId="1" xfId="59" applyNumberFormat="1" applyFont="1" applyFill="1" applyBorder="1" applyAlignment="1">
      <alignment horizontal="right"/>
    </xf>
    <xf numFmtId="3" fontId="5" fillId="0" borderId="6" xfId="59" applyNumberFormat="1" applyFont="1" applyFill="1" applyBorder="1" applyAlignment="1">
      <alignment horizontal="right"/>
    </xf>
    <xf numFmtId="3" fontId="5" fillId="0" borderId="1" xfId="59" applyNumberFormat="1" applyFont="1" applyFill="1" applyBorder="1"/>
    <xf numFmtId="3" fontId="5" fillId="0" borderId="6" xfId="59" applyNumberFormat="1" applyFont="1" applyFill="1" applyBorder="1"/>
    <xf numFmtId="3" fontId="6" fillId="0" borderId="8" xfId="59" applyNumberFormat="1" applyFont="1" applyFill="1" applyBorder="1" applyAlignment="1">
      <alignment horizontal="right"/>
    </xf>
    <xf numFmtId="166" fontId="6" fillId="0" borderId="8" xfId="59" applyNumberFormat="1" applyFont="1" applyFill="1" applyBorder="1"/>
    <xf numFmtId="166" fontId="6" fillId="0" borderId="9" xfId="59" applyNumberFormat="1" applyFont="1" applyFill="1" applyBorder="1"/>
    <xf numFmtId="44" fontId="2" fillId="0" borderId="3" xfId="2" applyFont="1" applyBorder="1"/>
    <xf numFmtId="44" fontId="2" fillId="0" borderId="4" xfId="2" applyFont="1" applyBorder="1"/>
    <xf numFmtId="0" fontId="7" fillId="2" borderId="32" xfId="0" applyFont="1" applyFill="1" applyBorder="1" applyAlignment="1">
      <alignment horizontal="center" wrapText="1"/>
    </xf>
    <xf numFmtId="43" fontId="2" fillId="0" borderId="1" xfId="1" applyFont="1" applyFill="1" applyBorder="1"/>
    <xf numFmtId="44" fontId="2" fillId="0" borderId="1" xfId="2" applyFont="1" applyFill="1" applyBorder="1"/>
    <xf numFmtId="43" fontId="2" fillId="0" borderId="8" xfId="1" applyFont="1" applyFill="1" applyBorder="1"/>
    <xf numFmtId="0" fontId="7" fillId="2" borderId="6" xfId="0" applyFont="1" applyFill="1" applyBorder="1" applyAlignment="1">
      <alignment horizontal="center" wrapText="1"/>
    </xf>
    <xf numFmtId="44" fontId="2" fillId="0" borderId="6" xfId="2" applyFont="1" applyFill="1" applyBorder="1"/>
    <xf numFmtId="43" fontId="2" fillId="0" borderId="6" xfId="1" applyFont="1" applyFill="1" applyBorder="1"/>
    <xf numFmtId="43" fontId="2" fillId="0" borderId="9" xfId="1" applyFont="1" applyFill="1" applyBorder="1"/>
    <xf numFmtId="0" fontId="4" fillId="0" borderId="0" xfId="3"/>
    <xf numFmtId="0" fontId="0" fillId="0" borderId="0" xfId="0" applyNumberFormat="1"/>
    <xf numFmtId="43" fontId="2" fillId="0" borderId="1" xfId="1" applyNumberFormat="1" applyFont="1" applyFill="1" applyBorder="1"/>
    <xf numFmtId="0" fontId="0" fillId="0" borderId="0" xfId="0" applyAlignment="1">
      <alignment horizontal="center"/>
    </xf>
    <xf numFmtId="0" fontId="0" fillId="0" borderId="0" xfId="0"/>
    <xf numFmtId="0" fontId="0" fillId="0" borderId="0" xfId="0" applyNumberFormat="1"/>
    <xf numFmtId="0" fontId="21" fillId="0" borderId="40" xfId="289" applyFont="1" applyFill="1" applyBorder="1" applyAlignment="1"/>
    <xf numFmtId="168" fontId="21" fillId="0" borderId="40" xfId="289" applyNumberFormat="1" applyFont="1" applyFill="1" applyBorder="1" applyAlignment="1">
      <alignment horizontal="right"/>
    </xf>
    <xf numFmtId="0" fontId="5" fillId="0" borderId="17" xfId="3" applyFont="1" applyBorder="1" applyAlignment="1">
      <alignment horizontal="left" wrapText="1"/>
    </xf>
    <xf numFmtId="0" fontId="5" fillId="0" borderId="19" xfId="3" applyFont="1" applyBorder="1" applyAlignment="1">
      <alignment horizontal="left" wrapText="1"/>
    </xf>
    <xf numFmtId="0" fontId="7" fillId="2" borderId="16" xfId="0" applyFont="1" applyFill="1" applyBorder="1" applyAlignment="1">
      <alignment horizontal="center" wrapText="1"/>
    </xf>
    <xf numFmtId="0" fontId="7" fillId="2" borderId="2" xfId="0" applyFont="1" applyFill="1" applyBorder="1" applyAlignment="1">
      <alignment horizontal="center"/>
    </xf>
    <xf numFmtId="0" fontId="7" fillId="2" borderId="37" xfId="0" applyFont="1" applyFill="1" applyBorder="1" applyAlignment="1">
      <alignment horizontal="center" wrapText="1"/>
    </xf>
    <xf numFmtId="44" fontId="2" fillId="0" borderId="0" xfId="0" applyNumberFormat="1" applyFont="1"/>
    <xf numFmtId="0" fontId="7" fillId="2" borderId="3" xfId="1" applyNumberFormat="1" applyFont="1" applyFill="1" applyBorder="1" applyAlignment="1">
      <alignment horizontal="center" wrapText="1"/>
    </xf>
    <xf numFmtId="0" fontId="7" fillId="2" borderId="38" xfId="1" applyNumberFormat="1" applyFont="1" applyFill="1" applyBorder="1" applyAlignment="1">
      <alignment horizontal="center" wrapText="1"/>
    </xf>
    <xf numFmtId="0" fontId="7" fillId="2" borderId="2" xfId="1" applyNumberFormat="1" applyFont="1" applyFill="1" applyBorder="1" applyAlignment="1">
      <alignment horizontal="center" wrapText="1"/>
    </xf>
    <xf numFmtId="44" fontId="2" fillId="0" borderId="35" xfId="2" applyNumberFormat="1" applyFont="1" applyBorder="1"/>
    <xf numFmtId="169" fontId="2" fillId="0" borderId="5" xfId="290" applyNumberFormat="1" applyFont="1" applyBorder="1"/>
    <xf numFmtId="169" fontId="2" fillId="0" borderId="35" xfId="290" applyNumberFormat="1" applyFont="1" applyBorder="1"/>
    <xf numFmtId="43" fontId="2" fillId="0" borderId="35" xfId="2" applyNumberFormat="1" applyFont="1" applyBorder="1"/>
    <xf numFmtId="43" fontId="2" fillId="0" borderId="41" xfId="2" applyNumberFormat="1" applyFont="1" applyBorder="1"/>
    <xf numFmtId="169" fontId="2" fillId="0" borderId="7" xfId="290" applyNumberFormat="1" applyFont="1" applyBorder="1"/>
    <xf numFmtId="169" fontId="2" fillId="0" borderId="41" xfId="290" applyNumberFormat="1" applyFont="1" applyBorder="1"/>
    <xf numFmtId="44" fontId="2" fillId="0" borderId="0" xfId="2" applyFont="1"/>
    <xf numFmtId="169" fontId="2" fillId="0" borderId="0" xfId="290" applyNumberFormat="1" applyFont="1"/>
    <xf numFmtId="0" fontId="6" fillId="0" borderId="0" xfId="59" applyFont="1"/>
    <xf numFmtId="3" fontId="6" fillId="0" borderId="0" xfId="37" applyNumberFormat="1" applyFont="1" applyFill="1" applyBorder="1" applyAlignment="1" applyProtection="1">
      <alignment horizontal="left"/>
    </xf>
    <xf numFmtId="0" fontId="5" fillId="0" borderId="0" xfId="37" applyFont="1" applyFill="1" applyBorder="1" applyAlignment="1">
      <alignment horizontal="right"/>
    </xf>
    <xf numFmtId="0" fontId="5" fillId="0" borderId="0" xfId="37" applyFont="1" applyFill="1" applyBorder="1" applyAlignment="1">
      <alignment vertical="top" wrapText="1"/>
    </xf>
    <xf numFmtId="3" fontId="7" fillId="2" borderId="42" xfId="37" applyNumberFormat="1" applyFont="1" applyFill="1" applyBorder="1" applyAlignment="1" applyProtection="1">
      <alignment horizontal="center"/>
    </xf>
    <xf numFmtId="3" fontId="7" fillId="2" borderId="31" xfId="37" quotePrefix="1" applyNumberFormat="1" applyFont="1" applyFill="1" applyBorder="1" applyAlignment="1" applyProtection="1">
      <alignment horizontal="center" wrapText="1"/>
    </xf>
    <xf numFmtId="170" fontId="7" fillId="2" borderId="31" xfId="37" applyNumberFormat="1" applyFont="1" applyFill="1" applyBorder="1" applyAlignment="1" applyProtection="1">
      <alignment horizontal="center" wrapText="1"/>
    </xf>
    <xf numFmtId="3" fontId="7" fillId="2" borderId="30" xfId="37" applyNumberFormat="1" applyFont="1" applyFill="1" applyBorder="1" applyAlignment="1" applyProtection="1">
      <alignment horizontal="center" wrapText="1"/>
    </xf>
    <xf numFmtId="3" fontId="6" fillId="3" borderId="42" xfId="37" applyNumberFormat="1" applyFont="1" applyFill="1" applyBorder="1" applyAlignment="1" applyProtection="1">
      <alignment horizontal="right"/>
    </xf>
    <xf numFmtId="10" fontId="6" fillId="3" borderId="31" xfId="107" quotePrefix="1" applyNumberFormat="1" applyFont="1" applyFill="1" applyBorder="1" applyAlignment="1" applyProtection="1">
      <alignment horizontal="center" wrapText="1"/>
    </xf>
    <xf numFmtId="10" fontId="6" fillId="3" borderId="31" xfId="290" applyNumberFormat="1" applyFont="1" applyFill="1" applyBorder="1" applyAlignment="1" applyProtection="1">
      <alignment horizontal="center" wrapText="1"/>
    </xf>
    <xf numFmtId="10" fontId="6" fillId="3" borderId="30" xfId="290" applyNumberFormat="1" applyFont="1" applyFill="1" applyBorder="1" applyAlignment="1" applyProtection="1">
      <alignment horizontal="center" wrapText="1"/>
    </xf>
    <xf numFmtId="165" fontId="5" fillId="0" borderId="1" xfId="139" applyNumberFormat="1" applyFont="1" applyFill="1" applyBorder="1" applyAlignment="1">
      <alignment horizontal="right" indent="1"/>
    </xf>
    <xf numFmtId="165" fontId="5" fillId="0" borderId="17" xfId="139" applyNumberFormat="1" applyFont="1" applyFill="1" applyBorder="1" applyAlignment="1">
      <alignment horizontal="right" indent="1"/>
    </xf>
    <xf numFmtId="10" fontId="5" fillId="0" borderId="6" xfId="290" applyNumberFormat="1" applyFont="1" applyFill="1" applyBorder="1" applyAlignment="1">
      <alignment horizontal="right" indent="1"/>
    </xf>
    <xf numFmtId="41" fontId="5" fillId="0" borderId="1" xfId="139" applyNumberFormat="1" applyFont="1" applyFill="1" applyBorder="1" applyAlignment="1">
      <alignment horizontal="right" indent="1"/>
    </xf>
    <xf numFmtId="164" fontId="5" fillId="0" borderId="17" xfId="139" applyNumberFormat="1" applyFont="1" applyFill="1" applyBorder="1" applyAlignment="1">
      <alignment horizontal="right" indent="1"/>
    </xf>
    <xf numFmtId="165" fontId="5" fillId="0" borderId="8" xfId="2" applyNumberFormat="1" applyFont="1" applyFill="1" applyBorder="1" applyAlignment="1">
      <alignment horizontal="right" indent="1"/>
    </xf>
    <xf numFmtId="165" fontId="5" fillId="0" borderId="19" xfId="2" applyNumberFormat="1" applyFont="1" applyFill="1" applyBorder="1" applyAlignment="1">
      <alignment horizontal="right" indent="1"/>
    </xf>
    <xf numFmtId="10" fontId="5" fillId="0" borderId="9" xfId="290" applyNumberFormat="1" applyFont="1" applyFill="1" applyBorder="1" applyAlignment="1">
      <alignment horizontal="right" indent="1"/>
    </xf>
    <xf numFmtId="164" fontId="0" fillId="0" borderId="0" xfId="1" applyNumberFormat="1" applyFont="1"/>
    <xf numFmtId="164" fontId="0" fillId="0" borderId="0" xfId="0" applyNumberFormat="1"/>
    <xf numFmtId="0" fontId="7" fillId="2" borderId="13" xfId="1" applyNumberFormat="1" applyFont="1" applyFill="1" applyBorder="1" applyAlignment="1">
      <alignment horizontal="center" wrapText="1"/>
    </xf>
    <xf numFmtId="169" fontId="2" fillId="0" borderId="18" xfId="290" applyNumberFormat="1" applyFont="1" applyBorder="1"/>
    <xf numFmtId="169" fontId="2" fillId="0" borderId="20" xfId="290" applyNumberFormat="1" applyFont="1" applyBorder="1"/>
    <xf numFmtId="164" fontId="2" fillId="0" borderId="24" xfId="1" applyNumberFormat="1" applyFont="1" applyBorder="1" applyAlignment="1">
      <alignment horizontal="left" wrapText="1"/>
    </xf>
    <xf numFmtId="164" fontId="2" fillId="0" borderId="15" xfId="1" applyNumberFormat="1" applyFont="1" applyBorder="1" applyAlignment="1">
      <alignment horizontal="left" wrapText="1"/>
    </xf>
    <xf numFmtId="0" fontId="5" fillId="0" borderId="17" xfId="3" applyFont="1" applyBorder="1" applyAlignment="1">
      <alignment horizontal="left" wrapText="1"/>
    </xf>
    <xf numFmtId="0" fontId="5" fillId="0" borderId="18" xfId="3" applyFont="1" applyBorder="1" applyAlignment="1">
      <alignment horizontal="left" wrapText="1"/>
    </xf>
    <xf numFmtId="0" fontId="5" fillId="0" borderId="19" xfId="3" applyFont="1" applyBorder="1" applyAlignment="1">
      <alignment horizontal="left" wrapText="1"/>
    </xf>
    <xf numFmtId="0" fontId="5" fillId="0" borderId="20" xfId="3" applyFont="1" applyBorder="1" applyAlignment="1">
      <alignment horizontal="left" wrapText="1"/>
    </xf>
    <xf numFmtId="0" fontId="7" fillId="2" borderId="21" xfId="0" applyFont="1" applyFill="1" applyBorder="1" applyAlignment="1">
      <alignment horizontal="center"/>
    </xf>
    <xf numFmtId="0" fontId="7" fillId="2" borderId="13" xfId="0" applyFont="1" applyFill="1" applyBorder="1" applyAlignment="1">
      <alignment horizontal="center"/>
    </xf>
    <xf numFmtId="164" fontId="2" fillId="0" borderId="22" xfId="1" applyNumberFormat="1" applyFont="1" applyBorder="1" applyAlignment="1">
      <alignment horizontal="left" wrapText="1"/>
    </xf>
    <xf numFmtId="164" fontId="2" fillId="0" borderId="14" xfId="1" applyNumberFormat="1" applyFont="1" applyBorder="1" applyAlignment="1">
      <alignment horizontal="left" wrapText="1"/>
    </xf>
    <xf numFmtId="164" fontId="2" fillId="0" borderId="25" xfId="1" applyNumberFormat="1" applyFont="1" applyBorder="1" applyAlignment="1">
      <alignment horizontal="left" wrapText="1"/>
    </xf>
    <xf numFmtId="164" fontId="2" fillId="0" borderId="18" xfId="1" applyNumberFormat="1" applyFont="1" applyBorder="1" applyAlignment="1">
      <alignment horizontal="left" wrapText="1"/>
    </xf>
    <xf numFmtId="0" fontId="7" fillId="2" borderId="16" xfId="0" applyFont="1" applyFill="1" applyBorder="1" applyAlignment="1">
      <alignment horizontal="center" wrapText="1"/>
    </xf>
    <xf numFmtId="0" fontId="7" fillId="2" borderId="13" xfId="0" applyFont="1" applyFill="1" applyBorder="1" applyAlignment="1">
      <alignment horizontal="center" wrapText="1"/>
    </xf>
    <xf numFmtId="0" fontId="2" fillId="0" borderId="0" xfId="0" quotePrefix="1" applyFont="1" applyAlignment="1">
      <alignment horizontal="left" vertical="top" wrapText="1"/>
    </xf>
    <xf numFmtId="0" fontId="5" fillId="0" borderId="7" xfId="3" applyFont="1" applyBorder="1" applyAlignment="1">
      <alignment horizontal="left"/>
    </xf>
    <xf numFmtId="0" fontId="5" fillId="0" borderId="8" xfId="3" applyFont="1" applyBorder="1" applyAlignment="1">
      <alignment horizontal="left"/>
    </xf>
    <xf numFmtId="0" fontId="5" fillId="0" borderId="9" xfId="3" applyFont="1" applyBorder="1" applyAlignment="1">
      <alignment horizontal="left"/>
    </xf>
    <xf numFmtId="0" fontId="2" fillId="0" borderId="25" xfId="0" applyFont="1" applyBorder="1" applyAlignment="1">
      <alignment horizontal="left"/>
    </xf>
    <xf numFmtId="0" fontId="2" fillId="0" borderId="34" xfId="0" applyFont="1" applyBorder="1" applyAlignment="1">
      <alignment horizontal="left"/>
    </xf>
    <xf numFmtId="0" fontId="2" fillId="0" borderId="35" xfId="0" applyFont="1" applyBorder="1" applyAlignment="1">
      <alignment horizontal="left"/>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5" fillId="0" borderId="5" xfId="3" applyFont="1" applyBorder="1" applyAlignment="1">
      <alignment horizontal="left"/>
    </xf>
    <xf numFmtId="0" fontId="5" fillId="0" borderId="1" xfId="3" applyFont="1" applyBorder="1" applyAlignment="1">
      <alignment horizontal="left"/>
    </xf>
    <xf numFmtId="0" fontId="5" fillId="0" borderId="6" xfId="3" applyFont="1" applyBorder="1" applyAlignment="1">
      <alignment horizontal="left"/>
    </xf>
    <xf numFmtId="0" fontId="7" fillId="2" borderId="38" xfId="0" applyFont="1" applyFill="1" applyBorder="1" applyAlignment="1">
      <alignment horizontal="center" wrapText="1"/>
    </xf>
    <xf numFmtId="0" fontId="7" fillId="2" borderId="39" xfId="0" applyFont="1" applyFill="1" applyBorder="1" applyAlignment="1">
      <alignment horizontal="center" wrapText="1"/>
    </xf>
    <xf numFmtId="0" fontId="7" fillId="2" borderId="37" xfId="0" applyFont="1" applyFill="1" applyBorder="1" applyAlignment="1">
      <alignment horizontal="center" wrapText="1"/>
    </xf>
    <xf numFmtId="0" fontId="5" fillId="0" borderId="0" xfId="37" applyFont="1" applyFill="1" applyBorder="1" applyAlignment="1">
      <alignment horizontal="left" vertical="top" wrapText="1"/>
    </xf>
  </cellXfs>
  <cellStyles count="291">
    <cellStyle name="Comma" xfId="1" builtinId="3"/>
    <cellStyle name="Comma 10" xfId="107"/>
    <cellStyle name="Comma 11" xfId="108"/>
    <cellStyle name="Comma 12" xfId="109"/>
    <cellStyle name="Comma 13" xfId="110"/>
    <cellStyle name="Comma 14" xfId="111"/>
    <cellStyle name="Comma 15" xfId="112"/>
    <cellStyle name="Comma 16" xfId="113"/>
    <cellStyle name="Comma 17" xfId="114"/>
    <cellStyle name="Comma 18" xfId="115"/>
    <cellStyle name="Comma 19" xfId="116"/>
    <cellStyle name="Comma 2" xfId="4"/>
    <cellStyle name="Comma 2 10" xfId="117"/>
    <cellStyle name="Comma 2 11" xfId="118"/>
    <cellStyle name="Comma 2 12" xfId="119"/>
    <cellStyle name="Comma 2 13" xfId="120"/>
    <cellStyle name="Comma 2 14" xfId="121"/>
    <cellStyle name="Comma 2 15" xfId="122"/>
    <cellStyle name="Comma 2 16" xfId="123"/>
    <cellStyle name="Comma 2 17" xfId="124"/>
    <cellStyle name="Comma 2 18" xfId="125"/>
    <cellStyle name="Comma 2 19" xfId="126"/>
    <cellStyle name="Comma 2 2" xfId="8"/>
    <cellStyle name="Comma 2 2 2" xfId="31"/>
    <cellStyle name="Comma 2 2 3" xfId="76"/>
    <cellStyle name="Comma 2 20" xfId="127"/>
    <cellStyle name="Comma 2 21" xfId="128"/>
    <cellStyle name="Comma 2 22" xfId="129"/>
    <cellStyle name="Comma 2 23" xfId="130"/>
    <cellStyle name="Comma 2 24" xfId="131"/>
    <cellStyle name="Comma 2 25" xfId="66"/>
    <cellStyle name="Comma 2 26" xfId="286"/>
    <cellStyle name="Comma 2 27" xfId="282"/>
    <cellStyle name="Comma 2 28" xfId="281"/>
    <cellStyle name="Comma 2 29" xfId="284"/>
    <cellStyle name="Comma 2 3" xfId="74"/>
    <cellStyle name="Comma 2 4" xfId="88"/>
    <cellStyle name="Comma 2 5" xfId="94"/>
    <cellStyle name="Comma 2 6" xfId="93"/>
    <cellStyle name="Comma 2 7" xfId="98"/>
    <cellStyle name="Comma 2 8" xfId="132"/>
    <cellStyle name="Comma 2 9" xfId="133"/>
    <cellStyle name="Comma 20" xfId="134"/>
    <cellStyle name="Comma 3" xfId="11"/>
    <cellStyle name="Comma 3 2" xfId="32"/>
    <cellStyle name="Comma 3 3" xfId="27"/>
    <cellStyle name="Comma 3 4" xfId="89"/>
    <cellStyle name="Comma 3 5" xfId="95"/>
    <cellStyle name="Comma 3 6" xfId="96"/>
    <cellStyle name="Comma 3 7" xfId="92"/>
    <cellStyle name="Comma 4" xfId="14"/>
    <cellStyle name="Comma 4 2" xfId="135"/>
    <cellStyle name="Comma 5" xfId="15"/>
    <cellStyle name="Comma 5 2" xfId="64"/>
    <cellStyle name="Comma 5 3" xfId="136"/>
    <cellStyle name="Comma 6" xfId="13"/>
    <cellStyle name="Comma 6 2" xfId="137"/>
    <cellStyle name="Comma 9" xfId="138"/>
    <cellStyle name="Comma0" xfId="30"/>
    <cellStyle name="Comma0 2" xfId="33"/>
    <cellStyle name="Comma0 3" xfId="67"/>
    <cellStyle name="Currency" xfId="2" builtinId="4"/>
    <cellStyle name="Currency 10" xfId="139"/>
    <cellStyle name="Currency 11" xfId="140"/>
    <cellStyle name="Currency 12" xfId="141"/>
    <cellStyle name="Currency 13" xfId="142"/>
    <cellStyle name="Currency 14" xfId="143"/>
    <cellStyle name="Currency 15" xfId="144"/>
    <cellStyle name="Currency 16" xfId="145"/>
    <cellStyle name="Currency 17" xfId="146"/>
    <cellStyle name="Currency 18" xfId="147"/>
    <cellStyle name="Currency 19" xfId="148"/>
    <cellStyle name="Currency 2" xfId="29"/>
    <cellStyle name="Currency 2 10" xfId="149"/>
    <cellStyle name="Currency 2 11" xfId="150"/>
    <cellStyle name="Currency 2 12" xfId="151"/>
    <cellStyle name="Currency 2 13" xfId="152"/>
    <cellStyle name="Currency 2 14" xfId="153"/>
    <cellStyle name="Currency 2 15" xfId="154"/>
    <cellStyle name="Currency 2 16" xfId="155"/>
    <cellStyle name="Currency 2 17" xfId="156"/>
    <cellStyle name="Currency 2 18" xfId="157"/>
    <cellStyle name="Currency 2 19" xfId="158"/>
    <cellStyle name="Currency 2 2" xfId="34"/>
    <cellStyle name="Currency 2 20" xfId="159"/>
    <cellStyle name="Currency 2 21" xfId="160"/>
    <cellStyle name="Currency 2 22" xfId="161"/>
    <cellStyle name="Currency 2 23" xfId="162"/>
    <cellStyle name="Currency 2 24" xfId="163"/>
    <cellStyle name="Currency 2 3" xfId="84"/>
    <cellStyle name="Currency 2 4" xfId="85"/>
    <cellStyle name="Currency 2 5" xfId="97"/>
    <cellStyle name="Currency 2 6" xfId="101"/>
    <cellStyle name="Currency 2 7" xfId="104"/>
    <cellStyle name="Currency 2 8" xfId="164"/>
    <cellStyle name="Currency 2 9" xfId="165"/>
    <cellStyle name="Currency 3" xfId="57"/>
    <cellStyle name="Currency 3 2" xfId="35"/>
    <cellStyle name="Currency 4" xfId="62"/>
    <cellStyle name="Currency 4 2" xfId="166"/>
    <cellStyle name="Currency 5" xfId="22"/>
    <cellStyle name="Currency 7" xfId="167"/>
    <cellStyle name="Currency 8" xfId="168"/>
    <cellStyle name="Currency 9" xfId="169"/>
    <cellStyle name="Currency0" xfId="68"/>
    <cellStyle name="Date" xfId="69"/>
    <cellStyle name="Fixed" xfId="70"/>
    <cellStyle name="Heading 1 10" xfId="170"/>
    <cellStyle name="Heading 1 11" xfId="171"/>
    <cellStyle name="Heading 1 12" xfId="172"/>
    <cellStyle name="Heading 1 13" xfId="173"/>
    <cellStyle name="Heading 1 14" xfId="174"/>
    <cellStyle name="Heading 1 15" xfId="175"/>
    <cellStyle name="Heading 1 16" xfId="176"/>
    <cellStyle name="Heading 1 17" xfId="177"/>
    <cellStyle name="Heading 1 18" xfId="178"/>
    <cellStyle name="Heading 1 19" xfId="179"/>
    <cellStyle name="Heading 1 2" xfId="180"/>
    <cellStyle name="Heading 1 20" xfId="71"/>
    <cellStyle name="Heading 1 3" xfId="181"/>
    <cellStyle name="Heading 1 4" xfId="182"/>
    <cellStyle name="Heading 1 5" xfId="183"/>
    <cellStyle name="Heading 1 6" xfId="184"/>
    <cellStyle name="Heading 1 7" xfId="185"/>
    <cellStyle name="Heading 1 8" xfId="186"/>
    <cellStyle name="Heading 1 9" xfId="187"/>
    <cellStyle name="Heading 2 10" xfId="188"/>
    <cellStyle name="Heading 2 11" xfId="189"/>
    <cellStyle name="Heading 2 12" xfId="190"/>
    <cellStyle name="Heading 2 13" xfId="191"/>
    <cellStyle name="Heading 2 14" xfId="192"/>
    <cellStyle name="Heading 2 15" xfId="193"/>
    <cellStyle name="Heading 2 16" xfId="194"/>
    <cellStyle name="Heading 2 17" xfId="195"/>
    <cellStyle name="Heading 2 18" xfId="196"/>
    <cellStyle name="Heading 2 19" xfId="197"/>
    <cellStyle name="Heading 2 2" xfId="198"/>
    <cellStyle name="Heading 2 20" xfId="72"/>
    <cellStyle name="Heading 2 3" xfId="199"/>
    <cellStyle name="Heading 2 4" xfId="200"/>
    <cellStyle name="Heading 2 5" xfId="201"/>
    <cellStyle name="Heading 2 6" xfId="202"/>
    <cellStyle name="Heading 2 7" xfId="203"/>
    <cellStyle name="Heading 2 8" xfId="204"/>
    <cellStyle name="Heading 2 9" xfId="205"/>
    <cellStyle name="Normal" xfId="0" builtinId="0"/>
    <cellStyle name="Normal 10" xfId="59"/>
    <cellStyle name="Normal 10 2" xfId="60"/>
    <cellStyle name="Normal 11" xfId="61"/>
    <cellStyle name="Normal 11 2" xfId="206"/>
    <cellStyle name="Normal 12" xfId="65"/>
    <cellStyle name="Normal 12 2" xfId="207"/>
    <cellStyle name="Normal 13" xfId="208"/>
    <cellStyle name="Normal 14" xfId="209"/>
    <cellStyle name="Normal 15" xfId="210"/>
    <cellStyle name="Normal 16" xfId="211"/>
    <cellStyle name="Normal 17" xfId="212"/>
    <cellStyle name="Normal 18" xfId="213"/>
    <cellStyle name="Normal 19" xfId="214"/>
    <cellStyle name="Normal 2" xfId="3"/>
    <cellStyle name="Normal 2 10" xfId="37"/>
    <cellStyle name="Normal 2 11" xfId="38"/>
    <cellStyle name="Normal 2 12" xfId="39"/>
    <cellStyle name="Normal 2 13" xfId="40"/>
    <cellStyle name="Normal 2 14" xfId="23"/>
    <cellStyle name="Normal 2 15" xfId="215"/>
    <cellStyle name="Normal 2 16" xfId="216"/>
    <cellStyle name="Normal 2 17" xfId="217"/>
    <cellStyle name="Normal 2 18" xfId="218"/>
    <cellStyle name="Normal 2 19" xfId="219"/>
    <cellStyle name="Normal 2 2" xfId="10"/>
    <cellStyle name="Normal 2 2 2" xfId="36"/>
    <cellStyle name="Normal 2 2 2 2" xfId="78"/>
    <cellStyle name="Normal 2 2 3" xfId="87"/>
    <cellStyle name="Normal 2 2 4" xfId="91"/>
    <cellStyle name="Normal 2 20" xfId="220"/>
    <cellStyle name="Normal 2 21" xfId="221"/>
    <cellStyle name="Normal 2 22" xfId="222"/>
    <cellStyle name="Normal 2 23" xfId="223"/>
    <cellStyle name="Normal 2 24" xfId="224"/>
    <cellStyle name="Normal 2 25" xfId="225"/>
    <cellStyle name="Normal 2 26" xfId="226"/>
    <cellStyle name="Normal 2 27" xfId="287"/>
    <cellStyle name="Normal 2 28" xfId="283"/>
    <cellStyle name="Normal 2 29" xfId="285"/>
    <cellStyle name="Normal 2 3" xfId="6"/>
    <cellStyle name="Normal 2 3 2" xfId="41"/>
    <cellStyle name="Normal 2 3 3" xfId="80"/>
    <cellStyle name="Normal 2 30" xfId="288"/>
    <cellStyle name="Normal 2 4" xfId="42"/>
    <cellStyle name="Normal 2 4 2" xfId="82"/>
    <cellStyle name="Normal 2 5" xfId="43"/>
    <cellStyle name="Normal 2 6" xfId="44"/>
    <cellStyle name="Normal 2 7" xfId="45"/>
    <cellStyle name="Normal 2 8" xfId="46"/>
    <cellStyle name="Normal 2 9" xfId="47"/>
    <cellStyle name="Normal 20" xfId="227"/>
    <cellStyle name="Normal 3" xfId="16"/>
    <cellStyle name="Normal 3 2" xfId="48"/>
    <cellStyle name="Normal 3 2 2" xfId="79"/>
    <cellStyle name="Normal 3 3" xfId="58"/>
    <cellStyle name="Normal 3 3 2" xfId="81"/>
    <cellStyle name="Normal 3 4" xfId="24"/>
    <cellStyle name="Normal 3 4 2" xfId="83"/>
    <cellStyle name="Normal 4" xfId="17"/>
    <cellStyle name="Normal 4 2" xfId="49"/>
    <cellStyle name="Normal 4 3" xfId="25"/>
    <cellStyle name="Normal 4 4" xfId="77"/>
    <cellStyle name="Normal 5" xfId="18"/>
    <cellStyle name="Normal 5 2" xfId="26"/>
    <cellStyle name="Normal 5 3" xfId="228"/>
    <cellStyle name="Normal 6" xfId="19"/>
    <cellStyle name="Normal 6 2" xfId="50"/>
    <cellStyle name="Normal 6 3" xfId="229"/>
    <cellStyle name="Normal 7" xfId="12"/>
    <cellStyle name="Normal 7 2" xfId="51"/>
    <cellStyle name="Normal 8" xfId="21"/>
    <cellStyle name="Normal 8 2" xfId="52"/>
    <cellStyle name="Normal 9" xfId="53"/>
    <cellStyle name="Normal 9 2" xfId="230"/>
    <cellStyle name="Normal_Sheet1 2" xfId="289"/>
    <cellStyle name="Percent" xfId="290" builtinId="5"/>
    <cellStyle name="Percent 10" xfId="231"/>
    <cellStyle name="Percent 11" xfId="232"/>
    <cellStyle name="Percent 12" xfId="233"/>
    <cellStyle name="Percent 13" xfId="234"/>
    <cellStyle name="Percent 14" xfId="235"/>
    <cellStyle name="Percent 15" xfId="236"/>
    <cellStyle name="Percent 16" xfId="237"/>
    <cellStyle name="Percent 17" xfId="238"/>
    <cellStyle name="Percent 18" xfId="239"/>
    <cellStyle name="Percent 19" xfId="240"/>
    <cellStyle name="Percent 2" xfId="5"/>
    <cellStyle name="Percent 2 10" xfId="241"/>
    <cellStyle name="Percent 2 11" xfId="242"/>
    <cellStyle name="Percent 2 12" xfId="243"/>
    <cellStyle name="Percent 2 13" xfId="244"/>
    <cellStyle name="Percent 2 14" xfId="245"/>
    <cellStyle name="Percent 2 15" xfId="246"/>
    <cellStyle name="Percent 2 16" xfId="247"/>
    <cellStyle name="Percent 2 17" xfId="248"/>
    <cellStyle name="Percent 2 18" xfId="249"/>
    <cellStyle name="Percent 2 19" xfId="250"/>
    <cellStyle name="Percent 2 2" xfId="7"/>
    <cellStyle name="Percent 2 2 2" xfId="54"/>
    <cellStyle name="Percent 2 20" xfId="251"/>
    <cellStyle name="Percent 2 21" xfId="252"/>
    <cellStyle name="Percent 2 22" xfId="253"/>
    <cellStyle name="Percent 2 23" xfId="254"/>
    <cellStyle name="Percent 2 24" xfId="255"/>
    <cellStyle name="Percent 2 3" xfId="86"/>
    <cellStyle name="Percent 2 4" xfId="75"/>
    <cellStyle name="Percent 2 5" xfId="99"/>
    <cellStyle name="Percent 2 6" xfId="102"/>
    <cellStyle name="Percent 2 7" xfId="105"/>
    <cellStyle name="Percent 2 8" xfId="256"/>
    <cellStyle name="Percent 2 9" xfId="257"/>
    <cellStyle name="Percent 20" xfId="258"/>
    <cellStyle name="Percent 3" xfId="9"/>
    <cellStyle name="Percent 3 2" xfId="55"/>
    <cellStyle name="Percent 3 3" xfId="28"/>
    <cellStyle name="Percent 3 4" xfId="90"/>
    <cellStyle name="Percent 3 5" xfId="100"/>
    <cellStyle name="Percent 3 6" xfId="103"/>
    <cellStyle name="Percent 3 7" xfId="106"/>
    <cellStyle name="Percent 4" xfId="20"/>
    <cellStyle name="Percent 4 2" xfId="56"/>
    <cellStyle name="Percent 5" xfId="63"/>
    <cellStyle name="Percent 5 2" xfId="259"/>
    <cellStyle name="Percent 6" xfId="260"/>
    <cellStyle name="Percent 8" xfId="261"/>
    <cellStyle name="Percent 9" xfId="262"/>
    <cellStyle name="Total 10" xfId="263"/>
    <cellStyle name="Total 11" xfId="264"/>
    <cellStyle name="Total 12" xfId="265"/>
    <cellStyle name="Total 13" xfId="266"/>
    <cellStyle name="Total 14" xfId="267"/>
    <cellStyle name="Total 15" xfId="268"/>
    <cellStyle name="Total 16" xfId="269"/>
    <cellStyle name="Total 17" xfId="270"/>
    <cellStyle name="Total 18" xfId="271"/>
    <cellStyle name="Total 19" xfId="272"/>
    <cellStyle name="Total 2" xfId="273"/>
    <cellStyle name="Total 20" xfId="73"/>
    <cellStyle name="Total 3" xfId="274"/>
    <cellStyle name="Total 4" xfId="275"/>
    <cellStyle name="Total 5" xfId="276"/>
    <cellStyle name="Total 6" xfId="277"/>
    <cellStyle name="Total 7" xfId="278"/>
    <cellStyle name="Total 8" xfId="279"/>
    <cellStyle name="Total 9" xfId="280"/>
  </cellStyles>
  <dxfs count="2">
    <dxf>
      <numFmt numFmtId="27" formatCode="m/d/yyyy\ h:mm"/>
    </dxf>
    <dxf>
      <font>
        <b/>
        <i val="0"/>
        <strike val="0"/>
        <u val="none"/>
        <color theme="0"/>
      </font>
      <fill>
        <patternFill>
          <bgColor rgb="FFFF0000"/>
        </patternFill>
      </fill>
    </dxf>
  </dxfs>
  <tableStyles count="0" defaultTableStyle="TableStyleMedium2" defaultPivotStyle="PivotStyleLight16"/>
  <colors>
    <mruColors>
      <color rgb="FFFFE1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trlProps/ctrlProp1.xml><?xml version="1.0" encoding="utf-8"?>
<formControlPr xmlns="http://schemas.microsoft.com/office/spreadsheetml/2009/9/main" objectType="Drop" dropLines="30" dropStyle="combo" dx="16" fmlaLink="A3" fmlaRange="$X$3:$X$31" noThreeD="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171450</xdr:rowOff>
        </xdr:from>
        <xdr:to>
          <xdr:col>3</xdr:col>
          <xdr:colOff>314325</xdr:colOff>
          <xdr:row>3</xdr:row>
          <xdr:rowOff>85725</xdr:rowOff>
        </xdr:to>
        <xdr:sp macro="" textlink="">
          <xdr:nvSpPr>
            <xdr:cNvPr id="63489" name="Drop Down 1" hidden="1">
              <a:extLst>
                <a:ext uri="{63B3BB69-23CF-44E3-9099-C40C66FF867C}">
                  <a14:compatExt spid="_x0000_s63489"/>
                </a:ext>
              </a:extLst>
            </xdr:cNvPr>
            <xdr:cNvSpPr/>
          </xdr:nvSpPr>
          <xdr:spPr>
            <a:xfrm>
              <a:off x="0" y="0"/>
              <a:ext cx="0" cy="0"/>
            </a:xfrm>
            <a:prstGeom prst="rect">
              <a:avLst/>
            </a:prstGeom>
          </xdr:spPr>
        </xdr:sp>
        <xdr:clientData/>
      </xdr:twoCellAnchor>
    </mc:Choice>
    <mc:Fallback/>
  </mc:AlternateContent>
</xdr:wsDr>
</file>

<file path=xl/queryTables/queryTable1.xml><?xml version="1.0" encoding="utf-8"?>
<queryTable xmlns="http://schemas.openxmlformats.org/spreadsheetml/2006/main" name="Broadway AP_FRP_RFOE CCSurvey" adjustColumnWidth="0" connectionId="1" autoFormatId="16" applyNumberFormats="0" applyBorderFormats="0" applyFontFormats="0" applyPatternFormats="0" applyAlignmentFormats="0" applyWidthHeightFormats="0">
  <queryTableRefresh nextId="315">
    <queryTableFields count="314">
      <queryTableField id="1" name="FICE" tableColumnId="1"/>
      <queryTableField id="2" name="Password" tableColumnId="2"/>
      <queryTableField id="3" name="Approved" tableColumnId="3"/>
      <queryTableField id="4" name="ApprovalDate" tableColumnId="4"/>
      <queryTableField id="5" name="LastMod" tableColumnId="5"/>
      <queryTableField id="6" name="CBNote" tableColumnId="6"/>
      <queryTableField id="7" name="dist_name" tableColumnId="7"/>
      <queryTableField id="8" name="person" tableColumnId="8"/>
      <queryTableField id="9" name="title" tableColumnId="9"/>
      <queryTableField id="10" name="phone" tableColumnId="10"/>
      <queryTableField id="11" name="email" tableColumnId="11"/>
      <queryTableField id="12" name="GrandTotal" tableColumnId="12"/>
      <queryTableField id="13" name="SecATotal" tableColumnId="13"/>
      <queryTableField id="14" name="SecBTotal" tableColumnId="14"/>
      <queryTableField id="15" name="AFRExb2" tableColumnId="15"/>
      <queryTableField id="16" name="Difference" tableColumnId="16"/>
      <queryTableField id="17" name="Sec2Local" tableColumnId="17"/>
      <queryTableField id="18" name="Sec2State" tableColumnId="18"/>
      <queryTableField id="19" name="Sec2_Total" tableColumnId="19"/>
      <queryTableField id="20" name="Sec3SW1" tableColumnId="20"/>
      <queryTableField id="21" name="Sec3SW2" tableColumnId="21"/>
      <queryTableField id="22" name="Sec3SW3" tableColumnId="22"/>
      <queryTableField id="23" name="Sec3SW4" tableColumnId="23"/>
      <queryTableField id="24" name="Sec3SW5" tableColumnId="24"/>
      <queryTableField id="25" name="Sec3SW6" tableColumnId="25"/>
      <queryTableField id="26" name="Sec3SWTotal" tableColumnId="26"/>
      <queryTableField id="27" name="Sec3Oth1" tableColumnId="27"/>
      <queryTableField id="28" name="Sec3Oth2" tableColumnId="28"/>
      <queryTableField id="29" name="Sec3Oth3" tableColumnId="29"/>
      <queryTableField id="30" name="Sec3Oth4" tableColumnId="30"/>
      <queryTableField id="31" name="Sec3Oth5" tableColumnId="31"/>
      <queryTableField id="32" name="Sec3Oth6" tableColumnId="32"/>
      <queryTableField id="33" name="Sec3OthTotal" tableColumnId="33"/>
      <queryTableField id="34" name="Sec3_1" tableColumnId="34"/>
      <queryTableField id="35" name="Sec3_2" tableColumnId="35"/>
      <queryTableField id="36" name="Sec3_3" tableColumnId="36"/>
      <queryTableField id="37" name="Sec3_4" tableColumnId="37"/>
      <queryTableField id="38" name="Sec3_5" tableColumnId="38"/>
      <queryTableField id="39" name="Sec3_6" tableColumnId="39"/>
      <queryTableField id="40" name="Sec3_Total" tableColumnId="40"/>
      <queryTableField id="41" name="Sec4SW1" tableColumnId="41"/>
      <queryTableField id="42" name="Sec4SW2" tableColumnId="42"/>
      <queryTableField id="43" name="Sec4SW3" tableColumnId="43"/>
      <queryTableField id="44" name="Sec4SW4" tableColumnId="44"/>
      <queryTableField id="45" name="Sec4SWTotal" tableColumnId="45"/>
      <queryTableField id="46" name="Sec4Oth1" tableColumnId="46"/>
      <queryTableField id="47" name="Sec4Oth2" tableColumnId="47"/>
      <queryTableField id="48" name="Sec4Oth3" tableColumnId="48"/>
      <queryTableField id="49" name="Sec4Oth4" tableColumnId="49"/>
      <queryTableField id="50" name="Sec4OthTotal" tableColumnId="50"/>
      <queryTableField id="51" name="Sec4_1" tableColumnId="51"/>
      <queryTableField id="52" name="Sec4_2" tableColumnId="52"/>
      <queryTableField id="53" name="Sec4_3" tableColumnId="53"/>
      <queryTableField id="54" name="Sec4_4" tableColumnId="54"/>
      <queryTableField id="55" name="Sec4_Total" tableColumnId="55"/>
      <queryTableField id="56" name="Sec5SW1" tableColumnId="56"/>
      <queryTableField id="57" name="Sec5SW2" tableColumnId="57"/>
      <queryTableField id="58" name="Sec5SW3" tableColumnId="58"/>
      <queryTableField id="59" name="Sec5SW4" tableColumnId="59"/>
      <queryTableField id="60" name="Sec5SW5" tableColumnId="60"/>
      <queryTableField id="61" name="Sec5SWTotal" tableColumnId="61"/>
      <queryTableField id="62" name="Sec5SB1" tableColumnId="62"/>
      <queryTableField id="63" name="Sec5SB2" tableColumnId="63"/>
      <queryTableField id="64" name="Sec5SB3" tableColumnId="64"/>
      <queryTableField id="65" name="Sec5SB4" tableColumnId="65"/>
      <queryTableField id="66" name="Sec5SB5" tableColumnId="66"/>
      <queryTableField id="67" name="Sec5SBTotal" tableColumnId="67"/>
      <queryTableField id="68" name="Sec5Oth1" tableColumnId="68"/>
      <queryTableField id="69" name="Sec5Oth2" tableColumnId="69"/>
      <queryTableField id="70" name="Sec5Oth3" tableColumnId="70"/>
      <queryTableField id="71" name="Sec5Oth4" tableColumnId="71"/>
      <queryTableField id="72" name="Sec5Oth5" tableColumnId="72"/>
      <queryTableField id="73" name="Sec5OthTotal" tableColumnId="73"/>
      <queryTableField id="74" name="Sec5_1" tableColumnId="74"/>
      <queryTableField id="75" name="Sec5_2" tableColumnId="75"/>
      <queryTableField id="76" name="Sec5_3" tableColumnId="76"/>
      <queryTableField id="77" name="Sec5_4" tableColumnId="77"/>
      <queryTableField id="78" name="Sec5_5" tableColumnId="78"/>
      <queryTableField id="79" name="Sec5_Total" tableColumnId="79"/>
      <queryTableField id="80" name="Sec6SW1" tableColumnId="80"/>
      <queryTableField id="81" name="Sec6SW2" tableColumnId="81"/>
      <queryTableField id="82" name="Sec6SW3" tableColumnId="82"/>
      <queryTableField id="83" name="Sec6SWTotal" tableColumnId="83"/>
      <queryTableField id="84" name="Sec6SB1" tableColumnId="84"/>
      <queryTableField id="85" name="Sec6SB2" tableColumnId="85"/>
      <queryTableField id="86" name="Sec6SB3" tableColumnId="86"/>
      <queryTableField id="87" name="Sec6SBTotal" tableColumnId="87"/>
      <queryTableField id="88" name="Sec6Oth1" tableColumnId="88"/>
      <queryTableField id="89" name="Sec6Oth2" tableColumnId="89"/>
      <queryTableField id="90" name="Sec6Oth3" tableColumnId="90"/>
      <queryTableField id="91" name="Sec6OthTotal" tableColumnId="91"/>
      <queryTableField id="92" name="Sec6_1" tableColumnId="92"/>
      <queryTableField id="93" name="Sec6_2" tableColumnId="93"/>
      <queryTableField id="94" name="Sec6_3" tableColumnId="94"/>
      <queryTableField id="95" name="Sec6_Total" tableColumnId="95"/>
      <queryTableField id="96" name="FICE_Link" tableColumnId="96"/>
      <queryTableField id="97" name="LocalBenefits" tableColumnId="97"/>
      <queryTableField id="98" name="StateBenefits" tableColumnId="98"/>
      <queryTableField id="99" name="HRS1" tableColumnId="99"/>
      <queryTableField id="100" name="HRS2" tableColumnId="100"/>
      <queryTableField id="101" name="HRS3" tableColumnId="101"/>
      <queryTableField id="102" name="HRS4" tableColumnId="102"/>
      <queryTableField id="103" name="HRS5" tableColumnId="103"/>
      <queryTableField id="104" name="HRS6" tableColumnId="104"/>
      <queryTableField id="105" name="HRS7" tableColumnId="105"/>
      <queryTableField id="106" name="HRS8" tableColumnId="106"/>
      <queryTableField id="107" name="HRS9" tableColumnId="107"/>
      <queryTableField id="108" name="HRS10" tableColumnId="108"/>
      <queryTableField id="109" name="HRS11" tableColumnId="109"/>
      <queryTableField id="110" name="HRS12" tableColumnId="110"/>
      <queryTableField id="111" name="HRS13" tableColumnId="111"/>
      <queryTableField id="112" name="HRS14" tableColumnId="112"/>
      <queryTableField id="113" name="HRS15" tableColumnId="113"/>
      <queryTableField id="114" name="HRS16" tableColumnId="114"/>
      <queryTableField id="115" name="HRS17" tableColumnId="115"/>
      <queryTableField id="116" name="HRS18" tableColumnId="116"/>
      <queryTableField id="117" name="HRS19" tableColumnId="117"/>
      <queryTableField id="118" name="HRS20" tableColumnId="118"/>
      <queryTableField id="119" name="HRS21" tableColumnId="119"/>
      <queryTableField id="120" name="HRS22" tableColumnId="120"/>
      <queryTableField id="121" name="HRS23" tableColumnId="121"/>
      <queryTableField id="122" name="HRS24" tableColumnId="122"/>
      <queryTableField id="123" name="HRS25" tableColumnId="123"/>
      <queryTableField id="124" name="HRS26" tableColumnId="124"/>
      <queryTableField id="125" name="HRS27" tableColumnId="125"/>
      <queryTableField id="126" name="HRS28" tableColumnId="126"/>
      <queryTableField id="127" name="HRS29" tableColumnId="127"/>
      <queryTableField id="128" name="HRSTotal" tableColumnId="128"/>
      <queryTableField id="129" name="FacSal1" tableColumnId="129"/>
      <queryTableField id="130" name="FacSal2" tableColumnId="130"/>
      <queryTableField id="131" name="FacSal3" tableColumnId="131"/>
      <queryTableField id="132" name="FacSal4" tableColumnId="132"/>
      <queryTableField id="133" name="FacSal5" tableColumnId="133"/>
      <queryTableField id="134" name="FacSal6" tableColumnId="134"/>
      <queryTableField id="135" name="FacSal7" tableColumnId="135"/>
      <queryTableField id="136" name="FacSal8" tableColumnId="136"/>
      <queryTableField id="137" name="FacSal9" tableColumnId="137"/>
      <queryTableField id="138" name="FacSal10" tableColumnId="138"/>
      <queryTableField id="139" name="FacSal11" tableColumnId="139"/>
      <queryTableField id="140" name="FacSal12" tableColumnId="140"/>
      <queryTableField id="141" name="FacSal13" tableColumnId="141"/>
      <queryTableField id="142" name="FacSal14" tableColumnId="142"/>
      <queryTableField id="143" name="FacSal15" tableColumnId="143"/>
      <queryTableField id="144" name="FacSal16" tableColumnId="144"/>
      <queryTableField id="145" name="FacSal17" tableColumnId="145"/>
      <queryTableField id="146" name="FacSal18" tableColumnId="146"/>
      <queryTableField id="147" name="FacSal19" tableColumnId="147"/>
      <queryTableField id="148" name="FacSal20" tableColumnId="148"/>
      <queryTableField id="149" name="FacSal21" tableColumnId="149"/>
      <queryTableField id="150" name="FacSal22" tableColumnId="150"/>
      <queryTableField id="151" name="FacSal23" tableColumnId="151"/>
      <queryTableField id="152" name="FacSal24" tableColumnId="152"/>
      <queryTableField id="153" name="FacSal25" tableColumnId="153"/>
      <queryTableField id="154" name="FacSal26" tableColumnId="154"/>
      <queryTableField id="155" name="FacSal27" tableColumnId="155"/>
      <queryTableField id="156" name="FacSal28" tableColumnId="156"/>
      <queryTableField id="157" name="FacSal29" tableColumnId="157"/>
      <queryTableField id="158" name="FacSalTotal" tableColumnId="158"/>
      <queryTableField id="159" name="OthSal1" tableColumnId="159"/>
      <queryTableField id="160" name="OthSal2" tableColumnId="160"/>
      <queryTableField id="161" name="OthSal3" tableColumnId="161"/>
      <queryTableField id="162" name="OthSal4" tableColumnId="162"/>
      <queryTableField id="163" name="OthSal5" tableColumnId="163"/>
      <queryTableField id="164" name="OthSal6" tableColumnId="164"/>
      <queryTableField id="165" name="OthSal7" tableColumnId="165"/>
      <queryTableField id="166" name="OthSal8" tableColumnId="166"/>
      <queryTableField id="167" name="OthSal9" tableColumnId="167"/>
      <queryTableField id="168" name="OthSal10" tableColumnId="168"/>
      <queryTableField id="169" name="OthSal11" tableColumnId="169"/>
      <queryTableField id="170" name="OthSal12" tableColumnId="170"/>
      <queryTableField id="171" name="OthSal13" tableColumnId="171"/>
      <queryTableField id="172" name="OthSal14" tableColumnId="172"/>
      <queryTableField id="173" name="OthSal15" tableColumnId="173"/>
      <queryTableField id="174" name="OthSal16" tableColumnId="174"/>
      <queryTableField id="175" name="OthSal17" tableColumnId="175"/>
      <queryTableField id="176" name="OthSal18" tableColumnId="176"/>
      <queryTableField id="177" name="OthSal19" tableColumnId="177"/>
      <queryTableField id="178" name="OthSal20" tableColumnId="178"/>
      <queryTableField id="179" name="OthSal21" tableColumnId="179"/>
      <queryTableField id="180" name="OthSal22" tableColumnId="180"/>
      <queryTableField id="181" name="OthSal23" tableColumnId="181"/>
      <queryTableField id="182" name="OthSal24" tableColumnId="182"/>
      <queryTableField id="183" name="OthSal25" tableColumnId="183"/>
      <queryTableField id="184" name="OthSal26" tableColumnId="184"/>
      <queryTableField id="185" name="OthSal27" tableColumnId="185"/>
      <queryTableField id="186" name="OthSal28" tableColumnId="186"/>
      <queryTableField id="187" name="OthSal29" tableColumnId="187"/>
      <queryTableField id="188" name="OthSalTotal" tableColumnId="188"/>
      <queryTableField id="189" name="Benefits1" tableColumnId="189"/>
      <queryTableField id="190" name="Benefits2" tableColumnId="190"/>
      <queryTableField id="191" name="Benefits3" tableColumnId="191"/>
      <queryTableField id="192" name="Benefits4" tableColumnId="192"/>
      <queryTableField id="193" name="Benefits5" tableColumnId="193"/>
      <queryTableField id="194" name="Benefits6" tableColumnId="194"/>
      <queryTableField id="195" name="Benefits7" tableColumnId="195"/>
      <queryTableField id="196" name="Benefits8" tableColumnId="196"/>
      <queryTableField id="197" name="Benefits9" tableColumnId="197"/>
      <queryTableField id="198" name="Benefits10" tableColumnId="198"/>
      <queryTableField id="199" name="Benefits11" tableColumnId="199"/>
      <queryTableField id="200" name="Benefits12" tableColumnId="200"/>
      <queryTableField id="201" name="Benefits13" tableColumnId="201"/>
      <queryTableField id="202" name="Benefits14" tableColumnId="202"/>
      <queryTableField id="203" name="Benefits15" tableColumnId="203"/>
      <queryTableField id="204" name="Benefits16" tableColumnId="204"/>
      <queryTableField id="205" name="Benefits17" tableColumnId="205"/>
      <queryTableField id="206" name="Benefits18" tableColumnId="206"/>
      <queryTableField id="207" name="Benefits19" tableColumnId="207"/>
      <queryTableField id="208" name="Benefits20" tableColumnId="208"/>
      <queryTableField id="209" name="Benefits21" tableColumnId="209"/>
      <queryTableField id="210" name="Benefits22" tableColumnId="210"/>
      <queryTableField id="211" name="Benefits23" tableColumnId="211"/>
      <queryTableField id="212" name="Benefits24" tableColumnId="212"/>
      <queryTableField id="213" name="Benefits25" tableColumnId="213"/>
      <queryTableField id="214" name="Benefits26" tableColumnId="214"/>
      <queryTableField id="215" name="Benefits27" tableColumnId="215"/>
      <queryTableField id="216" name="Benefits28" tableColumnId="216"/>
      <queryTableField id="217" name="Benefits29" tableColumnId="217"/>
      <queryTableField id="218" name="BenefitsTotal" tableColumnId="218"/>
      <queryTableField id="219" name="OtherOps1" tableColumnId="219"/>
      <queryTableField id="220" name="OtherOps2" tableColumnId="220"/>
      <queryTableField id="221" name="OtherOps3" tableColumnId="221"/>
      <queryTableField id="222" name="OtherOps4" tableColumnId="222"/>
      <queryTableField id="223" name="OtherOps5" tableColumnId="223"/>
      <queryTableField id="224" name="OtherOps6" tableColumnId="224"/>
      <queryTableField id="225" name="OtherOps7" tableColumnId="225"/>
      <queryTableField id="226" name="OtherOps8" tableColumnId="226"/>
      <queryTableField id="227" name="OtherOps9" tableColumnId="227"/>
      <queryTableField id="228" name="OtherOps10" tableColumnId="228"/>
      <queryTableField id="229" name="OtherOps11" tableColumnId="229"/>
      <queryTableField id="230" name="OtherOps12" tableColumnId="230"/>
      <queryTableField id="231" name="OtherOps13" tableColumnId="231"/>
      <queryTableField id="232" name="OtherOps14" tableColumnId="232"/>
      <queryTableField id="233" name="OtherOps15" tableColumnId="233"/>
      <queryTableField id="234" name="OtherOps16" tableColumnId="234"/>
      <queryTableField id="235" name="OtherOps17" tableColumnId="235"/>
      <queryTableField id="236" name="OtherOps18" tableColumnId="236"/>
      <queryTableField id="237" name="OtherOps19" tableColumnId="237"/>
      <queryTableField id="238" name="OtherOps20" tableColumnId="238"/>
      <queryTableField id="239" name="OtherOps21" tableColumnId="239"/>
      <queryTableField id="240" name="OtherOps22" tableColumnId="240"/>
      <queryTableField id="241" name="OtherOps23" tableColumnId="241"/>
      <queryTableField id="242" name="OtherOps24" tableColumnId="242"/>
      <queryTableField id="243" name="OtherOps25" tableColumnId="243"/>
      <queryTableField id="244" name="OtherOps26" tableColumnId="244"/>
      <queryTableField id="245" name="OtherOps27" tableColumnId="245"/>
      <queryTableField id="246" name="OtherOps28" tableColumnId="246"/>
      <queryTableField id="247" name="OtherOps29" tableColumnId="247"/>
      <queryTableField id="248" name="OtherOpsTotal" tableColumnId="248"/>
      <queryTableField id="249" name="DOE1" tableColumnId="249"/>
      <queryTableField id="250" name="DOE2" tableColumnId="250"/>
      <queryTableField id="251" name="DOE3" tableColumnId="251"/>
      <queryTableField id="252" name="DOE4" tableColumnId="252"/>
      <queryTableField id="253" name="DOE5" tableColumnId="253"/>
      <queryTableField id="254" name="DOE6" tableColumnId="254"/>
      <queryTableField id="255" name="DOE7" tableColumnId="255"/>
      <queryTableField id="256" name="DOE8" tableColumnId="256"/>
      <queryTableField id="257" name="DOE9" tableColumnId="257"/>
      <queryTableField id="258" name="DOE10" tableColumnId="258"/>
      <queryTableField id="259" name="DOE11" tableColumnId="259"/>
      <queryTableField id="260" name="DOE12" tableColumnId="260"/>
      <queryTableField id="261" name="DOE13" tableColumnId="261"/>
      <queryTableField id="262" name="DOE14" tableColumnId="262"/>
      <queryTableField id="263" name="DOE15" tableColumnId="263"/>
      <queryTableField id="264" name="DOE16" tableColumnId="264"/>
      <queryTableField id="265" name="DOE17" tableColumnId="265"/>
      <queryTableField id="266" name="DOE18" tableColumnId="266"/>
      <queryTableField id="267" name="DOE19" tableColumnId="267"/>
      <queryTableField id="268" name="DOE20" tableColumnId="268"/>
      <queryTableField id="269" name="DOE21" tableColumnId="269"/>
      <queryTableField id="270" name="DOE22" tableColumnId="270"/>
      <queryTableField id="271" name="DOE23" tableColumnId="271"/>
      <queryTableField id="272" name="DOE24" tableColumnId="272"/>
      <queryTableField id="273" name="DOE25" tableColumnId="273"/>
      <queryTableField id="274" name="DOE26" tableColumnId="274"/>
      <queryTableField id="275" name="DOE27" tableColumnId="275"/>
      <queryTableField id="276" name="DOE28" tableColumnId="276"/>
      <queryTableField id="277" name="DOE29" tableColumnId="277"/>
      <queryTableField id="278" name="DOETotal" tableColumnId="278"/>
      <queryTableField id="279" name="Total1" tableColumnId="279"/>
      <queryTableField id="280" name="Total2" tableColumnId="280"/>
      <queryTableField id="281" name="Total3" tableColumnId="281"/>
      <queryTableField id="282" name="Total4" tableColumnId="282"/>
      <queryTableField id="283" name="Total5" tableColumnId="283"/>
      <queryTableField id="284" name="Total6" tableColumnId="284"/>
      <queryTableField id="285" name="Total7" tableColumnId="285"/>
      <queryTableField id="286" name="Total8" tableColumnId="286"/>
      <queryTableField id="287" name="Total9" tableColumnId="287"/>
      <queryTableField id="288" name="Total10" tableColumnId="288"/>
      <queryTableField id="289" name="Total11" tableColumnId="289"/>
      <queryTableField id="290" name="Total12" tableColumnId="290"/>
      <queryTableField id="291" name="Total13" tableColumnId="291"/>
      <queryTableField id="292" name="Total14" tableColumnId="292"/>
      <queryTableField id="293" name="Total15" tableColumnId="293"/>
      <queryTableField id="294" name="Total16" tableColumnId="294"/>
      <queryTableField id="295" name="Total17" tableColumnId="295"/>
      <queryTableField id="296" name="Total18" tableColumnId="296"/>
      <queryTableField id="297" name="Total19" tableColumnId="297"/>
      <queryTableField id="298" name="Total20" tableColumnId="298"/>
      <queryTableField id="299" name="Total21" tableColumnId="299"/>
      <queryTableField id="300" name="Total22" tableColumnId="300"/>
      <queryTableField id="301" name="Total23" tableColumnId="301"/>
      <queryTableField id="302" name="Total24" tableColumnId="302"/>
      <queryTableField id="303" name="Total25" tableColumnId="303"/>
      <queryTableField id="304" name="Total26" tableColumnId="304"/>
      <queryTableField id="305" name="Total27" tableColumnId="305"/>
      <queryTableField id="306" name="Total28" tableColumnId="306"/>
      <queryTableField id="307" name="Total29" tableColumnId="307"/>
      <queryTableField id="308" name="Sec1_Total" tableColumnId="308"/>
      <queryTableField id="309" name="Comments" tableColumnId="309"/>
      <queryTableField id="310" name="PartA" tableColumnId="310"/>
      <queryTableField id="311" name="PartB" tableColumnId="311"/>
      <queryTableField id="312" name="GrandTotalExpenses" tableColumnId="312"/>
      <queryTableField id="313" name="AFRDifference" tableColumnId="313"/>
      <queryTableField id="314" name="Depreciation" tableColumnId="3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Broadway_AP_FRP_RFOE_CCSurvey" displayName="Table_Broadway_AP_FRP_RFOE_CCSurvey" ref="A4:LB61" tableType="queryTable" totalsRowShown="0">
  <autoFilter ref="A4:LB61"/>
  <tableColumns count="314">
    <tableColumn id="1" uniqueName="1" name="FICE" queryTableFieldId="1"/>
    <tableColumn id="2" uniqueName="2" name="Password" queryTableFieldId="2"/>
    <tableColumn id="3" uniqueName="3" name="Approved" queryTableFieldId="3"/>
    <tableColumn id="4" uniqueName="4" name="ApprovalDate" queryTableFieldId="4"/>
    <tableColumn id="5" uniqueName="5" name="LastMod" queryTableFieldId="5" dataDxfId="0"/>
    <tableColumn id="6" uniqueName="6" name="CBNote" queryTableFieldId="6"/>
    <tableColumn id="7" uniqueName="7" name="dist_name" queryTableFieldId="7"/>
    <tableColumn id="8" uniqueName="8" name="person" queryTableFieldId="8"/>
    <tableColumn id="9" uniqueName="9" name="title" queryTableFieldId="9"/>
    <tableColumn id="10" uniqueName="10" name="phone" queryTableFieldId="10"/>
    <tableColumn id="11" uniqueName="11" name="email" queryTableFieldId="11"/>
    <tableColumn id="12" uniqueName="12" name="GrandTotal" queryTableFieldId="12"/>
    <tableColumn id="13" uniqueName="13" name="SecATotal" queryTableFieldId="13"/>
    <tableColumn id="14" uniqueName="14" name="SecBTotal" queryTableFieldId="14"/>
    <tableColumn id="15" uniqueName="15" name="AFRExb2" queryTableFieldId="15"/>
    <tableColumn id="16" uniqueName="16" name="Difference" queryTableFieldId="16"/>
    <tableColumn id="17" uniqueName="17" name="Sec2Local" queryTableFieldId="17"/>
    <tableColumn id="18" uniqueName="18" name="Sec2State" queryTableFieldId="18"/>
    <tableColumn id="19" uniqueName="19" name="Sec2_Total" queryTableFieldId="19"/>
    <tableColumn id="20" uniqueName="20" name="Sec3SW1" queryTableFieldId="20"/>
    <tableColumn id="21" uniqueName="21" name="Sec3SW2" queryTableFieldId="21"/>
    <tableColumn id="22" uniqueName="22" name="Sec3SW3" queryTableFieldId="22"/>
    <tableColumn id="23" uniqueName="23" name="Sec3SW4" queryTableFieldId="23"/>
    <tableColumn id="24" uniqueName="24" name="Sec3SW5" queryTableFieldId="24"/>
    <tableColumn id="25" uniqueName="25" name="Sec3SW6" queryTableFieldId="25"/>
    <tableColumn id="26" uniqueName="26" name="Sec3SWTotal" queryTableFieldId="26"/>
    <tableColumn id="27" uniqueName="27" name="Sec3Oth1" queryTableFieldId="27"/>
    <tableColumn id="28" uniqueName="28" name="Sec3Oth2" queryTableFieldId="28"/>
    <tableColumn id="29" uniqueName="29" name="Sec3Oth3" queryTableFieldId="29"/>
    <tableColumn id="30" uniqueName="30" name="Sec3Oth4" queryTableFieldId="30"/>
    <tableColumn id="31" uniqueName="31" name="Sec3Oth5" queryTableFieldId="31"/>
    <tableColumn id="32" uniqueName="32" name="Sec3Oth6" queryTableFieldId="32"/>
    <tableColumn id="33" uniqueName="33" name="Sec3OthTotal" queryTableFieldId="33"/>
    <tableColumn id="34" uniqueName="34" name="Sec3_1" queryTableFieldId="34"/>
    <tableColumn id="35" uniqueName="35" name="Sec3_2" queryTableFieldId="35"/>
    <tableColumn id="36" uniqueName="36" name="Sec3_3" queryTableFieldId="36"/>
    <tableColumn id="37" uniqueName="37" name="Sec3_4" queryTableFieldId="37"/>
    <tableColumn id="38" uniqueName="38" name="Sec3_5" queryTableFieldId="38"/>
    <tableColumn id="39" uniqueName="39" name="Sec3_6" queryTableFieldId="39"/>
    <tableColumn id="40" uniqueName="40" name="Sec3_Total" queryTableFieldId="40"/>
    <tableColumn id="41" uniqueName="41" name="Sec4SW1" queryTableFieldId="41"/>
    <tableColumn id="42" uniqueName="42" name="Sec4SW2" queryTableFieldId="42"/>
    <tableColumn id="43" uniqueName="43" name="Sec4SW3" queryTableFieldId="43"/>
    <tableColumn id="44" uniqueName="44" name="Sec4SW4" queryTableFieldId="44"/>
    <tableColumn id="45" uniqueName="45" name="Sec4SWTotal" queryTableFieldId="45"/>
    <tableColumn id="46" uniqueName="46" name="Sec4Oth1" queryTableFieldId="46"/>
    <tableColumn id="47" uniqueName="47" name="Sec4Oth2" queryTableFieldId="47"/>
    <tableColumn id="48" uniqueName="48" name="Sec4Oth3" queryTableFieldId="48"/>
    <tableColumn id="49" uniqueName="49" name="Sec4Oth4" queryTableFieldId="49"/>
    <tableColumn id="50" uniqueName="50" name="Sec4OthTotal" queryTableFieldId="50"/>
    <tableColumn id="51" uniqueName="51" name="Sec4_1" queryTableFieldId="51"/>
    <tableColumn id="52" uniqueName="52" name="Sec4_2" queryTableFieldId="52"/>
    <tableColumn id="53" uniqueName="53" name="Sec4_3" queryTableFieldId="53"/>
    <tableColumn id="54" uniqueName="54" name="Sec4_4" queryTableFieldId="54"/>
    <tableColumn id="55" uniqueName="55" name="Sec4_Total" queryTableFieldId="55"/>
    <tableColumn id="56" uniqueName="56" name="Sec5SW1" queryTableFieldId="56"/>
    <tableColumn id="57" uniqueName="57" name="Sec5SW2" queryTableFieldId="57"/>
    <tableColumn id="58" uniqueName="58" name="Sec5SW3" queryTableFieldId="58"/>
    <tableColumn id="59" uniqueName="59" name="Sec5SW4" queryTableFieldId="59"/>
    <tableColumn id="60" uniqueName="60" name="Sec5SW5" queryTableFieldId="60"/>
    <tableColumn id="61" uniqueName="61" name="Sec5SWTotal" queryTableFieldId="61"/>
    <tableColumn id="62" uniqueName="62" name="Sec5SB1" queryTableFieldId="62"/>
    <tableColumn id="63" uniqueName="63" name="Sec5SB2" queryTableFieldId="63"/>
    <tableColumn id="64" uniqueName="64" name="Sec5SB3" queryTableFieldId="64"/>
    <tableColumn id="65" uniqueName="65" name="Sec5SB4" queryTableFieldId="65"/>
    <tableColumn id="66" uniqueName="66" name="Sec5SB5" queryTableFieldId="66"/>
    <tableColumn id="67" uniqueName="67" name="Sec5SBTotal" queryTableFieldId="67"/>
    <tableColumn id="68" uniqueName="68" name="Sec5Oth1" queryTableFieldId="68"/>
    <tableColumn id="69" uniqueName="69" name="Sec5Oth2" queryTableFieldId="69"/>
    <tableColumn id="70" uniqueName="70" name="Sec5Oth3" queryTableFieldId="70"/>
    <tableColumn id="71" uniqueName="71" name="Sec5Oth4" queryTableFieldId="71"/>
    <tableColumn id="72" uniqueName="72" name="Sec5Oth5" queryTableFieldId="72"/>
    <tableColumn id="73" uniqueName="73" name="Sec5OthTotal" queryTableFieldId="73"/>
    <tableColumn id="74" uniqueName="74" name="Sec5_1" queryTableFieldId="74"/>
    <tableColumn id="75" uniqueName="75" name="Sec5_2" queryTableFieldId="75"/>
    <tableColumn id="76" uniqueName="76" name="Sec5_3" queryTableFieldId="76"/>
    <tableColumn id="77" uniqueName="77" name="Sec5_4" queryTableFieldId="77"/>
    <tableColumn id="78" uniqueName="78" name="Sec5_5" queryTableFieldId="78"/>
    <tableColumn id="79" uniqueName="79" name="Sec5_Total" queryTableFieldId="79"/>
    <tableColumn id="80" uniqueName="80" name="Sec6SW1" queryTableFieldId="80"/>
    <tableColumn id="81" uniqueName="81" name="Sec6SW2" queryTableFieldId="81"/>
    <tableColumn id="82" uniqueName="82" name="Sec6SW3" queryTableFieldId="82"/>
    <tableColumn id="83" uniqueName="83" name="Sec6SWTotal" queryTableFieldId="83"/>
    <tableColumn id="84" uniqueName="84" name="Sec6SB1" queryTableFieldId="84"/>
    <tableColumn id="85" uniqueName="85" name="Sec6SB2" queryTableFieldId="85"/>
    <tableColumn id="86" uniqueName="86" name="Sec6SB3" queryTableFieldId="86"/>
    <tableColumn id="87" uniqueName="87" name="Sec6SBTotal" queryTableFieldId="87"/>
    <tableColumn id="88" uniqueName="88" name="Sec6Oth1" queryTableFieldId="88"/>
    <tableColumn id="89" uniqueName="89" name="Sec6Oth2" queryTableFieldId="89"/>
    <tableColumn id="90" uniqueName="90" name="Sec6Oth3" queryTableFieldId="90"/>
    <tableColumn id="91" uniqueName="91" name="Sec6OthTotal" queryTableFieldId="91"/>
    <tableColumn id="92" uniqueName="92" name="Sec6_1" queryTableFieldId="92"/>
    <tableColumn id="93" uniqueName="93" name="Sec6_2" queryTableFieldId="93"/>
    <tableColumn id="94" uniqueName="94" name="Sec6_3" queryTableFieldId="94"/>
    <tableColumn id="95" uniqueName="95" name="Sec6_Total" queryTableFieldId="95"/>
    <tableColumn id="96" uniqueName="96" name="FICE_Link" queryTableFieldId="96"/>
    <tableColumn id="97" uniqueName="97" name="LocalBenefits" queryTableFieldId="97"/>
    <tableColumn id="98" uniqueName="98" name="StateBenefits" queryTableFieldId="98"/>
    <tableColumn id="99" uniqueName="99" name="HRS1" queryTableFieldId="99"/>
    <tableColumn id="100" uniqueName="100" name="HRS2" queryTableFieldId="100"/>
    <tableColumn id="101" uniqueName="101" name="HRS3" queryTableFieldId="101"/>
    <tableColumn id="102" uniqueName="102" name="HRS4" queryTableFieldId="102"/>
    <tableColumn id="103" uniqueName="103" name="HRS5" queryTableFieldId="103"/>
    <tableColumn id="104" uniqueName="104" name="HRS6" queryTableFieldId="104"/>
    <tableColumn id="105" uniqueName="105" name="HRS7" queryTableFieldId="105"/>
    <tableColumn id="106" uniqueName="106" name="HRS8" queryTableFieldId="106"/>
    <tableColumn id="107" uniqueName="107" name="HRS9" queryTableFieldId="107"/>
    <tableColumn id="108" uniqueName="108" name="HRS10" queryTableFieldId="108"/>
    <tableColumn id="109" uniqueName="109" name="HRS11" queryTableFieldId="109"/>
    <tableColumn id="110" uniqueName="110" name="HRS12" queryTableFieldId="110"/>
    <tableColumn id="111" uniqueName="111" name="HRS13" queryTableFieldId="111"/>
    <tableColumn id="112" uniqueName="112" name="HRS14" queryTableFieldId="112"/>
    <tableColumn id="113" uniqueName="113" name="HRS15" queryTableFieldId="113"/>
    <tableColumn id="114" uniqueName="114" name="HRS16" queryTableFieldId="114"/>
    <tableColumn id="115" uniqueName="115" name="HRS17" queryTableFieldId="115"/>
    <tableColumn id="116" uniqueName="116" name="HRS18" queryTableFieldId="116"/>
    <tableColumn id="117" uniqueName="117" name="HRS19" queryTableFieldId="117"/>
    <tableColumn id="118" uniqueName="118" name="HRS20" queryTableFieldId="118"/>
    <tableColumn id="119" uniqueName="119" name="HRS21" queryTableFieldId="119"/>
    <tableColumn id="120" uniqueName="120" name="HRS22" queryTableFieldId="120"/>
    <tableColumn id="121" uniqueName="121" name="HRS23" queryTableFieldId="121"/>
    <tableColumn id="122" uniqueName="122" name="HRS24" queryTableFieldId="122"/>
    <tableColumn id="123" uniqueName="123" name="HRS25" queryTableFieldId="123"/>
    <tableColumn id="124" uniqueName="124" name="HRS26" queryTableFieldId="124"/>
    <tableColumn id="125" uniqueName="125" name="HRS27" queryTableFieldId="125"/>
    <tableColumn id="126" uniqueName="126" name="HRS28" queryTableFieldId="126"/>
    <tableColumn id="127" uniqueName="127" name="HRS29" queryTableFieldId="127"/>
    <tableColumn id="128" uniqueName="128" name="HRSTotal" queryTableFieldId="128"/>
    <tableColumn id="129" uniqueName="129" name="FacSal1" queryTableFieldId="129"/>
    <tableColumn id="130" uniqueName="130" name="FacSal2" queryTableFieldId="130"/>
    <tableColumn id="131" uniqueName="131" name="FacSal3" queryTableFieldId="131"/>
    <tableColumn id="132" uniqueName="132" name="FacSal4" queryTableFieldId="132"/>
    <tableColumn id="133" uniqueName="133" name="FacSal5" queryTableFieldId="133"/>
    <tableColumn id="134" uniqueName="134" name="FacSal6" queryTableFieldId="134"/>
    <tableColumn id="135" uniqueName="135" name="FacSal7" queryTableFieldId="135"/>
    <tableColumn id="136" uniqueName="136" name="FacSal8" queryTableFieldId="136"/>
    <tableColumn id="137" uniqueName="137" name="FacSal9" queryTableFieldId="137"/>
    <tableColumn id="138" uniqueName="138" name="FacSal10" queryTableFieldId="138"/>
    <tableColumn id="139" uniqueName="139" name="FacSal11" queryTableFieldId="139"/>
    <tableColumn id="140" uniqueName="140" name="FacSal12" queryTableFieldId="140"/>
    <tableColumn id="141" uniqueName="141" name="FacSal13" queryTableFieldId="141"/>
    <tableColumn id="142" uniqueName="142" name="FacSal14" queryTableFieldId="142"/>
    <tableColumn id="143" uniqueName="143" name="FacSal15" queryTableFieldId="143"/>
    <tableColumn id="144" uniqueName="144" name="FacSal16" queryTableFieldId="144"/>
    <tableColumn id="145" uniqueName="145" name="FacSal17" queryTableFieldId="145"/>
    <tableColumn id="146" uniqueName="146" name="FacSal18" queryTableFieldId="146"/>
    <tableColumn id="147" uniqueName="147" name="FacSal19" queryTableFieldId="147"/>
    <tableColumn id="148" uniqueName="148" name="FacSal20" queryTableFieldId="148"/>
    <tableColumn id="149" uniqueName="149" name="FacSal21" queryTableFieldId="149"/>
    <tableColumn id="150" uniqueName="150" name="FacSal22" queryTableFieldId="150"/>
    <tableColumn id="151" uniqueName="151" name="FacSal23" queryTableFieldId="151"/>
    <tableColumn id="152" uniqueName="152" name="FacSal24" queryTableFieldId="152"/>
    <tableColumn id="153" uniqueName="153" name="FacSal25" queryTableFieldId="153"/>
    <tableColumn id="154" uniqueName="154" name="FacSal26" queryTableFieldId="154"/>
    <tableColumn id="155" uniqueName="155" name="FacSal27" queryTableFieldId="155"/>
    <tableColumn id="156" uniqueName="156" name="FacSal28" queryTableFieldId="156"/>
    <tableColumn id="157" uniqueName="157" name="FacSal29" queryTableFieldId="157"/>
    <tableColumn id="158" uniqueName="158" name="FacSalTotal" queryTableFieldId="158"/>
    <tableColumn id="159" uniqueName="159" name="OthSal1" queryTableFieldId="159"/>
    <tableColumn id="160" uniqueName="160" name="OthSal2" queryTableFieldId="160"/>
    <tableColumn id="161" uniqueName="161" name="OthSal3" queryTableFieldId="161"/>
    <tableColumn id="162" uniqueName="162" name="OthSal4" queryTableFieldId="162"/>
    <tableColumn id="163" uniqueName="163" name="OthSal5" queryTableFieldId="163"/>
    <tableColumn id="164" uniqueName="164" name="OthSal6" queryTableFieldId="164"/>
    <tableColumn id="165" uniqueName="165" name="OthSal7" queryTableFieldId="165"/>
    <tableColumn id="166" uniqueName="166" name="OthSal8" queryTableFieldId="166"/>
    <tableColumn id="167" uniqueName="167" name="OthSal9" queryTableFieldId="167"/>
    <tableColumn id="168" uniqueName="168" name="OthSal10" queryTableFieldId="168"/>
    <tableColumn id="169" uniqueName="169" name="OthSal11" queryTableFieldId="169"/>
    <tableColumn id="170" uniqueName="170" name="OthSal12" queryTableFieldId="170"/>
    <tableColumn id="171" uniqueName="171" name="OthSal13" queryTableFieldId="171"/>
    <tableColumn id="172" uniqueName="172" name="OthSal14" queryTableFieldId="172"/>
    <tableColumn id="173" uniqueName="173" name="OthSal15" queryTableFieldId="173"/>
    <tableColumn id="174" uniqueName="174" name="OthSal16" queryTableFieldId="174"/>
    <tableColumn id="175" uniqueName="175" name="OthSal17" queryTableFieldId="175"/>
    <tableColumn id="176" uniqueName="176" name="OthSal18" queryTableFieldId="176"/>
    <tableColumn id="177" uniqueName="177" name="OthSal19" queryTableFieldId="177"/>
    <tableColumn id="178" uniqueName="178" name="OthSal20" queryTableFieldId="178"/>
    <tableColumn id="179" uniqueName="179" name="OthSal21" queryTableFieldId="179"/>
    <tableColumn id="180" uniqueName="180" name="OthSal22" queryTableFieldId="180"/>
    <tableColumn id="181" uniqueName="181" name="OthSal23" queryTableFieldId="181"/>
    <tableColumn id="182" uniqueName="182" name="OthSal24" queryTableFieldId="182"/>
    <tableColumn id="183" uniqueName="183" name="OthSal25" queryTableFieldId="183"/>
    <tableColumn id="184" uniqueName="184" name="OthSal26" queryTableFieldId="184"/>
    <tableColumn id="185" uniqueName="185" name="OthSal27" queryTableFieldId="185"/>
    <tableColumn id="186" uniqueName="186" name="OthSal28" queryTableFieldId="186"/>
    <tableColumn id="187" uniqueName="187" name="OthSal29" queryTableFieldId="187"/>
    <tableColumn id="188" uniqueName="188" name="OthSalTotal" queryTableFieldId="188"/>
    <tableColumn id="189" uniqueName="189" name="Benefits1" queryTableFieldId="189"/>
    <tableColumn id="190" uniqueName="190" name="Benefits2" queryTableFieldId="190"/>
    <tableColumn id="191" uniqueName="191" name="Benefits3" queryTableFieldId="191"/>
    <tableColumn id="192" uniqueName="192" name="Benefits4" queryTableFieldId="192"/>
    <tableColumn id="193" uniqueName="193" name="Benefits5" queryTableFieldId="193"/>
    <tableColumn id="194" uniqueName="194" name="Benefits6" queryTableFieldId="194"/>
    <tableColumn id="195" uniqueName="195" name="Benefits7" queryTableFieldId="195"/>
    <tableColumn id="196" uniqueName="196" name="Benefits8" queryTableFieldId="196"/>
    <tableColumn id="197" uniqueName="197" name="Benefits9" queryTableFieldId="197"/>
    <tableColumn id="198" uniqueName="198" name="Benefits10" queryTableFieldId="198"/>
    <tableColumn id="199" uniqueName="199" name="Benefits11" queryTableFieldId="199"/>
    <tableColumn id="200" uniqueName="200" name="Benefits12" queryTableFieldId="200"/>
    <tableColumn id="201" uniqueName="201" name="Benefits13" queryTableFieldId="201"/>
    <tableColumn id="202" uniqueName="202" name="Benefits14" queryTableFieldId="202"/>
    <tableColumn id="203" uniqueName="203" name="Benefits15" queryTableFieldId="203"/>
    <tableColumn id="204" uniqueName="204" name="Benefits16" queryTableFieldId="204"/>
    <tableColumn id="205" uniqueName="205" name="Benefits17" queryTableFieldId="205"/>
    <tableColumn id="206" uniqueName="206" name="Benefits18" queryTableFieldId="206"/>
    <tableColumn id="207" uniqueName="207" name="Benefits19" queryTableFieldId="207"/>
    <tableColumn id="208" uniqueName="208" name="Benefits20" queryTableFieldId="208"/>
    <tableColumn id="209" uniqueName="209" name="Benefits21" queryTableFieldId="209"/>
    <tableColumn id="210" uniqueName="210" name="Benefits22" queryTableFieldId="210"/>
    <tableColumn id="211" uniqueName="211" name="Benefits23" queryTableFieldId="211"/>
    <tableColumn id="212" uniqueName="212" name="Benefits24" queryTableFieldId="212"/>
    <tableColumn id="213" uniqueName="213" name="Benefits25" queryTableFieldId="213"/>
    <tableColumn id="214" uniqueName="214" name="Benefits26" queryTableFieldId="214"/>
    <tableColumn id="215" uniqueName="215" name="Benefits27" queryTableFieldId="215"/>
    <tableColumn id="216" uniqueName="216" name="Benefits28" queryTableFieldId="216"/>
    <tableColumn id="217" uniqueName="217" name="Benefits29" queryTableFieldId="217"/>
    <tableColumn id="218" uniqueName="218" name="BenefitsTotal" queryTableFieldId="218"/>
    <tableColumn id="219" uniqueName="219" name="OtherOps1" queryTableFieldId="219"/>
    <tableColumn id="220" uniqueName="220" name="OtherOps2" queryTableFieldId="220"/>
    <tableColumn id="221" uniqueName="221" name="OtherOps3" queryTableFieldId="221"/>
    <tableColumn id="222" uniqueName="222" name="OtherOps4" queryTableFieldId="222"/>
    <tableColumn id="223" uniqueName="223" name="OtherOps5" queryTableFieldId="223"/>
    <tableColumn id="224" uniqueName="224" name="OtherOps6" queryTableFieldId="224"/>
    <tableColumn id="225" uniqueName="225" name="OtherOps7" queryTableFieldId="225"/>
    <tableColumn id="226" uniqueName="226" name="OtherOps8" queryTableFieldId="226"/>
    <tableColumn id="227" uniqueName="227" name="OtherOps9" queryTableFieldId="227"/>
    <tableColumn id="228" uniqueName="228" name="OtherOps10" queryTableFieldId="228"/>
    <tableColumn id="229" uniqueName="229" name="OtherOps11" queryTableFieldId="229"/>
    <tableColumn id="230" uniqueName="230" name="OtherOps12" queryTableFieldId="230"/>
    <tableColumn id="231" uniqueName="231" name="OtherOps13" queryTableFieldId="231"/>
    <tableColumn id="232" uniqueName="232" name="OtherOps14" queryTableFieldId="232"/>
    <tableColumn id="233" uniqueName="233" name="OtherOps15" queryTableFieldId="233"/>
    <tableColumn id="234" uniqueName="234" name="OtherOps16" queryTableFieldId="234"/>
    <tableColumn id="235" uniqueName="235" name="OtherOps17" queryTableFieldId="235"/>
    <tableColumn id="236" uniqueName="236" name="OtherOps18" queryTableFieldId="236"/>
    <tableColumn id="237" uniqueName="237" name="OtherOps19" queryTableFieldId="237"/>
    <tableColumn id="238" uniqueName="238" name="OtherOps20" queryTableFieldId="238"/>
    <tableColumn id="239" uniqueName="239" name="OtherOps21" queryTableFieldId="239"/>
    <tableColumn id="240" uniqueName="240" name="OtherOps22" queryTableFieldId="240"/>
    <tableColumn id="241" uniqueName="241" name="OtherOps23" queryTableFieldId="241"/>
    <tableColumn id="242" uniqueName="242" name="OtherOps24" queryTableFieldId="242"/>
    <tableColumn id="243" uniqueName="243" name="OtherOps25" queryTableFieldId="243"/>
    <tableColumn id="244" uniqueName="244" name="OtherOps26" queryTableFieldId="244"/>
    <tableColumn id="245" uniqueName="245" name="OtherOps27" queryTableFieldId="245"/>
    <tableColumn id="246" uniqueName="246" name="OtherOps28" queryTableFieldId="246"/>
    <tableColumn id="247" uniqueName="247" name="OtherOps29" queryTableFieldId="247"/>
    <tableColumn id="248" uniqueName="248" name="OtherOpsTotal" queryTableFieldId="248"/>
    <tableColumn id="249" uniqueName="249" name="DOE1" queryTableFieldId="249"/>
    <tableColumn id="250" uniqueName="250" name="DOE2" queryTableFieldId="250"/>
    <tableColumn id="251" uniqueName="251" name="DOE3" queryTableFieldId="251"/>
    <tableColumn id="252" uniqueName="252" name="DOE4" queryTableFieldId="252"/>
    <tableColumn id="253" uniqueName="253" name="DOE5" queryTableFieldId="253"/>
    <tableColumn id="254" uniqueName="254" name="DOE6" queryTableFieldId="254"/>
    <tableColumn id="255" uniqueName="255" name="DOE7" queryTableFieldId="255"/>
    <tableColumn id="256" uniqueName="256" name="DOE8" queryTableFieldId="256"/>
    <tableColumn id="257" uniqueName="257" name="DOE9" queryTableFieldId="257"/>
    <tableColumn id="258" uniqueName="258" name="DOE10" queryTableFieldId="258"/>
    <tableColumn id="259" uniqueName="259" name="DOE11" queryTableFieldId="259"/>
    <tableColumn id="260" uniqueName="260" name="DOE12" queryTableFieldId="260"/>
    <tableColumn id="261" uniqueName="261" name="DOE13" queryTableFieldId="261"/>
    <tableColumn id="262" uniqueName="262" name="DOE14" queryTableFieldId="262"/>
    <tableColumn id="263" uniqueName="263" name="DOE15" queryTableFieldId="263"/>
    <tableColumn id="264" uniqueName="264" name="DOE16" queryTableFieldId="264"/>
    <tableColumn id="265" uniqueName="265" name="DOE17" queryTableFieldId="265"/>
    <tableColumn id="266" uniqueName="266" name="DOE18" queryTableFieldId="266"/>
    <tableColumn id="267" uniqueName="267" name="DOE19" queryTableFieldId="267"/>
    <tableColumn id="268" uniqueName="268" name="DOE20" queryTableFieldId="268"/>
    <tableColumn id="269" uniqueName="269" name="DOE21" queryTableFieldId="269"/>
    <tableColumn id="270" uniqueName="270" name="DOE22" queryTableFieldId="270"/>
    <tableColumn id="271" uniqueName="271" name="DOE23" queryTableFieldId="271"/>
    <tableColumn id="272" uniqueName="272" name="DOE24" queryTableFieldId="272"/>
    <tableColumn id="273" uniqueName="273" name="DOE25" queryTableFieldId="273"/>
    <tableColumn id="274" uniqueName="274" name="DOE26" queryTableFieldId="274"/>
    <tableColumn id="275" uniqueName="275" name="DOE27" queryTableFieldId="275"/>
    <tableColumn id="276" uniqueName="276" name="DOE28" queryTableFieldId="276"/>
    <tableColumn id="277" uniqueName="277" name="DOE29" queryTableFieldId="277"/>
    <tableColumn id="278" uniqueName="278" name="DOETotal" queryTableFieldId="278"/>
    <tableColumn id="279" uniqueName="279" name="Total1" queryTableFieldId="279"/>
    <tableColumn id="280" uniqueName="280" name="Total2" queryTableFieldId="280"/>
    <tableColumn id="281" uniqueName="281" name="Total3" queryTableFieldId="281"/>
    <tableColumn id="282" uniqueName="282" name="Total4" queryTableFieldId="282"/>
    <tableColumn id="283" uniqueName="283" name="Total5" queryTableFieldId="283"/>
    <tableColumn id="284" uniqueName="284" name="Total6" queryTableFieldId="284"/>
    <tableColumn id="285" uniqueName="285" name="Total7" queryTableFieldId="285"/>
    <tableColumn id="286" uniqueName="286" name="Total8" queryTableFieldId="286"/>
    <tableColumn id="287" uniqueName="287" name="Total9" queryTableFieldId="287"/>
    <tableColumn id="288" uniqueName="288" name="Total10" queryTableFieldId="288"/>
    <tableColumn id="289" uniqueName="289" name="Total11" queryTableFieldId="289"/>
    <tableColumn id="290" uniqueName="290" name="Total12" queryTableFieldId="290"/>
    <tableColumn id="291" uniqueName="291" name="Total13" queryTableFieldId="291"/>
    <tableColumn id="292" uniqueName="292" name="Total14" queryTableFieldId="292"/>
    <tableColumn id="293" uniqueName="293" name="Total15" queryTableFieldId="293"/>
    <tableColumn id="294" uniqueName="294" name="Total16" queryTableFieldId="294"/>
    <tableColumn id="295" uniqueName="295" name="Total17" queryTableFieldId="295"/>
    <tableColumn id="296" uniqueName="296" name="Total18" queryTableFieldId="296"/>
    <tableColumn id="297" uniqueName="297" name="Total19" queryTableFieldId="297"/>
    <tableColumn id="298" uniqueName="298" name="Total20" queryTableFieldId="298"/>
    <tableColumn id="299" uniqueName="299" name="Total21" queryTableFieldId="299"/>
    <tableColumn id="300" uniqueName="300" name="Total22" queryTableFieldId="300"/>
    <tableColumn id="301" uniqueName="301" name="Total23" queryTableFieldId="301"/>
    <tableColumn id="302" uniqueName="302" name="Total24" queryTableFieldId="302"/>
    <tableColumn id="303" uniqueName="303" name="Total25" queryTableFieldId="303"/>
    <tableColumn id="304" uniqueName="304" name="Total26" queryTableFieldId="304"/>
    <tableColumn id="305" uniqueName="305" name="Total27" queryTableFieldId="305"/>
    <tableColumn id="306" uniqueName="306" name="Total28" queryTableFieldId="306"/>
    <tableColumn id="307" uniqueName="307" name="Total29" queryTableFieldId="307"/>
    <tableColumn id="308" uniqueName="308" name="Sec1_Total" queryTableFieldId="308"/>
    <tableColumn id="309" uniqueName="309" name="Comments" queryTableFieldId="309"/>
    <tableColumn id="310" uniqueName="310" name="PartA" queryTableFieldId="310"/>
    <tableColumn id="311" uniqueName="311" name="PartB" queryTableFieldId="311"/>
    <tableColumn id="312" uniqueName="312" name="GrandTotalExpenses" queryTableFieldId="312"/>
    <tableColumn id="313" uniqueName="313" name="AFRDifference" queryTableFieldId="313"/>
    <tableColumn id="314" uniqueName="314" name="Depreciation" queryTableFieldId="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2"/>
  <sheetViews>
    <sheetView showGridLines="0" tabSelected="1" zoomScale="70" zoomScaleNormal="70" workbookViewId="0"/>
  </sheetViews>
  <sheetFormatPr defaultRowHeight="14.25" x14ac:dyDescent="0.2"/>
  <cols>
    <col min="1" max="1" width="9.42578125" style="10" customWidth="1"/>
    <col min="2" max="2" width="42.42578125" style="10" customWidth="1"/>
    <col min="3" max="3" width="17.85546875" style="10" customWidth="1"/>
    <col min="4" max="4" width="15.85546875" style="10" customWidth="1"/>
    <col min="5" max="5" width="18.28515625" style="10" bestFit="1" customWidth="1"/>
    <col min="6" max="6" width="17.7109375" style="10" bestFit="1" customWidth="1"/>
    <col min="7" max="7" width="2.85546875" style="10" customWidth="1"/>
    <col min="8" max="8" width="15" style="10" bestFit="1" customWidth="1"/>
    <col min="9" max="9" width="16.140625" style="10" bestFit="1" customWidth="1"/>
    <col min="10" max="10" width="17.7109375" style="10" bestFit="1" customWidth="1"/>
    <col min="11" max="11" width="16.85546875" style="10" bestFit="1" customWidth="1"/>
    <col min="12" max="12" width="17.7109375" style="10" bestFit="1" customWidth="1"/>
    <col min="13" max="13" width="9.140625" style="10"/>
    <col min="14" max="14" width="20.5703125" style="10" bestFit="1" customWidth="1"/>
    <col min="15" max="15" width="18.140625" style="10" bestFit="1" customWidth="1"/>
    <col min="16" max="16" width="19.5703125" style="10" bestFit="1" customWidth="1"/>
    <col min="17" max="17" width="11" style="10" bestFit="1" customWidth="1"/>
    <col min="18" max="18" width="18.28515625" style="10" bestFit="1" customWidth="1"/>
    <col min="19" max="19" width="13.42578125" style="10" bestFit="1" customWidth="1"/>
    <col min="20" max="20" width="15.28515625" style="10" bestFit="1" customWidth="1"/>
    <col min="21" max="21" width="16.42578125" style="10" bestFit="1" customWidth="1"/>
    <col min="22" max="22" width="14.85546875" style="10" bestFit="1" customWidth="1"/>
    <col min="23" max="23" width="16.42578125" style="10" bestFit="1" customWidth="1"/>
    <col min="24" max="24" width="9.140625" style="10"/>
    <col min="25" max="25" width="13.140625" style="10" bestFit="1" customWidth="1"/>
    <col min="26" max="26" width="11.140625" style="10" bestFit="1" customWidth="1"/>
    <col min="27" max="27" width="13.140625" style="10" bestFit="1" customWidth="1"/>
    <col min="28" max="28" width="10" style="10" bestFit="1" customWidth="1"/>
    <col min="29" max="31" width="11.140625" style="10" bestFit="1" customWidth="1"/>
    <col min="32" max="32" width="13.140625" style="10" bestFit="1" customWidth="1"/>
    <col min="33" max="33" width="9.140625" style="10"/>
    <col min="34" max="34" width="17.85546875" style="10" bestFit="1" customWidth="1"/>
    <col min="35" max="35" width="9.140625" style="10"/>
    <col min="36" max="36" width="14.5703125" style="10" bestFit="1" customWidth="1"/>
    <col min="37" max="16384" width="9.140625" style="10"/>
  </cols>
  <sheetData>
    <row r="1" spans="1:9" x14ac:dyDescent="0.2">
      <c r="A1" s="38" t="s">
        <v>1081</v>
      </c>
      <c r="B1" s="38"/>
      <c r="C1" s="38"/>
      <c r="D1" s="38"/>
      <c r="E1" s="38"/>
      <c r="F1" s="38"/>
    </row>
    <row r="2" spans="1:9" x14ac:dyDescent="0.2">
      <c r="A2" s="5" t="s">
        <v>1015</v>
      </c>
      <c r="B2" s="11"/>
      <c r="C2" s="11"/>
    </row>
    <row r="3" spans="1:9" ht="15" thickBot="1" x14ac:dyDescent="0.25">
      <c r="A3" s="5" t="s">
        <v>1082</v>
      </c>
    </row>
    <row r="4" spans="1:9" ht="29.25" customHeight="1" x14ac:dyDescent="0.2">
      <c r="A4" s="26" t="s">
        <v>26</v>
      </c>
      <c r="B4" s="191" t="s">
        <v>465</v>
      </c>
      <c r="C4" s="192"/>
      <c r="D4" s="28" t="s">
        <v>27</v>
      </c>
      <c r="E4" s="28" t="s">
        <v>462</v>
      </c>
      <c r="F4" s="29" t="s">
        <v>463</v>
      </c>
    </row>
    <row r="5" spans="1:9" x14ac:dyDescent="0.2">
      <c r="A5" s="19">
        <v>1</v>
      </c>
      <c r="B5" s="181" t="s">
        <v>0</v>
      </c>
      <c r="C5" s="182"/>
      <c r="D5" s="14">
        <f>D36</f>
        <v>1297917</v>
      </c>
      <c r="E5" s="16">
        <f>E36+E67+IFERROR($E$105/$D$105*D5,0)</f>
        <v>10808271.141486395</v>
      </c>
      <c r="F5" s="20">
        <f>F36+F67+$F$105</f>
        <v>7.58</v>
      </c>
      <c r="I5" s="141"/>
    </row>
    <row r="6" spans="1:9" x14ac:dyDescent="0.2">
      <c r="A6" s="19">
        <v>2</v>
      </c>
      <c r="B6" s="181" t="s">
        <v>1</v>
      </c>
      <c r="C6" s="182"/>
      <c r="D6" s="14">
        <f t="shared" ref="D6:D32" si="0">D37</f>
        <v>5337464</v>
      </c>
      <c r="E6" s="17">
        <f t="shared" ref="E6:E32" si="1">E37+E68+IFERROR($E$105/$D$105*D6,0)</f>
        <v>41537479.819015816</v>
      </c>
      <c r="F6" s="21">
        <f t="shared" ref="F6:F30" si="2">F37+F68+$F$105</f>
        <v>7.27</v>
      </c>
      <c r="H6" s="66"/>
      <c r="I6" s="141"/>
    </row>
    <row r="7" spans="1:9" x14ac:dyDescent="0.2">
      <c r="A7" s="19">
        <v>3</v>
      </c>
      <c r="B7" s="181" t="s">
        <v>2</v>
      </c>
      <c r="C7" s="182"/>
      <c r="D7" s="14">
        <f t="shared" si="0"/>
        <v>21386245</v>
      </c>
      <c r="E7" s="17">
        <f t="shared" si="1"/>
        <v>143911291.93298781</v>
      </c>
      <c r="F7" s="21">
        <f t="shared" si="2"/>
        <v>6.0399999999999991</v>
      </c>
      <c r="H7" s="66"/>
      <c r="I7" s="141"/>
    </row>
    <row r="8" spans="1:9" x14ac:dyDescent="0.2">
      <c r="A8" s="19">
        <v>4</v>
      </c>
      <c r="B8" s="181" t="s">
        <v>3</v>
      </c>
      <c r="C8" s="182"/>
      <c r="D8" s="14">
        <f t="shared" si="0"/>
        <v>17510354</v>
      </c>
      <c r="E8" s="17">
        <f t="shared" si="1"/>
        <v>123365849.79662865</v>
      </c>
      <c r="F8" s="21">
        <f t="shared" si="2"/>
        <v>6.4599999999999991</v>
      </c>
      <c r="H8" s="66"/>
      <c r="I8" s="141"/>
    </row>
    <row r="9" spans="1:9" x14ac:dyDescent="0.2">
      <c r="A9" s="19">
        <v>5</v>
      </c>
      <c r="B9" s="181" t="s">
        <v>4</v>
      </c>
      <c r="C9" s="182"/>
      <c r="D9" s="14">
        <f t="shared" si="0"/>
        <v>346275</v>
      </c>
      <c r="E9" s="17">
        <f t="shared" si="1"/>
        <v>4924803.3570460994</v>
      </c>
      <c r="F9" s="21">
        <f t="shared" si="2"/>
        <v>11.03</v>
      </c>
      <c r="H9" s="66"/>
      <c r="I9" s="141"/>
    </row>
    <row r="10" spans="1:9" x14ac:dyDescent="0.2">
      <c r="A10" s="19">
        <v>6</v>
      </c>
      <c r="B10" s="181" t="s">
        <v>5</v>
      </c>
      <c r="C10" s="182"/>
      <c r="D10" s="14">
        <f t="shared" si="0"/>
        <v>2228317</v>
      </c>
      <c r="E10" s="17">
        <f t="shared" si="1"/>
        <v>22142625.500292808</v>
      </c>
      <c r="F10" s="21">
        <f t="shared" si="2"/>
        <v>7.26</v>
      </c>
      <c r="H10" s="66"/>
      <c r="I10" s="141"/>
    </row>
    <row r="11" spans="1:9" x14ac:dyDescent="0.2">
      <c r="A11" s="19">
        <v>7</v>
      </c>
      <c r="B11" s="181" t="s">
        <v>6</v>
      </c>
      <c r="C11" s="182"/>
      <c r="D11" s="14">
        <f t="shared" si="0"/>
        <v>13976136</v>
      </c>
      <c r="E11" s="17">
        <f t="shared" si="1"/>
        <v>113242158.95080742</v>
      </c>
      <c r="F11" s="21">
        <f t="shared" si="2"/>
        <v>6.92</v>
      </c>
      <c r="H11" s="66"/>
      <c r="I11" s="141"/>
    </row>
    <row r="12" spans="1:9" x14ac:dyDescent="0.2">
      <c r="A12" s="19">
        <v>8</v>
      </c>
      <c r="B12" s="181" t="s">
        <v>7</v>
      </c>
      <c r="C12" s="182"/>
      <c r="D12" s="14">
        <f t="shared" si="0"/>
        <v>2022773</v>
      </c>
      <c r="E12" s="17">
        <f t="shared" si="1"/>
        <v>15819754.010861915</v>
      </c>
      <c r="F12" s="21">
        <f t="shared" si="2"/>
        <v>6.75</v>
      </c>
      <c r="H12" s="66"/>
      <c r="I12" s="141"/>
    </row>
    <row r="13" spans="1:9" x14ac:dyDescent="0.2">
      <c r="A13" s="19">
        <v>9</v>
      </c>
      <c r="B13" s="181" t="s">
        <v>8</v>
      </c>
      <c r="C13" s="182"/>
      <c r="D13" s="14">
        <f t="shared" si="0"/>
        <v>7145515</v>
      </c>
      <c r="E13" s="17">
        <f t="shared" si="1"/>
        <v>44674825.750179067</v>
      </c>
      <c r="F13" s="21">
        <f t="shared" si="2"/>
        <v>5.51</v>
      </c>
      <c r="H13" s="66"/>
      <c r="I13" s="141"/>
    </row>
    <row r="14" spans="1:9" x14ac:dyDescent="0.2">
      <c r="A14" s="19">
        <v>10</v>
      </c>
      <c r="B14" s="181" t="s">
        <v>9</v>
      </c>
      <c r="C14" s="182"/>
      <c r="D14" s="14">
        <f t="shared" si="0"/>
        <v>349597</v>
      </c>
      <c r="E14" s="17">
        <f t="shared" si="1"/>
        <v>3465380.0882369364</v>
      </c>
      <c r="F14" s="21">
        <f t="shared" si="2"/>
        <v>8.5399999999999991</v>
      </c>
      <c r="H14" s="66"/>
      <c r="I14" s="141"/>
    </row>
    <row r="15" spans="1:9" x14ac:dyDescent="0.2">
      <c r="A15" s="19">
        <v>11</v>
      </c>
      <c r="B15" s="181" t="s">
        <v>10</v>
      </c>
      <c r="C15" s="182"/>
      <c r="D15" s="14">
        <f t="shared" si="0"/>
        <v>5869860</v>
      </c>
      <c r="E15" s="17">
        <f t="shared" si="1"/>
        <v>46743831.942157581</v>
      </c>
      <c r="F15" s="21">
        <f t="shared" si="2"/>
        <v>6.8899999999999988</v>
      </c>
      <c r="H15" s="66"/>
      <c r="I15" s="141"/>
    </row>
    <row r="16" spans="1:9" x14ac:dyDescent="0.2">
      <c r="A16" s="19">
        <v>12</v>
      </c>
      <c r="B16" s="181" t="s">
        <v>11</v>
      </c>
      <c r="C16" s="182"/>
      <c r="D16" s="14">
        <f t="shared" si="0"/>
        <v>37811194</v>
      </c>
      <c r="E16" s="17">
        <f t="shared" si="1"/>
        <v>250641555.53419483</v>
      </c>
      <c r="F16" s="21">
        <f t="shared" si="2"/>
        <v>5.9399999999999995</v>
      </c>
      <c r="H16" s="66"/>
      <c r="I16" s="141"/>
    </row>
    <row r="17" spans="1:9" x14ac:dyDescent="0.2">
      <c r="A17" s="19">
        <v>13</v>
      </c>
      <c r="B17" s="181" t="s">
        <v>12</v>
      </c>
      <c r="C17" s="182"/>
      <c r="D17" s="14">
        <f t="shared" si="0"/>
        <v>4209048</v>
      </c>
      <c r="E17" s="17">
        <f t="shared" si="1"/>
        <v>28301618.88661373</v>
      </c>
      <c r="F17" s="21">
        <f t="shared" si="2"/>
        <v>6.06</v>
      </c>
      <c r="H17" s="66"/>
      <c r="I17" s="141"/>
    </row>
    <row r="18" spans="1:9" x14ac:dyDescent="0.2">
      <c r="A18" s="19">
        <v>14</v>
      </c>
      <c r="B18" s="181" t="s">
        <v>464</v>
      </c>
      <c r="C18" s="182"/>
      <c r="D18" s="14">
        <f t="shared" si="0"/>
        <v>5324846</v>
      </c>
      <c r="E18" s="17">
        <f t="shared" si="1"/>
        <v>55573932.265082642</v>
      </c>
      <c r="F18" s="21">
        <f t="shared" si="2"/>
        <v>9.8099999999999987</v>
      </c>
      <c r="H18" s="66"/>
      <c r="I18" s="141"/>
    </row>
    <row r="19" spans="1:9" x14ac:dyDescent="0.2">
      <c r="A19" s="19">
        <v>15</v>
      </c>
      <c r="B19" s="181" t="s">
        <v>13</v>
      </c>
      <c r="C19" s="182"/>
      <c r="D19" s="14">
        <f t="shared" si="0"/>
        <v>394050</v>
      </c>
      <c r="E19" s="17">
        <f t="shared" si="1"/>
        <v>5337308.1576608634</v>
      </c>
      <c r="F19" s="21">
        <f t="shared" si="2"/>
        <v>12.22</v>
      </c>
      <c r="H19" s="66"/>
      <c r="I19" s="141"/>
    </row>
    <row r="20" spans="1:9" x14ac:dyDescent="0.2">
      <c r="A20" s="19">
        <v>16</v>
      </c>
      <c r="B20" s="181" t="s">
        <v>14</v>
      </c>
      <c r="C20" s="182"/>
      <c r="D20" s="14">
        <f t="shared" si="0"/>
        <v>9742406</v>
      </c>
      <c r="E20" s="17">
        <f t="shared" si="1"/>
        <v>75108774.674894392</v>
      </c>
      <c r="F20" s="21">
        <f t="shared" si="2"/>
        <v>6.5499999999999989</v>
      </c>
      <c r="H20" s="66"/>
      <c r="I20" s="141"/>
    </row>
    <row r="21" spans="1:9" x14ac:dyDescent="0.2">
      <c r="A21" s="19">
        <v>17</v>
      </c>
      <c r="B21" s="181" t="s">
        <v>15</v>
      </c>
      <c r="C21" s="182"/>
      <c r="D21" s="14">
        <f t="shared" si="0"/>
        <v>521318</v>
      </c>
      <c r="E21" s="17">
        <f t="shared" si="1"/>
        <v>6058447.3320122976</v>
      </c>
      <c r="F21" s="21">
        <f t="shared" si="2"/>
        <v>11.94</v>
      </c>
      <c r="H21" s="66"/>
      <c r="I21" s="141"/>
    </row>
    <row r="22" spans="1:9" x14ac:dyDescent="0.2">
      <c r="A22" s="19">
        <v>18</v>
      </c>
      <c r="B22" s="181" t="s">
        <v>16</v>
      </c>
      <c r="C22" s="182"/>
      <c r="D22" s="14">
        <f t="shared" si="0"/>
        <v>4787228</v>
      </c>
      <c r="E22" s="17">
        <f t="shared" si="1"/>
        <v>34815669.209888332</v>
      </c>
      <c r="F22" s="21">
        <f t="shared" si="2"/>
        <v>6.66</v>
      </c>
      <c r="H22" s="66"/>
      <c r="I22" s="141"/>
    </row>
    <row r="23" spans="1:9" x14ac:dyDescent="0.2">
      <c r="A23" s="19">
        <v>19</v>
      </c>
      <c r="B23" s="181" t="s">
        <v>17</v>
      </c>
      <c r="C23" s="182"/>
      <c r="D23" s="14">
        <f t="shared" si="0"/>
        <v>25606500</v>
      </c>
      <c r="E23" s="17">
        <f t="shared" si="1"/>
        <v>158663361.03436846</v>
      </c>
      <c r="F23" s="21">
        <f t="shared" si="2"/>
        <v>5.5499999999999989</v>
      </c>
      <c r="H23" s="66"/>
      <c r="I23" s="141"/>
    </row>
    <row r="24" spans="1:9" x14ac:dyDescent="0.2">
      <c r="A24" s="19">
        <v>20</v>
      </c>
      <c r="B24" s="181" t="s">
        <v>18</v>
      </c>
      <c r="C24" s="182"/>
      <c r="D24" s="14">
        <f t="shared" si="0"/>
        <v>3038239</v>
      </c>
      <c r="E24" s="17">
        <f t="shared" si="1"/>
        <v>25328959.502564099</v>
      </c>
      <c r="F24" s="21">
        <f t="shared" si="2"/>
        <v>7.6199999999999992</v>
      </c>
      <c r="H24" s="66"/>
      <c r="I24" s="141"/>
    </row>
    <row r="25" spans="1:9" x14ac:dyDescent="0.2">
      <c r="A25" s="19">
        <v>21</v>
      </c>
      <c r="B25" s="181" t="s">
        <v>461</v>
      </c>
      <c r="C25" s="182"/>
      <c r="D25" s="14">
        <f t="shared" si="0"/>
        <v>2725556</v>
      </c>
      <c r="E25" s="17">
        <f t="shared" si="1"/>
        <v>25977428.37675298</v>
      </c>
      <c r="F25" s="21">
        <f t="shared" si="2"/>
        <v>8.76</v>
      </c>
      <c r="H25" s="66"/>
      <c r="I25" s="141"/>
    </row>
    <row r="26" spans="1:9" x14ac:dyDescent="0.2">
      <c r="A26" s="19">
        <v>22</v>
      </c>
      <c r="B26" s="181" t="s">
        <v>19</v>
      </c>
      <c r="C26" s="182"/>
      <c r="D26" s="14">
        <f t="shared" si="0"/>
        <v>623607</v>
      </c>
      <c r="E26" s="17">
        <f t="shared" si="1"/>
        <v>7663829.9556665849</v>
      </c>
      <c r="F26" s="21">
        <f t="shared" si="2"/>
        <v>8.36</v>
      </c>
      <c r="H26" s="66"/>
      <c r="I26" s="141"/>
    </row>
    <row r="27" spans="1:9" x14ac:dyDescent="0.2">
      <c r="A27" s="19">
        <v>23</v>
      </c>
      <c r="B27" s="181" t="s">
        <v>20</v>
      </c>
      <c r="C27" s="182"/>
      <c r="D27" s="14">
        <f t="shared" si="0"/>
        <v>5201681</v>
      </c>
      <c r="E27" s="17">
        <f t="shared" si="1"/>
        <v>42556322.394486785</v>
      </c>
      <c r="F27" s="21">
        <f t="shared" si="2"/>
        <v>7.32</v>
      </c>
      <c r="H27" s="66"/>
      <c r="I27" s="141"/>
    </row>
    <row r="28" spans="1:9" x14ac:dyDescent="0.2">
      <c r="A28" s="19">
        <v>24</v>
      </c>
      <c r="B28" s="181" t="s">
        <v>21</v>
      </c>
      <c r="C28" s="182"/>
      <c r="D28" s="14">
        <f t="shared" si="0"/>
        <v>6239133</v>
      </c>
      <c r="E28" s="17">
        <f t="shared" si="1"/>
        <v>45602181.150476068</v>
      </c>
      <c r="F28" s="21">
        <f t="shared" si="2"/>
        <v>6.34</v>
      </c>
      <c r="H28" s="66"/>
      <c r="I28" s="141"/>
    </row>
    <row r="29" spans="1:9" x14ac:dyDescent="0.2">
      <c r="A29" s="19">
        <v>25</v>
      </c>
      <c r="B29" s="181" t="s">
        <v>22</v>
      </c>
      <c r="C29" s="182"/>
      <c r="D29" s="14">
        <f t="shared" si="0"/>
        <v>33944505</v>
      </c>
      <c r="E29" s="17">
        <f t="shared" si="1"/>
        <v>200660756.95064068</v>
      </c>
      <c r="F29" s="21">
        <f t="shared" si="2"/>
        <v>5.3199999999999994</v>
      </c>
      <c r="H29" s="66"/>
      <c r="I29" s="141"/>
    </row>
    <row r="30" spans="1:9" x14ac:dyDescent="0.2">
      <c r="A30" s="19">
        <v>26</v>
      </c>
      <c r="B30" s="181" t="s">
        <v>23</v>
      </c>
      <c r="C30" s="182"/>
      <c r="D30" s="14">
        <f t="shared" si="0"/>
        <v>10292935</v>
      </c>
      <c r="E30" s="17">
        <f t="shared" si="1"/>
        <v>85888344.284996867</v>
      </c>
      <c r="F30" s="21">
        <f t="shared" si="2"/>
        <v>7.5</v>
      </c>
      <c r="H30" s="66"/>
      <c r="I30" s="141"/>
    </row>
    <row r="31" spans="1:9" x14ac:dyDescent="0.2">
      <c r="A31" s="19">
        <v>28</v>
      </c>
      <c r="B31" s="181" t="s">
        <v>24</v>
      </c>
      <c r="C31" s="182"/>
      <c r="D31" s="14">
        <f t="shared" si="0"/>
        <v>0</v>
      </c>
      <c r="E31" s="17">
        <f t="shared" si="1"/>
        <v>0</v>
      </c>
      <c r="F31" s="21"/>
    </row>
    <row r="32" spans="1:9" ht="15.75" customHeight="1" thickBot="1" x14ac:dyDescent="0.25">
      <c r="A32" s="22">
        <v>29</v>
      </c>
      <c r="B32" s="183" t="s">
        <v>25</v>
      </c>
      <c r="C32" s="184"/>
      <c r="D32" s="23">
        <f t="shared" si="0"/>
        <v>0</v>
      </c>
      <c r="E32" s="24">
        <f t="shared" si="1"/>
        <v>0</v>
      </c>
      <c r="F32" s="25"/>
    </row>
    <row r="33" spans="1:12" x14ac:dyDescent="0.2">
      <c r="B33" s="13" t="s">
        <v>35</v>
      </c>
      <c r="C33" s="13"/>
      <c r="D33" s="61">
        <f>SUM(D5:D32)</f>
        <v>227932699</v>
      </c>
      <c r="E33" s="4">
        <f>SUM(E5:E32)</f>
        <v>1618814762.0000005</v>
      </c>
      <c r="F33" s="8">
        <f>F64+F95+$F$105</f>
        <v>6.43</v>
      </c>
    </row>
    <row r="34" spans="1:12" ht="15" thickBot="1" x14ac:dyDescent="0.25">
      <c r="H34" s="67"/>
      <c r="I34" s="67"/>
      <c r="J34" s="67"/>
      <c r="K34" s="67"/>
      <c r="L34" s="67"/>
    </row>
    <row r="35" spans="1:12" ht="29.25" customHeight="1" x14ac:dyDescent="0.2">
      <c r="A35" s="26" t="s">
        <v>26</v>
      </c>
      <c r="B35" s="191" t="s">
        <v>466</v>
      </c>
      <c r="C35" s="192"/>
      <c r="D35" s="28" t="s">
        <v>27</v>
      </c>
      <c r="E35" s="28" t="s">
        <v>462</v>
      </c>
      <c r="F35" s="29" t="s">
        <v>463</v>
      </c>
    </row>
    <row r="36" spans="1:12" x14ac:dyDescent="0.2">
      <c r="A36" s="19">
        <v>1</v>
      </c>
      <c r="B36" s="181" t="s">
        <v>0</v>
      </c>
      <c r="C36" s="182"/>
      <c r="D36" s="14">
        <f>SUM('1:57'!D36)</f>
        <v>1297917</v>
      </c>
      <c r="E36" s="15">
        <f>SUM('1:57'!E36)</f>
        <v>2219987</v>
      </c>
      <c r="F36" s="20">
        <f>ROUND(MEDIAN('1:57'!F36),2)</f>
        <v>0.9</v>
      </c>
    </row>
    <row r="37" spans="1:12" x14ac:dyDescent="0.2">
      <c r="A37" s="19">
        <v>2</v>
      </c>
      <c r="B37" s="181" t="s">
        <v>1</v>
      </c>
      <c r="C37" s="182"/>
      <c r="D37" s="14">
        <f>SUM('1:57'!D37)</f>
        <v>5337464</v>
      </c>
      <c r="E37" s="17">
        <f>SUM('1:57'!E37)</f>
        <v>7494075</v>
      </c>
      <c r="F37" s="21">
        <f>ROUND(MEDIAN('1:57'!F37),2)</f>
        <v>1.07</v>
      </c>
    </row>
    <row r="38" spans="1:12" x14ac:dyDescent="0.2">
      <c r="A38" s="19">
        <v>3</v>
      </c>
      <c r="B38" s="181" t="s">
        <v>2</v>
      </c>
      <c r="C38" s="182"/>
      <c r="D38" s="14">
        <f>SUM('1:57'!D38)</f>
        <v>21386245</v>
      </c>
      <c r="E38" s="17">
        <f>SUM('1:57'!E38)</f>
        <v>18410215</v>
      </c>
      <c r="F38" s="21">
        <f>ROUND(MEDIAN('1:57'!F38),2)</f>
        <v>0.53</v>
      </c>
    </row>
    <row r="39" spans="1:12" x14ac:dyDescent="0.2">
      <c r="A39" s="19">
        <v>4</v>
      </c>
      <c r="B39" s="181" t="s">
        <v>3</v>
      </c>
      <c r="C39" s="182"/>
      <c r="D39" s="14">
        <f>SUM('1:57'!D39)</f>
        <v>17510354</v>
      </c>
      <c r="E39" s="17">
        <f>SUM('1:57'!E39)</f>
        <v>14959804</v>
      </c>
      <c r="F39" s="21">
        <f>ROUND(MEDIAN('1:57'!F39),2)</f>
        <v>0.61</v>
      </c>
    </row>
    <row r="40" spans="1:12" x14ac:dyDescent="0.2">
      <c r="A40" s="19">
        <v>5</v>
      </c>
      <c r="B40" s="181" t="s">
        <v>4</v>
      </c>
      <c r="C40" s="182"/>
      <c r="D40" s="14">
        <f>SUM('1:57'!D40)</f>
        <v>346275</v>
      </c>
      <c r="E40" s="17">
        <f>SUM('1:57'!E40)</f>
        <v>2285703</v>
      </c>
      <c r="F40" s="21">
        <f>ROUND(MEDIAN('1:57'!F40),2)</f>
        <v>3.6</v>
      </c>
    </row>
    <row r="41" spans="1:12" x14ac:dyDescent="0.2">
      <c r="A41" s="19">
        <v>6</v>
      </c>
      <c r="B41" s="181" t="s">
        <v>5</v>
      </c>
      <c r="C41" s="182"/>
      <c r="D41" s="14">
        <f>SUM('1:57'!D41)</f>
        <v>2228317</v>
      </c>
      <c r="E41" s="17">
        <f>SUM('1:57'!E41)</f>
        <v>8346215</v>
      </c>
      <c r="F41" s="21">
        <f>ROUND(MEDIAN('1:57'!F41),2)</f>
        <v>1.07</v>
      </c>
    </row>
    <row r="42" spans="1:12" x14ac:dyDescent="0.2">
      <c r="A42" s="19">
        <v>7</v>
      </c>
      <c r="B42" s="181" t="s">
        <v>6</v>
      </c>
      <c r="C42" s="182"/>
      <c r="D42" s="14">
        <f>SUM('1:57'!D42)</f>
        <v>13976136</v>
      </c>
      <c r="E42" s="17">
        <f>SUM('1:57'!E42)</f>
        <v>21104437</v>
      </c>
      <c r="F42" s="21">
        <f>ROUND(MEDIAN('1:57'!F42),2)</f>
        <v>0.83</v>
      </c>
    </row>
    <row r="43" spans="1:12" x14ac:dyDescent="0.2">
      <c r="A43" s="19">
        <v>8</v>
      </c>
      <c r="B43" s="181" t="s">
        <v>7</v>
      </c>
      <c r="C43" s="182"/>
      <c r="D43" s="14">
        <f>SUM('1:57'!D43)</f>
        <v>2022773</v>
      </c>
      <c r="E43" s="17">
        <f>SUM('1:57'!E43)</f>
        <v>3453127</v>
      </c>
      <c r="F43" s="21">
        <f>ROUND(MEDIAN('1:57'!F43),2)</f>
        <v>0.95</v>
      </c>
    </row>
    <row r="44" spans="1:12" x14ac:dyDescent="0.2">
      <c r="A44" s="19">
        <v>9</v>
      </c>
      <c r="B44" s="181" t="s">
        <v>8</v>
      </c>
      <c r="C44" s="182"/>
      <c r="D44" s="14">
        <f>SUM('1:57'!D44)</f>
        <v>7145515</v>
      </c>
      <c r="E44" s="17">
        <f>SUM('1:57'!E44)</f>
        <v>6090167</v>
      </c>
      <c r="F44" s="21">
        <f>ROUND(MEDIAN('1:57'!F44),2)</f>
        <v>0.59</v>
      </c>
    </row>
    <row r="45" spans="1:12" x14ac:dyDescent="0.2">
      <c r="A45" s="19">
        <v>10</v>
      </c>
      <c r="B45" s="181" t="s">
        <v>9</v>
      </c>
      <c r="C45" s="182"/>
      <c r="D45" s="14">
        <f>SUM('1:57'!D45)</f>
        <v>349597</v>
      </c>
      <c r="E45" s="17">
        <f>SUM('1:57'!E45)</f>
        <v>658048</v>
      </c>
      <c r="F45" s="21">
        <f>ROUND(MEDIAN('1:57'!F45),2)</f>
        <v>0.99</v>
      </c>
    </row>
    <row r="46" spans="1:12" x14ac:dyDescent="0.2">
      <c r="A46" s="19">
        <v>11</v>
      </c>
      <c r="B46" s="181" t="s">
        <v>10</v>
      </c>
      <c r="C46" s="182"/>
      <c r="D46" s="14">
        <f>SUM('1:57'!D46)</f>
        <v>5869860</v>
      </c>
      <c r="E46" s="17">
        <f>SUM('1:57'!E46)</f>
        <v>8441960</v>
      </c>
      <c r="F46" s="21">
        <f>ROUND(MEDIAN('1:57'!F46),2)</f>
        <v>0.9</v>
      </c>
    </row>
    <row r="47" spans="1:12" x14ac:dyDescent="0.2">
      <c r="A47" s="19">
        <v>12</v>
      </c>
      <c r="B47" s="181" t="s">
        <v>11</v>
      </c>
      <c r="C47" s="182"/>
      <c r="D47" s="14">
        <f>SUM('1:57'!D47)</f>
        <v>37811194</v>
      </c>
      <c r="E47" s="17">
        <f>SUM('1:57'!E47)</f>
        <v>22400854</v>
      </c>
      <c r="F47" s="21">
        <f>ROUND(MEDIAN('1:57'!F47),2)</f>
        <v>0.34</v>
      </c>
    </row>
    <row r="48" spans="1:12" x14ac:dyDescent="0.2">
      <c r="A48" s="19">
        <v>13</v>
      </c>
      <c r="B48" s="181" t="s">
        <v>12</v>
      </c>
      <c r="C48" s="182"/>
      <c r="D48" s="14">
        <f>SUM('1:57'!D48)</f>
        <v>4209048</v>
      </c>
      <c r="E48" s="17">
        <f>SUM('1:57'!E48)</f>
        <v>2042014</v>
      </c>
      <c r="F48" s="21">
        <f>ROUND(MEDIAN('1:57'!F48),2)</f>
        <v>0.31</v>
      </c>
    </row>
    <row r="49" spans="1:6" x14ac:dyDescent="0.2">
      <c r="A49" s="19">
        <v>14</v>
      </c>
      <c r="B49" s="181" t="s">
        <v>464</v>
      </c>
      <c r="C49" s="182"/>
      <c r="D49" s="14">
        <f>SUM('1:57'!D49)</f>
        <v>5324846</v>
      </c>
      <c r="E49" s="17">
        <f>SUM('1:57'!E49)</f>
        <v>5457852</v>
      </c>
      <c r="F49" s="21">
        <f>ROUND(MEDIAN('1:57'!F49),2)</f>
        <v>0.93</v>
      </c>
    </row>
    <row r="50" spans="1:6" x14ac:dyDescent="0.2">
      <c r="A50" s="19">
        <v>15</v>
      </c>
      <c r="B50" s="181" t="s">
        <v>13</v>
      </c>
      <c r="C50" s="182"/>
      <c r="D50" s="14">
        <f>SUM('1:57'!D50)</f>
        <v>394050</v>
      </c>
      <c r="E50" s="17">
        <f>SUM('1:57'!E50)</f>
        <v>992635</v>
      </c>
      <c r="F50" s="21">
        <f>ROUND(MEDIAN('1:57'!F50),2)</f>
        <v>1.82</v>
      </c>
    </row>
    <row r="51" spans="1:6" x14ac:dyDescent="0.2">
      <c r="A51" s="19">
        <v>16</v>
      </c>
      <c r="B51" s="181" t="s">
        <v>14</v>
      </c>
      <c r="C51" s="182"/>
      <c r="D51" s="14">
        <f>SUM('1:57'!D51)</f>
        <v>9742406</v>
      </c>
      <c r="E51" s="17">
        <f>SUM('1:57'!E51)</f>
        <v>10653457</v>
      </c>
      <c r="F51" s="21">
        <f>ROUND(MEDIAN('1:57'!F51),2)</f>
        <v>0.77</v>
      </c>
    </row>
    <row r="52" spans="1:6" x14ac:dyDescent="0.2">
      <c r="A52" s="19">
        <v>17</v>
      </c>
      <c r="B52" s="181" t="s">
        <v>15</v>
      </c>
      <c r="C52" s="182"/>
      <c r="D52" s="14">
        <f>SUM('1:57'!D52)</f>
        <v>521318</v>
      </c>
      <c r="E52" s="17">
        <f>SUM('1:57'!E52)</f>
        <v>686472</v>
      </c>
      <c r="F52" s="21">
        <f>ROUND(MEDIAN('1:57'!F52),2)</f>
        <v>1.2</v>
      </c>
    </row>
    <row r="53" spans="1:6" x14ac:dyDescent="0.2">
      <c r="A53" s="19">
        <v>18</v>
      </c>
      <c r="B53" s="181" t="s">
        <v>16</v>
      </c>
      <c r="C53" s="182"/>
      <c r="D53" s="14">
        <f>SUM('1:57'!D53)</f>
        <v>4787228</v>
      </c>
      <c r="E53" s="17">
        <f>SUM('1:57'!E53)</f>
        <v>2715698</v>
      </c>
      <c r="F53" s="21">
        <f>ROUND(MEDIAN('1:57'!F53),2)</f>
        <v>0.53</v>
      </c>
    </row>
    <row r="54" spans="1:6" x14ac:dyDescent="0.2">
      <c r="A54" s="19">
        <v>19</v>
      </c>
      <c r="B54" s="181" t="s">
        <v>17</v>
      </c>
      <c r="C54" s="182"/>
      <c r="D54" s="14">
        <f>SUM('1:57'!D54)</f>
        <v>25606500</v>
      </c>
      <c r="E54" s="17">
        <f>SUM('1:57'!E54)</f>
        <v>10829977</v>
      </c>
      <c r="F54" s="21">
        <f>ROUND(MEDIAN('1:57'!F54),2)</f>
        <v>0.34</v>
      </c>
    </row>
    <row r="55" spans="1:6" x14ac:dyDescent="0.2">
      <c r="A55" s="19">
        <v>20</v>
      </c>
      <c r="B55" s="181" t="s">
        <v>18</v>
      </c>
      <c r="C55" s="182"/>
      <c r="D55" s="14">
        <f>SUM('1:57'!D55)</f>
        <v>3038239</v>
      </c>
      <c r="E55" s="17">
        <f>SUM('1:57'!E55)</f>
        <v>4670113</v>
      </c>
      <c r="F55" s="21">
        <f>ROUND(MEDIAN('1:57'!F55),2)</f>
        <v>1.19</v>
      </c>
    </row>
    <row r="56" spans="1:6" ht="14.25" customHeight="1" x14ac:dyDescent="0.2">
      <c r="A56" s="19">
        <v>21</v>
      </c>
      <c r="B56" s="181" t="s">
        <v>461</v>
      </c>
      <c r="C56" s="182"/>
      <c r="D56" s="14">
        <f>SUM('1:57'!D56)</f>
        <v>2725556</v>
      </c>
      <c r="E56" s="17">
        <f>SUM('1:57'!E56)</f>
        <v>11251625</v>
      </c>
      <c r="F56" s="21">
        <f>ROUND(MEDIAN('1:57'!F56),2)</f>
        <v>2.44</v>
      </c>
    </row>
    <row r="57" spans="1:6" x14ac:dyDescent="0.2">
      <c r="A57" s="19">
        <v>22</v>
      </c>
      <c r="B57" s="181" t="s">
        <v>19</v>
      </c>
      <c r="C57" s="182"/>
      <c r="D57" s="14">
        <f>SUM('1:57'!D57)</f>
        <v>623607</v>
      </c>
      <c r="E57" s="17">
        <f>SUM('1:57'!E57)</f>
        <v>1503772</v>
      </c>
      <c r="F57" s="21">
        <f>ROUND(MEDIAN('1:57'!F57),2)</f>
        <v>1.83</v>
      </c>
    </row>
    <row r="58" spans="1:6" x14ac:dyDescent="0.2">
      <c r="A58" s="19">
        <v>23</v>
      </c>
      <c r="B58" s="181" t="s">
        <v>20</v>
      </c>
      <c r="C58" s="182"/>
      <c r="D58" s="14">
        <f>SUM('1:57'!D58)</f>
        <v>5201681</v>
      </c>
      <c r="E58" s="17">
        <f>SUM('1:57'!E58)</f>
        <v>5239218</v>
      </c>
      <c r="F58" s="21">
        <f>ROUND(MEDIAN('1:57'!F58),2)</f>
        <v>0.66</v>
      </c>
    </row>
    <row r="59" spans="1:6" x14ac:dyDescent="0.2">
      <c r="A59" s="19">
        <v>24</v>
      </c>
      <c r="B59" s="181" t="s">
        <v>21</v>
      </c>
      <c r="C59" s="182"/>
      <c r="D59" s="14">
        <f>SUM('1:57'!D59)</f>
        <v>6239133</v>
      </c>
      <c r="E59" s="17">
        <f>SUM('1:57'!E59)</f>
        <v>7943256</v>
      </c>
      <c r="F59" s="21">
        <f>ROUND(MEDIAN('1:57'!F59),2)</f>
        <v>0.71</v>
      </c>
    </row>
    <row r="60" spans="1:6" x14ac:dyDescent="0.2">
      <c r="A60" s="19">
        <v>25</v>
      </c>
      <c r="B60" s="181" t="s">
        <v>22</v>
      </c>
      <c r="C60" s="182"/>
      <c r="D60" s="14">
        <f>SUM('1:57'!D60)</f>
        <v>33944505</v>
      </c>
      <c r="E60" s="17">
        <f>SUM('1:57'!E60)</f>
        <v>9359493</v>
      </c>
      <c r="F60" s="21">
        <f>ROUND(MEDIAN('1:57'!F60),2)</f>
        <v>0.14000000000000001</v>
      </c>
    </row>
    <row r="61" spans="1:6" x14ac:dyDescent="0.2">
      <c r="A61" s="19">
        <v>26</v>
      </c>
      <c r="B61" s="181" t="s">
        <v>23</v>
      </c>
      <c r="C61" s="182"/>
      <c r="D61" s="14">
        <f>SUM('1:57'!D61)</f>
        <v>10292935</v>
      </c>
      <c r="E61" s="17">
        <f>SUM('1:57'!E61)</f>
        <v>11704958</v>
      </c>
      <c r="F61" s="21">
        <f>ROUND(MEDIAN('1:57'!F61),2)</f>
        <v>0.97</v>
      </c>
    </row>
    <row r="62" spans="1:6" x14ac:dyDescent="0.2">
      <c r="A62" s="19">
        <v>28</v>
      </c>
      <c r="B62" s="181" t="s">
        <v>24</v>
      </c>
      <c r="C62" s="182"/>
      <c r="D62" s="14">
        <f>SUM('1:57'!D62)</f>
        <v>0</v>
      </c>
      <c r="E62" s="17">
        <f>SUM('1:57'!E62)</f>
        <v>0</v>
      </c>
      <c r="F62" s="21"/>
    </row>
    <row r="63" spans="1:6" ht="15.75" customHeight="1" thickBot="1" x14ac:dyDescent="0.25">
      <c r="A63" s="22">
        <v>29</v>
      </c>
      <c r="B63" s="183" t="s">
        <v>25</v>
      </c>
      <c r="C63" s="184"/>
      <c r="D63" s="23">
        <f>SUM('1:57'!D63)</f>
        <v>0</v>
      </c>
      <c r="E63" s="24">
        <f>SUM('1:57'!E63)</f>
        <v>0</v>
      </c>
      <c r="F63" s="25"/>
    </row>
    <row r="64" spans="1:6" x14ac:dyDescent="0.2">
      <c r="C64" s="13" t="s">
        <v>35</v>
      </c>
      <c r="D64" s="61">
        <f>SUM(D36:D63)</f>
        <v>227932699</v>
      </c>
      <c r="E64" s="4">
        <f>SUM(E36:E63)</f>
        <v>200915132</v>
      </c>
      <c r="F64" s="8">
        <f>ROUND(MEDIAN('1:57'!F64),2)</f>
        <v>0.67</v>
      </c>
    </row>
    <row r="65" spans="1:6" ht="15" thickBot="1" x14ac:dyDescent="0.25"/>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1297917</v>
      </c>
      <c r="E67" s="15">
        <f>SUM('1:57'!E67)</f>
        <v>4318000</v>
      </c>
      <c r="F67" s="20">
        <f>ROUND(MEDIAN('1:57'!F67),2)</f>
        <v>3.76</v>
      </c>
    </row>
    <row r="68" spans="1:6" x14ac:dyDescent="0.2">
      <c r="A68" s="19">
        <v>2</v>
      </c>
      <c r="B68" s="181" t="s">
        <v>1</v>
      </c>
      <c r="C68" s="182"/>
      <c r="D68" s="14">
        <f t="shared" ref="D68:D94" si="3">D37</f>
        <v>5337464</v>
      </c>
      <c r="E68" s="17">
        <f>SUM('1:57'!E68)</f>
        <v>16482584</v>
      </c>
      <c r="F68" s="21">
        <f>ROUND(MEDIAN('1:57'!F68),2)</f>
        <v>3.28</v>
      </c>
    </row>
    <row r="69" spans="1:6" x14ac:dyDescent="0.2">
      <c r="A69" s="19">
        <v>3</v>
      </c>
      <c r="B69" s="181" t="s">
        <v>2</v>
      </c>
      <c r="C69" s="182"/>
      <c r="D69" s="14">
        <f t="shared" si="3"/>
        <v>21386245</v>
      </c>
      <c r="E69" s="17">
        <f>SUM('1:57'!E69)</f>
        <v>55138070</v>
      </c>
      <c r="F69" s="21">
        <f>ROUND(MEDIAN('1:57'!F69),2)</f>
        <v>2.59</v>
      </c>
    </row>
    <row r="70" spans="1:6" x14ac:dyDescent="0.2">
      <c r="A70" s="19">
        <v>4</v>
      </c>
      <c r="B70" s="181" t="s">
        <v>3</v>
      </c>
      <c r="C70" s="182"/>
      <c r="D70" s="14">
        <f t="shared" si="3"/>
        <v>17510354</v>
      </c>
      <c r="E70" s="17">
        <f>SUM('1:57'!E70)</f>
        <v>50795130</v>
      </c>
      <c r="F70" s="21">
        <f>ROUND(MEDIAN('1:57'!F70),2)</f>
        <v>2.93</v>
      </c>
    </row>
    <row r="71" spans="1:6" x14ac:dyDescent="0.2">
      <c r="A71" s="19">
        <v>5</v>
      </c>
      <c r="B71" s="181" t="s">
        <v>4</v>
      </c>
      <c r="C71" s="182"/>
      <c r="D71" s="14">
        <f t="shared" si="3"/>
        <v>346275</v>
      </c>
      <c r="E71" s="17">
        <f>SUM('1:57'!E71)</f>
        <v>1499819</v>
      </c>
      <c r="F71" s="21">
        <f>ROUND(MEDIAN('1:57'!F71),2)</f>
        <v>4.51</v>
      </c>
    </row>
    <row r="72" spans="1:6" x14ac:dyDescent="0.2">
      <c r="A72" s="19">
        <v>6</v>
      </c>
      <c r="B72" s="181" t="s">
        <v>5</v>
      </c>
      <c r="C72" s="182"/>
      <c r="D72" s="14">
        <f t="shared" si="3"/>
        <v>2228317</v>
      </c>
      <c r="E72" s="17">
        <f>SUM('1:57'!E72)</f>
        <v>6465012</v>
      </c>
      <c r="F72" s="21">
        <f>ROUND(MEDIAN('1:57'!F72),2)</f>
        <v>3.27</v>
      </c>
    </row>
    <row r="73" spans="1:6" x14ac:dyDescent="0.2">
      <c r="A73" s="19">
        <v>7</v>
      </c>
      <c r="B73" s="181" t="s">
        <v>6</v>
      </c>
      <c r="C73" s="182"/>
      <c r="D73" s="14">
        <f t="shared" si="3"/>
        <v>13976136</v>
      </c>
      <c r="E73" s="17">
        <f>SUM('1:57'!E73)</f>
        <v>46154757</v>
      </c>
      <c r="F73" s="21">
        <f>ROUND(MEDIAN('1:57'!F73),2)</f>
        <v>3.17</v>
      </c>
    </row>
    <row r="74" spans="1:6" x14ac:dyDescent="0.2">
      <c r="A74" s="19">
        <v>8</v>
      </c>
      <c r="B74" s="181" t="s">
        <v>7</v>
      </c>
      <c r="C74" s="182"/>
      <c r="D74" s="14">
        <f t="shared" si="3"/>
        <v>2022773</v>
      </c>
      <c r="E74" s="17">
        <f>SUM('1:57'!E74)</f>
        <v>5711490</v>
      </c>
      <c r="F74" s="21">
        <f>ROUND(MEDIAN('1:57'!F74),2)</f>
        <v>2.88</v>
      </c>
    </row>
    <row r="75" spans="1:6" x14ac:dyDescent="0.2">
      <c r="A75" s="19">
        <v>9</v>
      </c>
      <c r="B75" s="181" t="s">
        <v>8</v>
      </c>
      <c r="C75" s="182"/>
      <c r="D75" s="14">
        <f t="shared" si="3"/>
        <v>7145515</v>
      </c>
      <c r="E75" s="17">
        <f>SUM('1:57'!E75)</f>
        <v>15075159</v>
      </c>
      <c r="F75" s="21">
        <f>ROUND(MEDIAN('1:57'!F75),2)</f>
        <v>2</v>
      </c>
    </row>
    <row r="76" spans="1:6" x14ac:dyDescent="0.2">
      <c r="A76" s="19">
        <v>10</v>
      </c>
      <c r="B76" s="181" t="s">
        <v>9</v>
      </c>
      <c r="C76" s="182"/>
      <c r="D76" s="14">
        <f t="shared" si="3"/>
        <v>349597</v>
      </c>
      <c r="E76" s="17">
        <f>SUM('1:57'!E76)</f>
        <v>1657121</v>
      </c>
      <c r="F76" s="21">
        <f>ROUND(MEDIAN('1:57'!F76),2)</f>
        <v>4.63</v>
      </c>
    </row>
    <row r="77" spans="1:6" x14ac:dyDescent="0.2">
      <c r="A77" s="19">
        <v>11</v>
      </c>
      <c r="B77" s="181" t="s">
        <v>10</v>
      </c>
      <c r="C77" s="182"/>
      <c r="D77" s="14">
        <f t="shared" si="3"/>
        <v>5869860</v>
      </c>
      <c r="E77" s="17">
        <f>SUM('1:57'!E77)</f>
        <v>18989412</v>
      </c>
      <c r="F77" s="21">
        <f>ROUND(MEDIAN('1:57'!F77),2)</f>
        <v>3.07</v>
      </c>
    </row>
    <row r="78" spans="1:6" x14ac:dyDescent="0.2">
      <c r="A78" s="19">
        <v>12</v>
      </c>
      <c r="B78" s="181" t="s">
        <v>11</v>
      </c>
      <c r="C78" s="182"/>
      <c r="D78" s="14">
        <f t="shared" si="3"/>
        <v>37811194</v>
      </c>
      <c r="E78" s="17">
        <f>SUM('1:57'!E78)</f>
        <v>103837876</v>
      </c>
      <c r="F78" s="21">
        <f>ROUND(MEDIAN('1:57'!F78),2)</f>
        <v>2.68</v>
      </c>
    </row>
    <row r="79" spans="1:6" x14ac:dyDescent="0.2">
      <c r="A79" s="19">
        <v>13</v>
      </c>
      <c r="B79" s="181" t="s">
        <v>12</v>
      </c>
      <c r="C79" s="182"/>
      <c r="D79" s="14">
        <f t="shared" si="3"/>
        <v>4209048</v>
      </c>
      <c r="E79" s="17">
        <f>SUM('1:57'!E79)</f>
        <v>12411392</v>
      </c>
      <c r="F79" s="21">
        <f>ROUND(MEDIAN('1:57'!F79),2)</f>
        <v>2.83</v>
      </c>
    </row>
    <row r="80" spans="1:6" x14ac:dyDescent="0.2">
      <c r="A80" s="19">
        <v>14</v>
      </c>
      <c r="B80" s="181" t="s">
        <v>464</v>
      </c>
      <c r="C80" s="182"/>
      <c r="D80" s="14">
        <f t="shared" si="3"/>
        <v>5324846</v>
      </c>
      <c r="E80" s="17">
        <f>SUM('1:57'!E80)</f>
        <v>32596774</v>
      </c>
      <c r="F80" s="21">
        <f>ROUND(MEDIAN('1:57'!F80),2)</f>
        <v>5.96</v>
      </c>
    </row>
    <row r="81" spans="1:6" x14ac:dyDescent="0.2">
      <c r="A81" s="19">
        <v>15</v>
      </c>
      <c r="B81" s="181" t="s">
        <v>13</v>
      </c>
      <c r="C81" s="182"/>
      <c r="D81" s="14">
        <f t="shared" si="3"/>
        <v>394050</v>
      </c>
      <c r="E81" s="17">
        <f>SUM('1:57'!E81)</f>
        <v>3048207</v>
      </c>
      <c r="F81" s="21">
        <f>ROUND(MEDIAN('1:57'!F81),2)</f>
        <v>7.48</v>
      </c>
    </row>
    <row r="82" spans="1:6" x14ac:dyDescent="0.2">
      <c r="A82" s="19">
        <v>16</v>
      </c>
      <c r="B82" s="181" t="s">
        <v>14</v>
      </c>
      <c r="C82" s="182"/>
      <c r="D82" s="14">
        <f t="shared" si="3"/>
        <v>9742406</v>
      </c>
      <c r="E82" s="17">
        <f>SUM('1:57'!E82)</f>
        <v>32401772</v>
      </c>
      <c r="F82" s="21">
        <f>ROUND(MEDIAN('1:57'!F82),2)</f>
        <v>2.86</v>
      </c>
    </row>
    <row r="83" spans="1:6" x14ac:dyDescent="0.2">
      <c r="A83" s="19">
        <v>17</v>
      </c>
      <c r="B83" s="181" t="s">
        <v>15</v>
      </c>
      <c r="C83" s="182"/>
      <c r="D83" s="14">
        <f t="shared" si="3"/>
        <v>521318</v>
      </c>
      <c r="E83" s="17">
        <f>SUM('1:57'!E83)</f>
        <v>3656784</v>
      </c>
      <c r="F83" s="21">
        <f>ROUND(MEDIAN('1:57'!F83),2)</f>
        <v>7.82</v>
      </c>
    </row>
    <row r="84" spans="1:6" x14ac:dyDescent="0.2">
      <c r="A84" s="19">
        <v>18</v>
      </c>
      <c r="B84" s="181" t="s">
        <v>16</v>
      </c>
      <c r="C84" s="182"/>
      <c r="D84" s="14">
        <f t="shared" si="3"/>
        <v>4787228</v>
      </c>
      <c r="E84" s="17">
        <f>SUM('1:57'!E84)</f>
        <v>16349485</v>
      </c>
      <c r="F84" s="21">
        <f>ROUND(MEDIAN('1:57'!F84),2)</f>
        <v>3.21</v>
      </c>
    </row>
    <row r="85" spans="1:6" x14ac:dyDescent="0.2">
      <c r="A85" s="19">
        <v>19</v>
      </c>
      <c r="B85" s="181" t="s">
        <v>17</v>
      </c>
      <c r="C85" s="182"/>
      <c r="D85" s="14">
        <f t="shared" si="3"/>
        <v>25606500</v>
      </c>
      <c r="E85" s="17">
        <f>SUM('1:57'!E85)</f>
        <v>63585292</v>
      </c>
      <c r="F85" s="21">
        <f>ROUND(MEDIAN('1:57'!F85),2)</f>
        <v>2.29</v>
      </c>
    </row>
    <row r="86" spans="1:6" x14ac:dyDescent="0.2">
      <c r="A86" s="19">
        <v>20</v>
      </c>
      <c r="B86" s="181" t="s">
        <v>18</v>
      </c>
      <c r="C86" s="182"/>
      <c r="D86" s="14">
        <f t="shared" si="3"/>
        <v>3038239</v>
      </c>
      <c r="E86" s="17">
        <f>SUM('1:57'!E86)</f>
        <v>10662719</v>
      </c>
      <c r="F86" s="21">
        <f>ROUND(MEDIAN('1:57'!F86),2)</f>
        <v>3.51</v>
      </c>
    </row>
    <row r="87" spans="1:6" x14ac:dyDescent="0.2">
      <c r="A87" s="19">
        <v>21</v>
      </c>
      <c r="B87" s="181" t="s">
        <v>461</v>
      </c>
      <c r="C87" s="182"/>
      <c r="D87" s="14">
        <f t="shared" si="3"/>
        <v>2725556</v>
      </c>
      <c r="E87" s="17">
        <f>SUM('1:57'!E87)</f>
        <v>5758436</v>
      </c>
      <c r="F87" s="21">
        <f>ROUND(MEDIAN('1:57'!F87),2)</f>
        <v>3.4</v>
      </c>
    </row>
    <row r="88" spans="1:6" x14ac:dyDescent="0.2">
      <c r="A88" s="19">
        <v>22</v>
      </c>
      <c r="B88" s="181" t="s">
        <v>19</v>
      </c>
      <c r="C88" s="182"/>
      <c r="D88" s="14">
        <f t="shared" si="3"/>
        <v>623607</v>
      </c>
      <c r="E88" s="17">
        <f>SUM('1:57'!E88)</f>
        <v>4108325</v>
      </c>
      <c r="F88" s="21">
        <f>ROUND(MEDIAN('1:57'!F88),2)</f>
        <v>3.61</v>
      </c>
    </row>
    <row r="89" spans="1:6" x14ac:dyDescent="0.2">
      <c r="A89" s="19">
        <v>23</v>
      </c>
      <c r="B89" s="181" t="s">
        <v>20</v>
      </c>
      <c r="C89" s="182"/>
      <c r="D89" s="14">
        <f t="shared" si="3"/>
        <v>5201681</v>
      </c>
      <c r="E89" s="17">
        <f>SUM('1:57'!E89)</f>
        <v>20203024</v>
      </c>
      <c r="F89" s="21">
        <f>ROUND(MEDIAN('1:57'!F89),2)</f>
        <v>3.74</v>
      </c>
    </row>
    <row r="90" spans="1:6" x14ac:dyDescent="0.2">
      <c r="A90" s="19">
        <v>24</v>
      </c>
      <c r="B90" s="181" t="s">
        <v>21</v>
      </c>
      <c r="C90" s="182"/>
      <c r="D90" s="14">
        <f t="shared" si="3"/>
        <v>6239133</v>
      </c>
      <c r="E90" s="17">
        <f>SUM('1:57'!E90)</f>
        <v>17131518</v>
      </c>
      <c r="F90" s="21">
        <f>ROUND(MEDIAN('1:57'!F90),2)</f>
        <v>2.71</v>
      </c>
    </row>
    <row r="91" spans="1:6" x14ac:dyDescent="0.2">
      <c r="A91" s="19">
        <v>25</v>
      </c>
      <c r="B91" s="181" t="s">
        <v>22</v>
      </c>
      <c r="C91" s="182"/>
      <c r="D91" s="14">
        <f t="shared" si="3"/>
        <v>33944505</v>
      </c>
      <c r="E91" s="17">
        <f>SUM('1:57'!E91)</f>
        <v>79620254</v>
      </c>
      <c r="F91" s="21">
        <f>ROUND(MEDIAN('1:57'!F91),2)</f>
        <v>2.2599999999999998</v>
      </c>
    </row>
    <row r="92" spans="1:6" x14ac:dyDescent="0.2">
      <c r="A92" s="19">
        <v>26</v>
      </c>
      <c r="B92" s="181" t="s">
        <v>23</v>
      </c>
      <c r="C92" s="182"/>
      <c r="D92" s="14">
        <f t="shared" si="3"/>
        <v>10292935</v>
      </c>
      <c r="E92" s="17">
        <f>SUM('1:57'!E92)</f>
        <v>40318542</v>
      </c>
      <c r="F92" s="21">
        <f>ROUND(MEDIAN('1:57'!F92),2)</f>
        <v>3.61</v>
      </c>
    </row>
    <row r="93" spans="1:6" x14ac:dyDescent="0.2">
      <c r="A93" s="19">
        <v>28</v>
      </c>
      <c r="B93" s="181" t="s">
        <v>24</v>
      </c>
      <c r="C93" s="182"/>
      <c r="D93" s="14">
        <f t="shared" si="3"/>
        <v>0</v>
      </c>
      <c r="E93" s="17">
        <f>SUM('1:57'!E93)</f>
        <v>0</v>
      </c>
      <c r="F93" s="21"/>
    </row>
    <row r="94" spans="1:6" ht="15.75" customHeight="1" thickBot="1" x14ac:dyDescent="0.25">
      <c r="A94" s="22">
        <v>29</v>
      </c>
      <c r="B94" s="183" t="s">
        <v>25</v>
      </c>
      <c r="C94" s="184"/>
      <c r="D94" s="23">
        <f t="shared" si="3"/>
        <v>0</v>
      </c>
      <c r="E94" s="24">
        <f>SUM('1:57'!E94)</f>
        <v>0</v>
      </c>
      <c r="F94" s="25"/>
    </row>
    <row r="95" spans="1:6" x14ac:dyDescent="0.2">
      <c r="C95" s="13" t="s">
        <v>35</v>
      </c>
      <c r="D95" s="61">
        <f>SUM(D67:D94)</f>
        <v>227932699</v>
      </c>
      <c r="E95" s="4">
        <f>SUM(E67:E94)</f>
        <v>667976954</v>
      </c>
      <c r="F95" s="8">
        <f>ROUND(MEDIAN('1:57'!F95),2)</f>
        <v>2.84</v>
      </c>
    </row>
    <row r="96" spans="1:6" ht="15" thickBot="1" x14ac:dyDescent="0.25"/>
    <row r="97" spans="2:6" ht="29.25" customHeight="1" x14ac:dyDescent="0.2">
      <c r="B97" s="185" t="s">
        <v>468</v>
      </c>
      <c r="C97" s="186"/>
      <c r="D97" s="28" t="s">
        <v>27</v>
      </c>
      <c r="E97" s="33" t="s">
        <v>462</v>
      </c>
      <c r="F97" s="29" t="s">
        <v>463</v>
      </c>
    </row>
    <row r="98" spans="2:6" x14ac:dyDescent="0.2">
      <c r="B98" s="187" t="s">
        <v>30</v>
      </c>
      <c r="C98" s="188"/>
      <c r="D98" s="35"/>
      <c r="E98" s="15">
        <f>SUM('1:57'!E98)</f>
        <v>314868360</v>
      </c>
      <c r="F98" s="20">
        <f>ROUND(MEDIAN('1:57'!F98),2)</f>
        <v>1.26</v>
      </c>
    </row>
    <row r="99" spans="2:6" x14ac:dyDescent="0.2">
      <c r="B99" s="187" t="s">
        <v>31</v>
      </c>
      <c r="C99" s="188"/>
      <c r="D99" s="36"/>
      <c r="E99" s="17">
        <f>SUM('1:57'!E99)</f>
        <v>162446116</v>
      </c>
      <c r="F99" s="21">
        <f>ROUND(MEDIAN('1:57'!F99),2)</f>
        <v>0.62</v>
      </c>
    </row>
    <row r="100" spans="2:6" x14ac:dyDescent="0.2">
      <c r="B100" s="187" t="s">
        <v>1078</v>
      </c>
      <c r="C100" s="188"/>
      <c r="D100" s="36"/>
      <c r="E100" s="17">
        <f>SUM('1:57'!E100)</f>
        <v>62692341</v>
      </c>
      <c r="F100" s="21">
        <f>ROUND(MEDIAN('1:57'!F100),2)</f>
        <v>0.23</v>
      </c>
    </row>
    <row r="101" spans="2:6" x14ac:dyDescent="0.2">
      <c r="B101" s="187" t="s">
        <v>1079</v>
      </c>
      <c r="C101" s="188"/>
      <c r="D101" s="36"/>
      <c r="E101" s="17">
        <f>SUM('1:57'!E101)</f>
        <v>93904938</v>
      </c>
      <c r="F101" s="21">
        <f>ROUND(MEDIAN('1:57'!F101),2)</f>
        <v>0.4</v>
      </c>
    </row>
    <row r="102" spans="2:6" x14ac:dyDescent="0.2">
      <c r="B102" s="187" t="s">
        <v>1080</v>
      </c>
      <c r="C102" s="188"/>
      <c r="D102" s="36"/>
      <c r="E102" s="17">
        <f>SUM('1:57'!E102)</f>
        <v>2816481</v>
      </c>
      <c r="F102" s="21">
        <f>ROUND(MEDIAN('1:57'!F102),2)</f>
        <v>0.03</v>
      </c>
    </row>
    <row r="103" spans="2:6" x14ac:dyDescent="0.2">
      <c r="B103" s="189" t="s">
        <v>34</v>
      </c>
      <c r="C103" s="190"/>
      <c r="D103" s="36"/>
      <c r="E103" s="17">
        <f>SUM('1:57'!E103)</f>
        <v>9.9999999999999995E-8</v>
      </c>
      <c r="F103" s="21">
        <f>ROUND(MEDIAN('1:57'!F103),2)</f>
        <v>0</v>
      </c>
    </row>
    <row r="104" spans="2:6" ht="15.75" customHeight="1" thickBot="1" x14ac:dyDescent="0.25">
      <c r="B104" s="179" t="s">
        <v>29</v>
      </c>
      <c r="C104" s="180"/>
      <c r="D104" s="37"/>
      <c r="E104" s="24">
        <f>SUM('1:57'!E104)</f>
        <v>113194440</v>
      </c>
      <c r="F104" s="25">
        <f>ROUND(MEDIAN('1:57'!F104),2)</f>
        <v>0.38</v>
      </c>
    </row>
    <row r="105" spans="2:6" x14ac:dyDescent="0.2">
      <c r="C105" s="13" t="s">
        <v>35</v>
      </c>
      <c r="D105" s="12">
        <f>D95</f>
        <v>227932699</v>
      </c>
      <c r="E105" s="4">
        <f>SUM(E98:E104)</f>
        <v>749922676.00000012</v>
      </c>
      <c r="F105" s="8">
        <f>SUM(F98:F104)</f>
        <v>2.9199999999999995</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SUM('1:57'!C109)</f>
        <v>667976954</v>
      </c>
      <c r="D109" s="15">
        <f>SUM('1:57'!D109)</f>
        <v>0</v>
      </c>
      <c r="E109" s="15">
        <f>SUM('1:57'!E109)</f>
        <v>0</v>
      </c>
      <c r="F109" s="47">
        <f>SUM('1:57'!F109)</f>
        <v>667976954</v>
      </c>
    </row>
    <row r="110" spans="2:6" x14ac:dyDescent="0.2">
      <c r="B110" s="42" t="s">
        <v>28</v>
      </c>
      <c r="C110" s="50">
        <f>SUM('1:57'!C110)</f>
        <v>0</v>
      </c>
      <c r="D110" s="51">
        <f>SUM('1:57'!D110)</f>
        <v>0</v>
      </c>
      <c r="E110" s="50">
        <f>SUM('1:57'!E110)</f>
        <v>0</v>
      </c>
      <c r="F110" s="48">
        <f>SUM('1:57'!F110)</f>
        <v>0</v>
      </c>
    </row>
    <row r="111" spans="2:6" x14ac:dyDescent="0.2">
      <c r="B111" s="42" t="s">
        <v>928</v>
      </c>
      <c r="C111" s="50">
        <f>SUM('1:57'!C111)</f>
        <v>0</v>
      </c>
      <c r="D111" s="51">
        <f>SUM('1:57'!D111)</f>
        <v>0</v>
      </c>
      <c r="E111" s="50">
        <f>SUM('1:57'!E111)</f>
        <v>0</v>
      </c>
      <c r="F111" s="48">
        <f>SUM('1:57'!F111)</f>
        <v>0</v>
      </c>
    </row>
    <row r="112" spans="2:6" x14ac:dyDescent="0.2">
      <c r="B112" s="42" t="s">
        <v>32</v>
      </c>
      <c r="C112" s="50">
        <f>SUM('1:57'!C112)</f>
        <v>0</v>
      </c>
      <c r="D112" s="51">
        <f>SUM('1:57'!D112)</f>
        <v>0</v>
      </c>
      <c r="E112" s="50">
        <f>SUM('1:57'!E112)</f>
        <v>0</v>
      </c>
      <c r="F112" s="48">
        <f>SUM('1:57'!F112)</f>
        <v>0</v>
      </c>
    </row>
    <row r="113" spans="1:6" x14ac:dyDescent="0.2">
      <c r="B113" s="42" t="s">
        <v>31</v>
      </c>
      <c r="C113" s="50">
        <f>SUM('1:57'!C113)</f>
        <v>0</v>
      </c>
      <c r="D113" s="51">
        <f>SUM('1:57'!D113)</f>
        <v>0</v>
      </c>
      <c r="E113" s="50">
        <f>SUM('1:57'!E113)</f>
        <v>0</v>
      </c>
      <c r="F113" s="48">
        <f>SUM('1:57'!F113)</f>
        <v>0</v>
      </c>
    </row>
    <row r="114" spans="1:6" x14ac:dyDescent="0.2">
      <c r="B114" s="42" t="s">
        <v>1009</v>
      </c>
      <c r="C114" s="50">
        <f>SUM('1:57'!C114)</f>
        <v>0</v>
      </c>
      <c r="D114" s="51">
        <f>SUM('1:57'!D114)</f>
        <v>0</v>
      </c>
      <c r="E114" s="50">
        <f>SUM('1:57'!E114)</f>
        <v>0</v>
      </c>
      <c r="F114" s="48">
        <f>SUM('1:57'!F114)</f>
        <v>0</v>
      </c>
    </row>
    <row r="115" spans="1:6" x14ac:dyDescent="0.2">
      <c r="B115" s="42" t="s">
        <v>929</v>
      </c>
      <c r="C115" s="50">
        <f>SUM('1:57'!C115)</f>
        <v>0</v>
      </c>
      <c r="D115" s="50">
        <f>SUM('1:57'!D115)</f>
        <v>0</v>
      </c>
      <c r="E115" s="50">
        <f>SUM('1:57'!E115)</f>
        <v>0</v>
      </c>
      <c r="F115" s="48">
        <f>SUM('1:57'!F115)</f>
        <v>0</v>
      </c>
    </row>
    <row r="116" spans="1:6" x14ac:dyDescent="0.2">
      <c r="B116" s="42" t="s">
        <v>33</v>
      </c>
      <c r="C116" s="50">
        <f>SUM('1:57'!C116)</f>
        <v>0</v>
      </c>
      <c r="D116" s="50">
        <f>SUM('1:57'!D116)</f>
        <v>0</v>
      </c>
      <c r="E116" s="50">
        <f>SUM('1:57'!E116)</f>
        <v>2816481</v>
      </c>
      <c r="F116" s="48">
        <f>SUM('1:57'!F116)</f>
        <v>2816481</v>
      </c>
    </row>
    <row r="117" spans="1:6" ht="15" thickBot="1" x14ac:dyDescent="0.25">
      <c r="B117" s="43" t="s">
        <v>933</v>
      </c>
      <c r="C117" s="52">
        <f>SUM('1:57'!C117)</f>
        <v>0</v>
      </c>
      <c r="D117" s="52">
        <f>SUM('1:57'!D117)</f>
        <v>113194440</v>
      </c>
      <c r="E117" s="52">
        <f>SUM('1:57'!E117)</f>
        <v>0</v>
      </c>
      <c r="F117" s="49">
        <f>SUM('1:57'!F117)</f>
        <v>113194440</v>
      </c>
    </row>
    <row r="118" spans="1:6" x14ac:dyDescent="0.2">
      <c r="B118" s="13" t="s">
        <v>35</v>
      </c>
      <c r="C118" s="4">
        <f>SUM(C109:C116)</f>
        <v>667976954</v>
      </c>
      <c r="D118" s="4">
        <f>SUM(D109:D116)</f>
        <v>0</v>
      </c>
      <c r="E118" s="4">
        <f>SUM(E109:E116)</f>
        <v>2816481</v>
      </c>
      <c r="F118" s="4">
        <f>SUM(F109:F116)</f>
        <v>670793435</v>
      </c>
    </row>
    <row r="119" spans="1:6" ht="15" thickBot="1" x14ac:dyDescent="0.25"/>
    <row r="120" spans="1:6" ht="15" thickBot="1" x14ac:dyDescent="0.25">
      <c r="B120" s="55" t="s">
        <v>934</v>
      </c>
      <c r="C120" s="53">
        <f>SUM('1:57'!C120)</f>
        <v>0</v>
      </c>
      <c r="D120" s="53">
        <f>SUM('1:57'!D120)</f>
        <v>0</v>
      </c>
      <c r="E120" s="53">
        <f>SUM('1:57'!E120)</f>
        <v>9.9999999999999995E-8</v>
      </c>
      <c r="F120" s="54">
        <f>SUM('1:57'!F120)</f>
        <v>9.9999999999999995E-8</v>
      </c>
    </row>
    <row r="122" spans="1:6" s="57" customFormat="1" ht="113.25" customHeight="1" x14ac:dyDescent="0.2">
      <c r="A122" s="193" t="s">
        <v>935</v>
      </c>
      <c r="B122" s="193"/>
      <c r="C122" s="193"/>
      <c r="D122" s="193"/>
      <c r="E122" s="193"/>
      <c r="F122" s="193"/>
    </row>
  </sheetData>
  <mergeCells count="96">
    <mergeCell ref="A122:F122"/>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78:C78"/>
    <mergeCell ref="B67:C67"/>
    <mergeCell ref="B68:C68"/>
    <mergeCell ref="B69:C69"/>
    <mergeCell ref="B70:C70"/>
    <mergeCell ref="B71:C71"/>
    <mergeCell ref="B72:C72"/>
    <mergeCell ref="B73:C73"/>
    <mergeCell ref="B74:C74"/>
    <mergeCell ref="B75:C75"/>
    <mergeCell ref="B76:C76"/>
    <mergeCell ref="B77:C77"/>
    <mergeCell ref="B90:C90"/>
    <mergeCell ref="B79:C79"/>
    <mergeCell ref="B80:C80"/>
    <mergeCell ref="B81:C81"/>
    <mergeCell ref="B82:C82"/>
    <mergeCell ref="B83:C83"/>
    <mergeCell ref="B84:C84"/>
    <mergeCell ref="B85:C85"/>
    <mergeCell ref="B86:C86"/>
    <mergeCell ref="B87:C87"/>
    <mergeCell ref="B88:C88"/>
    <mergeCell ref="B89:C89"/>
    <mergeCell ref="B104:C104"/>
    <mergeCell ref="B91:C91"/>
    <mergeCell ref="B92:C92"/>
    <mergeCell ref="B93:C93"/>
    <mergeCell ref="B94:C94"/>
    <mergeCell ref="B97:C97"/>
    <mergeCell ref="B98:C98"/>
    <mergeCell ref="B99:C99"/>
    <mergeCell ref="B100:C100"/>
    <mergeCell ref="B101:C101"/>
    <mergeCell ref="B102:C102"/>
    <mergeCell ref="B103:C103"/>
  </mergeCells>
  <pageMargins left="0.25" right="0.25" top="0.75" bottom="0.75" header="0.3" footer="0.3"/>
  <pageSetup orientation="landscape" r:id="rId1"/>
  <rowBreaks count="2" manualBreakCount="2">
    <brk id="64"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showGridLines="0" zoomScale="70" zoomScaleNormal="70" workbookViewId="0"/>
  </sheetViews>
  <sheetFormatPr defaultRowHeight="14.25" x14ac:dyDescent="0.2"/>
  <cols>
    <col min="1" max="1" width="6.5703125" style="66" customWidth="1"/>
    <col min="2" max="2" width="43.5703125" style="66" customWidth="1"/>
    <col min="3" max="6" width="8.140625" style="66" customWidth="1"/>
    <col min="7" max="7" width="2.85546875" style="66" customWidth="1"/>
    <col min="8" max="10" width="9.42578125" style="66" customWidth="1"/>
    <col min="11" max="24" width="9.140625" style="66"/>
    <col min="25" max="25" width="17.85546875" style="66" bestFit="1" customWidth="1"/>
    <col min="26" max="28" width="9.140625" style="66"/>
    <col min="29" max="29" width="17.85546875" style="66" bestFit="1" customWidth="1"/>
    <col min="30" max="16384" width="9.140625" style="66"/>
  </cols>
  <sheetData>
    <row r="1" spans="1:10" x14ac:dyDescent="0.2">
      <c r="A1" s="38" t="str">
        <f>Summary!A1</f>
        <v>Community and Technical Colleges, Report of Fundable Operating Expenses, Fiscal Year (FY) 2002</v>
      </c>
      <c r="B1" s="38"/>
      <c r="C1" s="38"/>
      <c r="D1" s="38"/>
      <c r="E1" s="38"/>
      <c r="F1" s="38"/>
    </row>
    <row r="2" spans="1:10" ht="15" thickBot="1" x14ac:dyDescent="0.25">
      <c r="A2" s="5" t="s">
        <v>1083</v>
      </c>
      <c r="H2" s="68" t="s">
        <v>1084</v>
      </c>
      <c r="I2" s="68"/>
      <c r="J2" s="68"/>
    </row>
    <row r="3" spans="1:10" ht="29.25" customHeight="1" x14ac:dyDescent="0.2">
      <c r="A3" s="139" t="s">
        <v>26</v>
      </c>
      <c r="B3" s="138" t="s">
        <v>1085</v>
      </c>
      <c r="C3" s="142">
        <v>2002</v>
      </c>
      <c r="D3" s="142">
        <v>2001</v>
      </c>
      <c r="E3" s="142">
        <v>2000</v>
      </c>
      <c r="F3" s="143">
        <v>1999</v>
      </c>
      <c r="H3" s="144">
        <v>2002</v>
      </c>
      <c r="I3" s="176">
        <v>2001</v>
      </c>
      <c r="J3" s="143">
        <v>2000</v>
      </c>
    </row>
    <row r="4" spans="1:10" x14ac:dyDescent="0.2">
      <c r="A4" s="19">
        <v>1</v>
      </c>
      <c r="B4" s="136" t="s">
        <v>0</v>
      </c>
      <c r="C4" s="16">
        <f>Summary!F5</f>
        <v>7.58</v>
      </c>
      <c r="D4" s="16">
        <v>7</v>
      </c>
      <c r="E4" s="16">
        <v>6.669999999999999</v>
      </c>
      <c r="F4" s="145">
        <v>6.8100000000000005</v>
      </c>
      <c r="H4" s="146">
        <f>IFERROR(C4/D4-1,"")</f>
        <v>8.2857142857142962E-2</v>
      </c>
      <c r="I4" s="177">
        <f>IFERROR(D4/E4-1,"")</f>
        <v>4.947526236881572E-2</v>
      </c>
      <c r="J4" s="147">
        <f>IFERROR(E4/F4-1,"")</f>
        <v>-2.0558002936857722E-2</v>
      </c>
    </row>
    <row r="5" spans="1:10" ht="28.5" x14ac:dyDescent="0.2">
      <c r="A5" s="19">
        <v>2</v>
      </c>
      <c r="B5" s="136" t="s">
        <v>1</v>
      </c>
      <c r="C5" s="18">
        <f>Summary!F6</f>
        <v>7.27</v>
      </c>
      <c r="D5" s="18">
        <v>7.5600000000000005</v>
      </c>
      <c r="E5" s="18">
        <v>6.8299999999999992</v>
      </c>
      <c r="F5" s="148">
        <v>6.6400000000000006</v>
      </c>
      <c r="H5" s="146">
        <f t="shared" ref="H5:J31" si="0">IFERROR(C5/D5-1,"")</f>
        <v>-3.8359788359788483E-2</v>
      </c>
      <c r="I5" s="177">
        <f t="shared" si="0"/>
        <v>0.10688140556368975</v>
      </c>
      <c r="J5" s="147">
        <f t="shared" si="0"/>
        <v>2.8614457831324991E-2</v>
      </c>
    </row>
    <row r="6" spans="1:10" ht="28.5" x14ac:dyDescent="0.2">
      <c r="A6" s="19">
        <v>3</v>
      </c>
      <c r="B6" s="136" t="s">
        <v>2</v>
      </c>
      <c r="C6" s="18">
        <f>Summary!F7</f>
        <v>6.0399999999999991</v>
      </c>
      <c r="D6" s="18">
        <v>5.9</v>
      </c>
      <c r="E6" s="18">
        <v>5.6899999999999995</v>
      </c>
      <c r="F6" s="148">
        <v>5.51</v>
      </c>
      <c r="H6" s="146">
        <f t="shared" si="0"/>
        <v>2.3728813559321882E-2</v>
      </c>
      <c r="I6" s="177">
        <f t="shared" si="0"/>
        <v>3.6906854130052791E-2</v>
      </c>
      <c r="J6" s="147">
        <f t="shared" si="0"/>
        <v>3.2667876588021727E-2</v>
      </c>
    </row>
    <row r="7" spans="1:10" ht="28.5" x14ac:dyDescent="0.2">
      <c r="A7" s="19">
        <v>4</v>
      </c>
      <c r="B7" s="136" t="s">
        <v>3</v>
      </c>
      <c r="C7" s="18">
        <f>Summary!F8</f>
        <v>6.4599999999999991</v>
      </c>
      <c r="D7" s="18">
        <v>6.07</v>
      </c>
      <c r="E7" s="18">
        <v>6.129999999999999</v>
      </c>
      <c r="F7" s="148">
        <v>6.22</v>
      </c>
      <c r="H7" s="146">
        <f t="shared" si="0"/>
        <v>6.4250411861614287E-2</v>
      </c>
      <c r="I7" s="177">
        <f t="shared" si="0"/>
        <v>-9.7879282218594765E-3</v>
      </c>
      <c r="J7" s="147">
        <f t="shared" si="0"/>
        <v>-1.4469453376205865E-2</v>
      </c>
    </row>
    <row r="8" spans="1:10" x14ac:dyDescent="0.2">
      <c r="A8" s="19">
        <v>5</v>
      </c>
      <c r="B8" s="136" t="s">
        <v>4</v>
      </c>
      <c r="C8" s="18">
        <f>Summary!F9</f>
        <v>11.03</v>
      </c>
      <c r="D8" s="18">
        <v>16.04</v>
      </c>
      <c r="E8" s="18">
        <v>19.419999999999998</v>
      </c>
      <c r="F8" s="148">
        <v>18.690000000000001</v>
      </c>
      <c r="H8" s="146">
        <f t="shared" si="0"/>
        <v>-0.31234413965087282</v>
      </c>
      <c r="I8" s="177">
        <f t="shared" si="0"/>
        <v>-0.17404737384140057</v>
      </c>
      <c r="J8" s="147">
        <f t="shared" si="0"/>
        <v>3.9058319957196108E-2</v>
      </c>
    </row>
    <row r="9" spans="1:10" x14ac:dyDescent="0.2">
      <c r="A9" s="19">
        <v>6</v>
      </c>
      <c r="B9" s="136" t="s">
        <v>5</v>
      </c>
      <c r="C9" s="18">
        <f>Summary!F10</f>
        <v>7.26</v>
      </c>
      <c r="D9" s="18">
        <v>6.99</v>
      </c>
      <c r="E9" s="18">
        <v>9.2100000000000009</v>
      </c>
      <c r="F9" s="148">
        <v>8.2100000000000009</v>
      </c>
      <c r="H9" s="146">
        <f t="shared" si="0"/>
        <v>3.8626609442059978E-2</v>
      </c>
      <c r="I9" s="177">
        <f t="shared" si="0"/>
        <v>-0.24104234527687296</v>
      </c>
      <c r="J9" s="147">
        <f t="shared" si="0"/>
        <v>0.12180267965895242</v>
      </c>
    </row>
    <row r="10" spans="1:10" x14ac:dyDescent="0.2">
      <c r="A10" s="19">
        <v>7</v>
      </c>
      <c r="B10" s="136" t="s">
        <v>6</v>
      </c>
      <c r="C10" s="18">
        <f>Summary!F11</f>
        <v>6.92</v>
      </c>
      <c r="D10" s="18">
        <v>6.6899999999999995</v>
      </c>
      <c r="E10" s="18">
        <v>6.3199999999999994</v>
      </c>
      <c r="F10" s="148">
        <v>5.4399999999999995</v>
      </c>
      <c r="H10" s="146">
        <f t="shared" si="0"/>
        <v>3.4379671150971625E-2</v>
      </c>
      <c r="I10" s="177">
        <f t="shared" si="0"/>
        <v>5.8544303797468444E-2</v>
      </c>
      <c r="J10" s="147">
        <f t="shared" si="0"/>
        <v>0.16176470588235303</v>
      </c>
    </row>
    <row r="11" spans="1:10" x14ac:dyDescent="0.2">
      <c r="A11" s="19">
        <v>8</v>
      </c>
      <c r="B11" s="136" t="s">
        <v>7</v>
      </c>
      <c r="C11" s="18">
        <f>Summary!F12</f>
        <v>6.75</v>
      </c>
      <c r="D11" s="18">
        <v>6.1199999999999992</v>
      </c>
      <c r="E11" s="18">
        <v>6.42</v>
      </c>
      <c r="F11" s="148">
        <v>5.99</v>
      </c>
      <c r="H11" s="146">
        <f t="shared" si="0"/>
        <v>0.10294117647058831</v>
      </c>
      <c r="I11" s="177">
        <f t="shared" si="0"/>
        <v>-4.6728971962616939E-2</v>
      </c>
      <c r="J11" s="147">
        <f t="shared" si="0"/>
        <v>7.178631051752915E-2</v>
      </c>
    </row>
    <row r="12" spans="1:10" x14ac:dyDescent="0.2">
      <c r="A12" s="19">
        <v>9</v>
      </c>
      <c r="B12" s="136" t="s">
        <v>8</v>
      </c>
      <c r="C12" s="18">
        <f>Summary!F13</f>
        <v>5.51</v>
      </c>
      <c r="D12" s="18">
        <v>5.52</v>
      </c>
      <c r="E12" s="18">
        <v>5.1399999999999988</v>
      </c>
      <c r="F12" s="148">
        <v>5.35</v>
      </c>
      <c r="H12" s="146">
        <f t="shared" si="0"/>
        <v>-1.8115942028985588E-3</v>
      </c>
      <c r="I12" s="177">
        <f t="shared" si="0"/>
        <v>7.3929961089494345E-2</v>
      </c>
      <c r="J12" s="147">
        <f t="shared" si="0"/>
        <v>-3.9252336448598268E-2</v>
      </c>
    </row>
    <row r="13" spans="1:10" x14ac:dyDescent="0.2">
      <c r="A13" s="19">
        <v>10</v>
      </c>
      <c r="B13" s="136" t="s">
        <v>9</v>
      </c>
      <c r="C13" s="18">
        <f>Summary!F14</f>
        <v>8.5399999999999991</v>
      </c>
      <c r="D13" s="18">
        <v>11.49</v>
      </c>
      <c r="E13" s="18">
        <v>9.8299999999999983</v>
      </c>
      <c r="F13" s="148">
        <v>7.6400000000000006</v>
      </c>
      <c r="H13" s="146">
        <f t="shared" si="0"/>
        <v>-0.25674499564839004</v>
      </c>
      <c r="I13" s="177">
        <f t="shared" si="0"/>
        <v>0.1688708036622586</v>
      </c>
      <c r="J13" s="147">
        <f t="shared" si="0"/>
        <v>0.28664921465968551</v>
      </c>
    </row>
    <row r="14" spans="1:10" x14ac:dyDescent="0.2">
      <c r="A14" s="19">
        <v>11</v>
      </c>
      <c r="B14" s="136" t="s">
        <v>10</v>
      </c>
      <c r="C14" s="18">
        <f>Summary!F15</f>
        <v>6.8899999999999988</v>
      </c>
      <c r="D14" s="18">
        <v>6.58</v>
      </c>
      <c r="E14" s="18">
        <v>6.71</v>
      </c>
      <c r="F14" s="148">
        <v>6.42</v>
      </c>
      <c r="H14" s="146">
        <f t="shared" si="0"/>
        <v>4.711246200607877E-2</v>
      </c>
      <c r="I14" s="177">
        <f t="shared" si="0"/>
        <v>-1.9374068554396384E-2</v>
      </c>
      <c r="J14" s="147">
        <f t="shared" si="0"/>
        <v>4.5171339563862878E-2</v>
      </c>
    </row>
    <row r="15" spans="1:10" ht="28.5" x14ac:dyDescent="0.2">
      <c r="A15" s="19">
        <v>12</v>
      </c>
      <c r="B15" s="136" t="s">
        <v>11</v>
      </c>
      <c r="C15" s="18">
        <f>Summary!F16</f>
        <v>5.9399999999999995</v>
      </c>
      <c r="D15" s="18">
        <v>5.75</v>
      </c>
      <c r="E15" s="18">
        <v>5.68</v>
      </c>
      <c r="F15" s="148">
        <v>5.26</v>
      </c>
      <c r="H15" s="146">
        <f t="shared" si="0"/>
        <v>3.3043478260869508E-2</v>
      </c>
      <c r="I15" s="177">
        <f t="shared" si="0"/>
        <v>1.2323943661971981E-2</v>
      </c>
      <c r="J15" s="147">
        <f t="shared" si="0"/>
        <v>7.9847908745247054E-2</v>
      </c>
    </row>
    <row r="16" spans="1:10" x14ac:dyDescent="0.2">
      <c r="A16" s="19">
        <v>13</v>
      </c>
      <c r="B16" s="136" t="s">
        <v>12</v>
      </c>
      <c r="C16" s="18">
        <f>Summary!F17</f>
        <v>6.06</v>
      </c>
      <c r="D16" s="18">
        <v>5.93</v>
      </c>
      <c r="E16" s="18">
        <v>5.81</v>
      </c>
      <c r="F16" s="148">
        <v>5.6999999999999993</v>
      </c>
      <c r="H16" s="146">
        <f t="shared" si="0"/>
        <v>2.1922428330522825E-2</v>
      </c>
      <c r="I16" s="177">
        <f t="shared" si="0"/>
        <v>2.0654044750430423E-2</v>
      </c>
      <c r="J16" s="147">
        <f t="shared" si="0"/>
        <v>1.9298245614035148E-2</v>
      </c>
    </row>
    <row r="17" spans="1:10" ht="28.5" x14ac:dyDescent="0.2">
      <c r="A17" s="19">
        <v>14</v>
      </c>
      <c r="B17" s="136" t="s">
        <v>464</v>
      </c>
      <c r="C17" s="18">
        <f>Summary!F18</f>
        <v>9.8099999999999987</v>
      </c>
      <c r="D17" s="18">
        <v>9.73</v>
      </c>
      <c r="E17" s="18">
        <v>8.92</v>
      </c>
      <c r="F17" s="148">
        <v>9.0399999999999991</v>
      </c>
      <c r="H17" s="146">
        <f t="shared" si="0"/>
        <v>8.2219938335044152E-3</v>
      </c>
      <c r="I17" s="177">
        <f t="shared" si="0"/>
        <v>9.0807174887892472E-2</v>
      </c>
      <c r="J17" s="147">
        <f t="shared" si="0"/>
        <v>-1.327433628318575E-2</v>
      </c>
    </row>
    <row r="18" spans="1:10" x14ac:dyDescent="0.2">
      <c r="A18" s="19">
        <v>15</v>
      </c>
      <c r="B18" s="136" t="s">
        <v>13</v>
      </c>
      <c r="C18" s="18">
        <f>Summary!F19</f>
        <v>12.22</v>
      </c>
      <c r="D18" s="18">
        <v>11.790000000000001</v>
      </c>
      <c r="E18" s="18">
        <v>12.639999999999997</v>
      </c>
      <c r="F18" s="148">
        <v>11.21</v>
      </c>
      <c r="H18" s="146">
        <f t="shared" si="0"/>
        <v>3.6471586089906749E-2</v>
      </c>
      <c r="I18" s="177">
        <f t="shared" si="0"/>
        <v>-6.7246835443037667E-2</v>
      </c>
      <c r="J18" s="147">
        <f t="shared" si="0"/>
        <v>0.12756467439785868</v>
      </c>
    </row>
    <row r="19" spans="1:10" x14ac:dyDescent="0.2">
      <c r="A19" s="19">
        <v>16</v>
      </c>
      <c r="B19" s="136" t="s">
        <v>14</v>
      </c>
      <c r="C19" s="18">
        <f>Summary!F20</f>
        <v>6.5499999999999989</v>
      </c>
      <c r="D19" s="18">
        <v>6.6899999999999995</v>
      </c>
      <c r="E19" s="18">
        <v>6.26</v>
      </c>
      <c r="F19" s="148">
        <v>6.51</v>
      </c>
      <c r="H19" s="146">
        <f t="shared" si="0"/>
        <v>-2.0926756352765419E-2</v>
      </c>
      <c r="I19" s="177">
        <f t="shared" si="0"/>
        <v>6.8690095846645427E-2</v>
      </c>
      <c r="J19" s="147">
        <f t="shared" si="0"/>
        <v>-3.8402457757296449E-2</v>
      </c>
    </row>
    <row r="20" spans="1:10" x14ac:dyDescent="0.2">
      <c r="A20" s="19">
        <v>17</v>
      </c>
      <c r="B20" s="136" t="s">
        <v>15</v>
      </c>
      <c r="C20" s="18">
        <f>Summary!F21</f>
        <v>11.94</v>
      </c>
      <c r="D20" s="18">
        <v>10.23</v>
      </c>
      <c r="E20" s="18">
        <v>8.7399999999999984</v>
      </c>
      <c r="F20" s="148">
        <v>8.64</v>
      </c>
      <c r="H20" s="146">
        <f t="shared" si="0"/>
        <v>0.1671554252199412</v>
      </c>
      <c r="I20" s="177">
        <f t="shared" si="0"/>
        <v>0.17048054919908484</v>
      </c>
      <c r="J20" s="147">
        <f t="shared" si="0"/>
        <v>1.1574074074073737E-2</v>
      </c>
    </row>
    <row r="21" spans="1:10" x14ac:dyDescent="0.2">
      <c r="A21" s="19">
        <v>18</v>
      </c>
      <c r="B21" s="136" t="s">
        <v>16</v>
      </c>
      <c r="C21" s="18">
        <f>Summary!F22</f>
        <v>6.66</v>
      </c>
      <c r="D21" s="18">
        <v>6.59</v>
      </c>
      <c r="E21" s="18">
        <v>6.9999999999999991</v>
      </c>
      <c r="F21" s="148">
        <v>5.76</v>
      </c>
      <c r="H21" s="146">
        <f t="shared" si="0"/>
        <v>1.0622154779969639E-2</v>
      </c>
      <c r="I21" s="177">
        <f t="shared" si="0"/>
        <v>-5.8571428571428497E-2</v>
      </c>
      <c r="J21" s="147">
        <f t="shared" si="0"/>
        <v>0.21527777777777768</v>
      </c>
    </row>
    <row r="22" spans="1:10" x14ac:dyDescent="0.2">
      <c r="A22" s="19">
        <v>19</v>
      </c>
      <c r="B22" s="136" t="s">
        <v>17</v>
      </c>
      <c r="C22" s="18">
        <f>Summary!F23</f>
        <v>5.5499999999999989</v>
      </c>
      <c r="D22" s="18">
        <v>5.3900000000000006</v>
      </c>
      <c r="E22" s="18">
        <v>5.26</v>
      </c>
      <c r="F22" s="148">
        <v>4.96</v>
      </c>
      <c r="H22" s="146">
        <f t="shared" si="0"/>
        <v>2.9684601113172171E-2</v>
      </c>
      <c r="I22" s="177">
        <f t="shared" si="0"/>
        <v>2.4714828897338448E-2</v>
      </c>
      <c r="J22" s="147">
        <f t="shared" si="0"/>
        <v>6.0483870967741993E-2</v>
      </c>
    </row>
    <row r="23" spans="1:10" x14ac:dyDescent="0.2">
      <c r="A23" s="19">
        <v>20</v>
      </c>
      <c r="B23" s="136" t="s">
        <v>18</v>
      </c>
      <c r="C23" s="18">
        <f>Summary!F24</f>
        <v>7.6199999999999992</v>
      </c>
      <c r="D23" s="18">
        <v>7.74</v>
      </c>
      <c r="E23" s="18">
        <v>7.669999999999999</v>
      </c>
      <c r="F23" s="148">
        <v>6.49</v>
      </c>
      <c r="H23" s="146">
        <f t="shared" si="0"/>
        <v>-1.5503875968992387E-2</v>
      </c>
      <c r="I23" s="177">
        <f t="shared" si="0"/>
        <v>9.1264667535855271E-3</v>
      </c>
      <c r="J23" s="147">
        <f t="shared" si="0"/>
        <v>0.18181818181818166</v>
      </c>
    </row>
    <row r="24" spans="1:10" ht="28.5" x14ac:dyDescent="0.2">
      <c r="A24" s="19">
        <v>21</v>
      </c>
      <c r="B24" s="136" t="s">
        <v>461</v>
      </c>
      <c r="C24" s="18">
        <f>Summary!F25</f>
        <v>8.76</v>
      </c>
      <c r="D24" s="18">
        <v>7.41</v>
      </c>
      <c r="E24" s="18">
        <v>7.8199999999999994</v>
      </c>
      <c r="F24" s="148">
        <v>7.32</v>
      </c>
      <c r="H24" s="146">
        <f t="shared" si="0"/>
        <v>0.18218623481781382</v>
      </c>
      <c r="I24" s="177">
        <f t="shared" si="0"/>
        <v>-5.2429667519181544E-2</v>
      </c>
      <c r="J24" s="147">
        <f t="shared" si="0"/>
        <v>6.8306010928961713E-2</v>
      </c>
    </row>
    <row r="25" spans="1:10" x14ac:dyDescent="0.2">
      <c r="A25" s="19">
        <v>22</v>
      </c>
      <c r="B25" s="136" t="s">
        <v>19</v>
      </c>
      <c r="C25" s="18">
        <f>Summary!F26</f>
        <v>8.36</v>
      </c>
      <c r="D25" s="18">
        <v>7.41</v>
      </c>
      <c r="E25" s="18">
        <v>7.3299999999999992</v>
      </c>
      <c r="F25" s="148">
        <v>6.4700000000000006</v>
      </c>
      <c r="H25" s="146">
        <f t="shared" si="0"/>
        <v>0.12820512820512819</v>
      </c>
      <c r="I25" s="177">
        <f t="shared" si="0"/>
        <v>1.0914051841746319E-2</v>
      </c>
      <c r="J25" s="147">
        <f t="shared" si="0"/>
        <v>0.13292117465224096</v>
      </c>
    </row>
    <row r="26" spans="1:10" x14ac:dyDescent="0.2">
      <c r="A26" s="19">
        <v>23</v>
      </c>
      <c r="B26" s="136" t="s">
        <v>20</v>
      </c>
      <c r="C26" s="18">
        <f>Summary!F27</f>
        <v>7.32</v>
      </c>
      <c r="D26" s="18">
        <v>6.98</v>
      </c>
      <c r="E26" s="18">
        <v>6.879999999999999</v>
      </c>
      <c r="F26" s="148">
        <v>6.21</v>
      </c>
      <c r="H26" s="146">
        <f t="shared" si="0"/>
        <v>4.871060171919761E-2</v>
      </c>
      <c r="I26" s="177">
        <f t="shared" si="0"/>
        <v>1.453488372093048E-2</v>
      </c>
      <c r="J26" s="147">
        <f t="shared" si="0"/>
        <v>0.10789049919484683</v>
      </c>
    </row>
    <row r="27" spans="1:10" x14ac:dyDescent="0.2">
      <c r="A27" s="19">
        <v>24</v>
      </c>
      <c r="B27" s="136" t="s">
        <v>21</v>
      </c>
      <c r="C27" s="18">
        <f>Summary!F28</f>
        <v>6.34</v>
      </c>
      <c r="D27" s="18">
        <v>5.9</v>
      </c>
      <c r="E27" s="18">
        <v>5.5799999999999992</v>
      </c>
      <c r="F27" s="148">
        <v>4.9399999999999995</v>
      </c>
      <c r="H27" s="146">
        <f t="shared" si="0"/>
        <v>7.4576271186440612E-2</v>
      </c>
      <c r="I27" s="177">
        <f t="shared" si="0"/>
        <v>5.7347670250896376E-2</v>
      </c>
      <c r="J27" s="147">
        <f t="shared" si="0"/>
        <v>0.12955465587044523</v>
      </c>
    </row>
    <row r="28" spans="1:10" x14ac:dyDescent="0.2">
      <c r="A28" s="19">
        <v>25</v>
      </c>
      <c r="B28" s="136" t="s">
        <v>22</v>
      </c>
      <c r="C28" s="18">
        <f>Summary!F29</f>
        <v>5.3199999999999994</v>
      </c>
      <c r="D28" s="18">
        <v>5.27</v>
      </c>
      <c r="E28" s="18">
        <v>5.17</v>
      </c>
      <c r="F28" s="148">
        <v>4.97</v>
      </c>
      <c r="H28" s="146">
        <f t="shared" si="0"/>
        <v>9.4876660341556285E-3</v>
      </c>
      <c r="I28" s="177">
        <f t="shared" si="0"/>
        <v>1.934235976789167E-2</v>
      </c>
      <c r="J28" s="147">
        <f t="shared" si="0"/>
        <v>4.0241448692152959E-2</v>
      </c>
    </row>
    <row r="29" spans="1:10" x14ac:dyDescent="0.2">
      <c r="A29" s="19">
        <v>26</v>
      </c>
      <c r="B29" s="136" t="s">
        <v>23</v>
      </c>
      <c r="C29" s="18">
        <f>Summary!F30</f>
        <v>7.5</v>
      </c>
      <c r="D29" s="18">
        <v>7.5299999999999994</v>
      </c>
      <c r="E29" s="18">
        <v>7.35</v>
      </c>
      <c r="F29" s="148">
        <v>7.33</v>
      </c>
      <c r="H29" s="146">
        <f t="shared" si="0"/>
        <v>-3.9840637450198058E-3</v>
      </c>
      <c r="I29" s="177">
        <f t="shared" si="0"/>
        <v>2.4489795918367419E-2</v>
      </c>
      <c r="J29" s="147">
        <f t="shared" si="0"/>
        <v>2.7285129604364133E-3</v>
      </c>
    </row>
    <row r="30" spans="1:10" x14ac:dyDescent="0.2">
      <c r="A30" s="19">
        <v>28</v>
      </c>
      <c r="B30" s="136" t="s">
        <v>24</v>
      </c>
      <c r="C30" s="18">
        <f>Summary!F31</f>
        <v>0</v>
      </c>
      <c r="D30" s="18">
        <v>0</v>
      </c>
      <c r="E30" s="18">
        <v>0</v>
      </c>
      <c r="F30" s="148">
        <v>0</v>
      </c>
      <c r="H30" s="146" t="str">
        <f t="shared" si="0"/>
        <v/>
      </c>
      <c r="I30" s="177" t="str">
        <f t="shared" si="0"/>
        <v/>
      </c>
      <c r="J30" s="147" t="str">
        <f t="shared" si="0"/>
        <v/>
      </c>
    </row>
    <row r="31" spans="1:10" ht="15" thickBot="1" x14ac:dyDescent="0.25">
      <c r="A31" s="22">
        <v>29</v>
      </c>
      <c r="B31" s="137" t="s">
        <v>25</v>
      </c>
      <c r="C31" s="64">
        <f>Summary!F32</f>
        <v>0</v>
      </c>
      <c r="D31" s="64">
        <v>0</v>
      </c>
      <c r="E31" s="64">
        <v>0</v>
      </c>
      <c r="F31" s="149">
        <v>0</v>
      </c>
      <c r="H31" s="150" t="str">
        <f t="shared" si="0"/>
        <v/>
      </c>
      <c r="I31" s="178" t="str">
        <f t="shared" si="0"/>
        <v/>
      </c>
      <c r="J31" s="151" t="str">
        <f t="shared" si="0"/>
        <v/>
      </c>
    </row>
    <row r="32" spans="1:10" x14ac:dyDescent="0.2">
      <c r="B32" s="13" t="s">
        <v>1086</v>
      </c>
      <c r="C32" s="152">
        <f t="shared" ref="C32" si="1">AVERAGE(C4:C31)</f>
        <v>7.007142857142858</v>
      </c>
      <c r="D32" s="152">
        <f t="shared" ref="D32:F32" si="2">AVERAGE(D4:D31)</f>
        <v>7.0107142857142861</v>
      </c>
      <c r="E32" s="152">
        <f t="shared" si="2"/>
        <v>7.017142857142856</v>
      </c>
      <c r="F32" s="152">
        <f t="shared" si="2"/>
        <v>6.5617857142857163</v>
      </c>
      <c r="H32" s="153">
        <f t="shared" ref="H32:J34" si="3">IFERROR(C32/D32-1,"")</f>
        <v>-5.0942435048384471E-4</v>
      </c>
      <c r="I32" s="153">
        <f t="shared" si="3"/>
        <v>-9.1612377850136539E-4</v>
      </c>
      <c r="J32" s="153">
        <f t="shared" si="3"/>
        <v>6.9395308332879324E-2</v>
      </c>
    </row>
    <row r="33" spans="2:10" x14ac:dyDescent="0.2">
      <c r="B33" s="13" t="s">
        <v>1087</v>
      </c>
      <c r="C33" s="141">
        <f t="shared" ref="C33" si="4">MEDIAN(C4:C31)</f>
        <v>6.9049999999999994</v>
      </c>
      <c r="D33" s="141">
        <f t="shared" ref="D33:F33" si="5">MEDIAN(D4:D31)</f>
        <v>6.6899999999999995</v>
      </c>
      <c r="E33" s="141">
        <f t="shared" si="5"/>
        <v>6.6899999999999995</v>
      </c>
      <c r="F33" s="141">
        <f t="shared" si="5"/>
        <v>6.32</v>
      </c>
      <c r="H33" s="153">
        <f t="shared" si="3"/>
        <v>3.2137518684603794E-2</v>
      </c>
      <c r="I33" s="153">
        <f t="shared" si="3"/>
        <v>0</v>
      </c>
      <c r="J33" s="153">
        <f t="shared" si="3"/>
        <v>5.8544303797468222E-2</v>
      </c>
    </row>
    <row r="34" spans="2:10" x14ac:dyDescent="0.2">
      <c r="B34" s="13" t="s">
        <v>1088</v>
      </c>
      <c r="C34" s="152">
        <f t="shared" ref="C34" si="6">STDEV(C4:C31)</f>
        <v>2.6772025990973756</v>
      </c>
      <c r="D34" s="152">
        <f t="shared" ref="D34:F34" si="7">STDEV(D4:D31)</f>
        <v>3.0868057666898725</v>
      </c>
      <c r="E34" s="152">
        <f t="shared" si="7"/>
        <v>3.4645515525558972</v>
      </c>
      <c r="F34" s="152">
        <f t="shared" si="7"/>
        <v>3.252536393250347</v>
      </c>
      <c r="H34" s="153">
        <f t="shared" si="3"/>
        <v>-0.13269483036884877</v>
      </c>
      <c r="I34" s="153">
        <f t="shared" si="3"/>
        <v>-0.10903165391992831</v>
      </c>
      <c r="J34" s="153">
        <f t="shared" si="3"/>
        <v>6.5184561730200263E-2</v>
      </c>
    </row>
  </sheetData>
  <pageMargins left="0.25" right="0.25" top="0.2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showGridLines="0" zoomScale="70" zoomScaleNormal="70" workbookViewId="0">
      <pane xSplit="1" ySplit="3" topLeftCell="B4" activePane="bottomRight" state="frozen"/>
      <selection pane="topRight"/>
      <selection pane="bottomLeft"/>
      <selection pane="bottomRight"/>
    </sheetView>
  </sheetViews>
  <sheetFormatPr defaultRowHeight="15" x14ac:dyDescent="0.25"/>
  <cols>
    <col min="1" max="1" width="37.5703125" customWidth="1"/>
    <col min="2" max="2" width="22.7109375" style="65" customWidth="1"/>
    <col min="3" max="3" width="12.5703125" bestFit="1" customWidth="1"/>
    <col min="4" max="4" width="19.28515625" customWidth="1"/>
    <col min="5" max="5" width="25.5703125" customWidth="1"/>
  </cols>
  <sheetData>
    <row r="1" spans="1:5" x14ac:dyDescent="0.25">
      <c r="A1" s="106" t="str">
        <f>Summary!A1</f>
        <v>Community and Technical Colleges, Report of Fundable Operating Expenses, Fiscal Year (FY) 2002</v>
      </c>
      <c r="B1" s="106"/>
      <c r="C1" s="105"/>
      <c r="D1" s="104"/>
      <c r="E1" s="104"/>
    </row>
    <row r="2" spans="1:5" ht="15.75" thickBot="1" x14ac:dyDescent="0.3">
      <c r="A2" s="107" t="s">
        <v>1016</v>
      </c>
      <c r="B2" s="107"/>
      <c r="C2" s="104"/>
      <c r="D2" s="104"/>
      <c r="E2" s="104"/>
    </row>
    <row r="3" spans="1:5" ht="44.25" thickBot="1" x14ac:dyDescent="0.3">
      <c r="A3" s="100" t="s">
        <v>944</v>
      </c>
      <c r="B3" s="103" t="s">
        <v>1018</v>
      </c>
      <c r="C3" s="103" t="s">
        <v>1011</v>
      </c>
      <c r="D3" s="103" t="s">
        <v>1012</v>
      </c>
      <c r="E3" s="102" t="s">
        <v>1013</v>
      </c>
    </row>
    <row r="4" spans="1:5" x14ac:dyDescent="0.25">
      <c r="A4" s="101" t="s">
        <v>1065</v>
      </c>
      <c r="B4" s="98">
        <v>857799</v>
      </c>
      <c r="C4" s="108">
        <f>B4/30</f>
        <v>28593.3</v>
      </c>
      <c r="D4" s="109">
        <f>'1'!$E$33</f>
        <v>129777425.00000012</v>
      </c>
      <c r="E4" s="110">
        <f>IFERROR(D4/C4,"")</f>
        <v>4538.7354729954259</v>
      </c>
    </row>
    <row r="5" spans="1:5" x14ac:dyDescent="0.25">
      <c r="A5" s="92" t="s">
        <v>1019</v>
      </c>
      <c r="B5" s="97">
        <v>92741</v>
      </c>
      <c r="C5" s="111">
        <f t="shared" ref="C5:C60" si="0">B5/30</f>
        <v>3091.3666666666668</v>
      </c>
      <c r="D5" s="111">
        <f>'2'!$E$33</f>
        <v>14499510</v>
      </c>
      <c r="E5" s="112">
        <f t="shared" ref="E5:E61" si="1">IFERROR(D5/C5,"")</f>
        <v>4690.3235893509882</v>
      </c>
    </row>
    <row r="6" spans="1:5" x14ac:dyDescent="0.25">
      <c r="A6" s="92" t="s">
        <v>1029</v>
      </c>
      <c r="B6" s="97">
        <v>162581</v>
      </c>
      <c r="C6" s="111">
        <f t="shared" si="0"/>
        <v>5419.3666666666668</v>
      </c>
      <c r="D6" s="111">
        <f>'3'!$E$33</f>
        <v>30376527.999999996</v>
      </c>
      <c r="E6" s="112">
        <f t="shared" si="1"/>
        <v>5605.1804331379426</v>
      </c>
    </row>
    <row r="7" spans="1:5" x14ac:dyDescent="0.25">
      <c r="A7" s="92" t="s">
        <v>1030</v>
      </c>
      <c r="B7" s="97">
        <v>97352</v>
      </c>
      <c r="C7" s="111">
        <f t="shared" si="0"/>
        <v>3245.0666666666666</v>
      </c>
      <c r="D7" s="111">
        <f>'4'!$E$33</f>
        <v>11487947.000000002</v>
      </c>
      <c r="E7" s="112">
        <f t="shared" si="1"/>
        <v>3540.1266537924239</v>
      </c>
    </row>
    <row r="8" spans="1:5" x14ac:dyDescent="0.25">
      <c r="A8" s="92" t="s">
        <v>1020</v>
      </c>
      <c r="B8" s="97">
        <v>556125</v>
      </c>
      <c r="C8" s="111">
        <f t="shared" si="0"/>
        <v>18537.5</v>
      </c>
      <c r="D8" s="111">
        <f>'5'!$E$33</f>
        <v>84689750</v>
      </c>
      <c r="E8" s="112">
        <f t="shared" si="1"/>
        <v>4568.563722184761</v>
      </c>
    </row>
    <row r="9" spans="1:5" x14ac:dyDescent="0.25">
      <c r="A9" s="92" t="s">
        <v>1031</v>
      </c>
      <c r="B9" s="97">
        <v>296324</v>
      </c>
      <c r="C9" s="111">
        <f t="shared" si="0"/>
        <v>9877.4666666666672</v>
      </c>
      <c r="D9" s="113">
        <f>'6'!$E$33</f>
        <v>35950337</v>
      </c>
      <c r="E9" s="114">
        <f t="shared" si="1"/>
        <v>3639.6313157219797</v>
      </c>
    </row>
    <row r="10" spans="1:5" x14ac:dyDescent="0.25">
      <c r="A10" s="92" t="s">
        <v>1032</v>
      </c>
      <c r="B10" s="97">
        <v>70154</v>
      </c>
      <c r="C10" s="111">
        <f t="shared" si="0"/>
        <v>2338.4666666666667</v>
      </c>
      <c r="D10" s="113">
        <f>'7'!$E$33</f>
        <v>11036876</v>
      </c>
      <c r="E10" s="114">
        <f t="shared" si="1"/>
        <v>4719.7063602930693</v>
      </c>
    </row>
    <row r="11" spans="1:5" x14ac:dyDescent="0.25">
      <c r="A11" s="92" t="s">
        <v>1066</v>
      </c>
      <c r="B11" s="97">
        <v>209584</v>
      </c>
      <c r="C11" s="111">
        <f t="shared" si="0"/>
        <v>6986.1333333333332</v>
      </c>
      <c r="D11" s="111">
        <f>'8'!$E$33</f>
        <v>22646716.999999996</v>
      </c>
      <c r="E11" s="112">
        <f t="shared" si="1"/>
        <v>3241.6668734254517</v>
      </c>
    </row>
    <row r="12" spans="1:5" x14ac:dyDescent="0.25">
      <c r="A12" s="92" t="s">
        <v>1023</v>
      </c>
      <c r="B12" s="97">
        <v>61598</v>
      </c>
      <c r="C12" s="111">
        <f t="shared" si="0"/>
        <v>2053.2666666666669</v>
      </c>
      <c r="D12" s="113">
        <f>'9'!$E$33</f>
        <v>5692917</v>
      </c>
      <c r="E12" s="114">
        <f t="shared" si="1"/>
        <v>2772.6145329393808</v>
      </c>
    </row>
    <row r="13" spans="1:5" x14ac:dyDescent="0.25">
      <c r="A13" s="92" t="s">
        <v>1033</v>
      </c>
      <c r="B13" s="97">
        <v>19096</v>
      </c>
      <c r="C13" s="111">
        <f t="shared" si="0"/>
        <v>636.5333333333333</v>
      </c>
      <c r="D13" s="111">
        <f>'10'!$E$33</f>
        <v>3085996</v>
      </c>
      <c r="E13" s="112">
        <f t="shared" si="1"/>
        <v>4848.1294511939677</v>
      </c>
    </row>
    <row r="14" spans="1:5" x14ac:dyDescent="0.25">
      <c r="A14" s="92" t="s">
        <v>1034</v>
      </c>
      <c r="B14" s="97">
        <v>71683</v>
      </c>
      <c r="C14" s="111">
        <f t="shared" si="0"/>
        <v>2389.4333333333334</v>
      </c>
      <c r="D14" s="111">
        <f>'11'!$E$33</f>
        <v>11794967</v>
      </c>
      <c r="E14" s="112">
        <f t="shared" si="1"/>
        <v>4936.3030286120838</v>
      </c>
    </row>
    <row r="15" spans="1:5" x14ac:dyDescent="0.25">
      <c r="A15" s="92" t="s">
        <v>936</v>
      </c>
      <c r="B15" s="96">
        <v>71946</v>
      </c>
      <c r="C15" s="111">
        <f t="shared" si="0"/>
        <v>2398.1999999999998</v>
      </c>
      <c r="D15" s="113">
        <f>'12'!$E$33</f>
        <v>16899790.999999996</v>
      </c>
      <c r="E15" s="114">
        <f t="shared" si="1"/>
        <v>7046.8647318822441</v>
      </c>
    </row>
    <row r="16" spans="1:5" x14ac:dyDescent="0.25">
      <c r="A16" s="92" t="s">
        <v>1057</v>
      </c>
      <c r="B16" s="96">
        <v>287099</v>
      </c>
      <c r="C16" s="111">
        <f t="shared" si="0"/>
        <v>9569.9666666666672</v>
      </c>
      <c r="D16" s="113">
        <f>'13'!$E$33</f>
        <v>43339553</v>
      </c>
      <c r="E16" s="114">
        <f t="shared" si="1"/>
        <v>4528.7046976826805</v>
      </c>
    </row>
    <row r="17" spans="1:5" x14ac:dyDescent="0.25">
      <c r="A17" s="92" t="s">
        <v>1058</v>
      </c>
      <c r="B17" s="97">
        <v>1054667</v>
      </c>
      <c r="C17" s="111">
        <f t="shared" si="0"/>
        <v>35155.566666666666</v>
      </c>
      <c r="D17" s="113">
        <f>'14'!$E$33</f>
        <v>184477034.00000003</v>
      </c>
      <c r="E17" s="114">
        <f t="shared" si="1"/>
        <v>5247.4487397443945</v>
      </c>
    </row>
    <row r="18" spans="1:5" x14ac:dyDescent="0.25">
      <c r="A18" s="92" t="s">
        <v>1035</v>
      </c>
      <c r="B18" s="97">
        <v>211159</v>
      </c>
      <c r="C18" s="111">
        <f t="shared" si="0"/>
        <v>7038.6333333333332</v>
      </c>
      <c r="D18" s="111">
        <f>'15'!$E$33</f>
        <v>44067318.000000007</v>
      </c>
      <c r="E18" s="112">
        <f t="shared" si="1"/>
        <v>6260.7776130782977</v>
      </c>
    </row>
    <row r="19" spans="1:5" x14ac:dyDescent="0.25">
      <c r="A19" s="91" t="s">
        <v>1059</v>
      </c>
      <c r="B19" s="97">
        <v>383665</v>
      </c>
      <c r="C19" s="111">
        <f t="shared" si="0"/>
        <v>12788.833333333334</v>
      </c>
      <c r="D19" s="111">
        <f>'16'!$E$33</f>
        <v>59393794.000000007</v>
      </c>
      <c r="E19" s="112">
        <f t="shared" si="1"/>
        <v>4644.1917297642476</v>
      </c>
    </row>
    <row r="20" spans="1:5" x14ac:dyDescent="0.25">
      <c r="A20" s="92" t="s">
        <v>1036</v>
      </c>
      <c r="B20" s="97">
        <v>26338</v>
      </c>
      <c r="C20" s="111">
        <f t="shared" si="0"/>
        <v>877.93333333333328</v>
      </c>
      <c r="D20" s="111">
        <f>'17'!$E$33</f>
        <v>4397473.0000000009</v>
      </c>
      <c r="E20" s="112">
        <f t="shared" si="1"/>
        <v>5008.8917153922102</v>
      </c>
    </row>
    <row r="21" spans="1:5" x14ac:dyDescent="0.25">
      <c r="A21" s="92" t="s">
        <v>1037</v>
      </c>
      <c r="B21" s="97">
        <v>42083</v>
      </c>
      <c r="C21" s="111">
        <f t="shared" si="0"/>
        <v>1402.7666666666667</v>
      </c>
      <c r="D21" s="111">
        <f>'18'!$E$33</f>
        <v>9695117</v>
      </c>
      <c r="E21" s="112">
        <f t="shared" si="1"/>
        <v>6911.4252786160687</v>
      </c>
    </row>
    <row r="22" spans="1:5" x14ac:dyDescent="0.25">
      <c r="A22" s="92" t="s">
        <v>1067</v>
      </c>
      <c r="B22" s="97">
        <v>77922</v>
      </c>
      <c r="C22" s="111">
        <f t="shared" si="0"/>
        <v>2597.4</v>
      </c>
      <c r="D22" s="111">
        <f>'19'!$E$33</f>
        <v>9752816</v>
      </c>
      <c r="E22" s="112">
        <f t="shared" si="1"/>
        <v>3754.8379148379149</v>
      </c>
    </row>
    <row r="23" spans="1:5" x14ac:dyDescent="0.25">
      <c r="A23" s="92" t="s">
        <v>1038</v>
      </c>
      <c r="B23" s="97">
        <v>56231</v>
      </c>
      <c r="C23" s="111">
        <f t="shared" si="0"/>
        <v>1874.3666666666666</v>
      </c>
      <c r="D23" s="111">
        <f>'20'!$E$33</f>
        <v>7055266.0000000009</v>
      </c>
      <c r="E23" s="112">
        <f t="shared" si="1"/>
        <v>3764.0799558962144</v>
      </c>
    </row>
    <row r="24" spans="1:5" x14ac:dyDescent="0.25">
      <c r="A24" s="92" t="s">
        <v>1060</v>
      </c>
      <c r="B24" s="97">
        <v>770391</v>
      </c>
      <c r="C24" s="111">
        <f t="shared" si="0"/>
        <v>25679.7</v>
      </c>
      <c r="D24" s="111">
        <f>'21'!$E$33</f>
        <v>159256071</v>
      </c>
      <c r="E24" s="112">
        <f t="shared" si="1"/>
        <v>6201.6328461781095</v>
      </c>
    </row>
    <row r="25" spans="1:5" x14ac:dyDescent="0.25">
      <c r="A25" s="92" t="s">
        <v>1039</v>
      </c>
      <c r="B25" s="97">
        <v>53874</v>
      </c>
      <c r="C25" s="111">
        <f t="shared" si="0"/>
        <v>1795.8</v>
      </c>
      <c r="D25" s="113">
        <f>'22'!$E$33</f>
        <v>11476411</v>
      </c>
      <c r="E25" s="114">
        <f t="shared" si="1"/>
        <v>6390.6955117496382</v>
      </c>
    </row>
    <row r="26" spans="1:5" x14ac:dyDescent="0.25">
      <c r="A26" s="92" t="s">
        <v>1040</v>
      </c>
      <c r="B26" s="97">
        <v>99059</v>
      </c>
      <c r="C26" s="111">
        <f t="shared" si="0"/>
        <v>3301.9666666666667</v>
      </c>
      <c r="D26" s="113">
        <f>'23'!$E$33</f>
        <v>15579836</v>
      </c>
      <c r="E26" s="114">
        <f t="shared" si="1"/>
        <v>4718.3504779979612</v>
      </c>
    </row>
    <row r="27" spans="1:5" x14ac:dyDescent="0.25">
      <c r="A27" s="92" t="s">
        <v>1024</v>
      </c>
      <c r="B27" s="97">
        <v>156021</v>
      </c>
      <c r="C27" s="111">
        <f t="shared" si="0"/>
        <v>5200.7</v>
      </c>
      <c r="D27" s="111">
        <f>'24'!$E$33</f>
        <v>23741013</v>
      </c>
      <c r="E27" s="112">
        <f t="shared" si="1"/>
        <v>4564.9649085700003</v>
      </c>
    </row>
    <row r="28" spans="1:5" x14ac:dyDescent="0.25">
      <c r="A28" s="92" t="s">
        <v>1041</v>
      </c>
      <c r="B28" s="97">
        <v>126780</v>
      </c>
      <c r="C28" s="111">
        <f t="shared" si="0"/>
        <v>4226</v>
      </c>
      <c r="D28" s="113">
        <f>'25'!$E$33</f>
        <v>23348831.999999993</v>
      </c>
      <c r="E28" s="114">
        <f t="shared" si="1"/>
        <v>5525.043066729766</v>
      </c>
    </row>
    <row r="29" spans="1:5" x14ac:dyDescent="0.25">
      <c r="A29" s="91" t="s">
        <v>1042</v>
      </c>
      <c r="B29" s="96">
        <v>561178</v>
      </c>
      <c r="C29" s="111">
        <f t="shared" si="0"/>
        <v>18705.933333333334</v>
      </c>
      <c r="D29" s="113">
        <f>'26'!$E$33</f>
        <v>81192145</v>
      </c>
      <c r="E29" s="114">
        <f t="shared" si="1"/>
        <v>4340.4487524457481</v>
      </c>
    </row>
    <row r="30" spans="1:5" x14ac:dyDescent="0.25">
      <c r="A30" s="92" t="s">
        <v>1021</v>
      </c>
      <c r="B30" s="97">
        <v>146163</v>
      </c>
      <c r="C30" s="111">
        <f t="shared" si="0"/>
        <v>4872.1000000000004</v>
      </c>
      <c r="D30" s="113">
        <f>'27'!$E$33</f>
        <v>19613115.000000004</v>
      </c>
      <c r="E30" s="114">
        <f t="shared" si="1"/>
        <v>4025.5977915067429</v>
      </c>
    </row>
    <row r="31" spans="1:5" x14ac:dyDescent="0.25">
      <c r="A31" s="92" t="s">
        <v>1043</v>
      </c>
      <c r="B31" s="97">
        <v>99661</v>
      </c>
      <c r="C31" s="111">
        <f t="shared" si="0"/>
        <v>3322.0333333333333</v>
      </c>
      <c r="D31" s="113">
        <f>'28'!$E$33</f>
        <v>18168831</v>
      </c>
      <c r="E31" s="114">
        <f t="shared" si="1"/>
        <v>5469.189853603717</v>
      </c>
    </row>
    <row r="32" spans="1:5" x14ac:dyDescent="0.25">
      <c r="A32" s="92" t="s">
        <v>1044</v>
      </c>
      <c r="B32" s="97">
        <v>108683</v>
      </c>
      <c r="C32" s="111">
        <f t="shared" si="0"/>
        <v>3622.7666666666669</v>
      </c>
      <c r="D32" s="113">
        <f>'29'!$E$33</f>
        <v>13572331.999999998</v>
      </c>
      <c r="E32" s="114">
        <f t="shared" si="1"/>
        <v>3746.399712926584</v>
      </c>
    </row>
    <row r="33" spans="1:5" x14ac:dyDescent="0.25">
      <c r="A33" s="92" t="s">
        <v>1045</v>
      </c>
      <c r="B33" s="97">
        <v>107949</v>
      </c>
      <c r="C33" s="111">
        <f t="shared" si="0"/>
        <v>3598.3</v>
      </c>
      <c r="D33" s="111">
        <f>'30'!$E$33</f>
        <v>10093422</v>
      </c>
      <c r="E33" s="112">
        <f t="shared" si="1"/>
        <v>2805.0529416668983</v>
      </c>
    </row>
    <row r="34" spans="1:5" x14ac:dyDescent="0.25">
      <c r="A34" s="92" t="s">
        <v>1022</v>
      </c>
      <c r="B34" s="97">
        <v>49540</v>
      </c>
      <c r="C34" s="111">
        <f t="shared" si="0"/>
        <v>1651.3333333333333</v>
      </c>
      <c r="D34" s="111">
        <f>'31'!$E$33</f>
        <v>6753972.0000000019</v>
      </c>
      <c r="E34" s="112">
        <f t="shared" si="1"/>
        <v>4090.0113039967714</v>
      </c>
    </row>
    <row r="35" spans="1:5" x14ac:dyDescent="0.25">
      <c r="A35" s="92" t="s">
        <v>1046</v>
      </c>
      <c r="B35" s="96">
        <v>91241</v>
      </c>
      <c r="C35" s="111">
        <f t="shared" si="0"/>
        <v>3041.3666666666668</v>
      </c>
      <c r="D35" s="111">
        <f>'32'!$E$33</f>
        <v>16502659</v>
      </c>
      <c r="E35" s="112">
        <f t="shared" si="1"/>
        <v>5426.0668997490166</v>
      </c>
    </row>
    <row r="36" spans="1:5" x14ac:dyDescent="0.25">
      <c r="A36" s="92" t="s">
        <v>1047</v>
      </c>
      <c r="B36" s="97">
        <v>37489</v>
      </c>
      <c r="C36" s="111">
        <f t="shared" si="0"/>
        <v>1249.6333333333334</v>
      </c>
      <c r="D36" s="111">
        <f>'33'!$E$33</f>
        <v>7970133</v>
      </c>
      <c r="E36" s="112">
        <f t="shared" si="1"/>
        <v>6377.9772733335103</v>
      </c>
    </row>
    <row r="37" spans="1:5" x14ac:dyDescent="0.25">
      <c r="A37" s="92" t="s">
        <v>1025</v>
      </c>
      <c r="B37" s="96">
        <v>71560</v>
      </c>
      <c r="C37" s="111">
        <f t="shared" si="0"/>
        <v>2385.3333333333335</v>
      </c>
      <c r="D37" s="111">
        <f>'34'!$E$33</f>
        <v>9530694</v>
      </c>
      <c r="E37" s="112">
        <f t="shared" si="1"/>
        <v>3995.5396869759638</v>
      </c>
    </row>
    <row r="38" spans="1:5" x14ac:dyDescent="0.25">
      <c r="A38" s="92" t="s">
        <v>1048</v>
      </c>
      <c r="B38" s="96">
        <v>19825</v>
      </c>
      <c r="C38" s="111">
        <f t="shared" si="0"/>
        <v>660.83333333333337</v>
      </c>
      <c r="D38" s="111">
        <f>'35'!$E$33</f>
        <v>2636042</v>
      </c>
      <c r="E38" s="112">
        <f t="shared" si="1"/>
        <v>3988.966456494325</v>
      </c>
    </row>
    <row r="39" spans="1:5" x14ac:dyDescent="0.25">
      <c r="A39" s="92" t="s">
        <v>1061</v>
      </c>
      <c r="B39" s="97">
        <v>444007</v>
      </c>
      <c r="C39" s="111">
        <f t="shared" si="0"/>
        <v>14800.233333333334</v>
      </c>
      <c r="D39" s="111">
        <f>'36'!$E$33</f>
        <v>67072791</v>
      </c>
      <c r="E39" s="112">
        <f t="shared" si="1"/>
        <v>4531.8738893756181</v>
      </c>
    </row>
    <row r="40" spans="1:5" x14ac:dyDescent="0.25">
      <c r="A40" s="92" t="s">
        <v>1049</v>
      </c>
      <c r="B40" s="96">
        <v>178265</v>
      </c>
      <c r="C40" s="111">
        <f t="shared" si="0"/>
        <v>5942.166666666667</v>
      </c>
      <c r="D40" s="113">
        <f>'37'!$E$33</f>
        <v>23679148</v>
      </c>
      <c r="E40" s="114">
        <f t="shared" si="1"/>
        <v>3984.9350124814177</v>
      </c>
    </row>
    <row r="41" spans="1:5" x14ac:dyDescent="0.25">
      <c r="A41" s="92" t="s">
        <v>1050</v>
      </c>
      <c r="B41" s="96">
        <v>277191</v>
      </c>
      <c r="C41" s="111">
        <f t="shared" si="0"/>
        <v>9239.7000000000007</v>
      </c>
      <c r="D41" s="113">
        <f>'38'!$E$33</f>
        <v>42911170.999999993</v>
      </c>
      <c r="E41" s="114">
        <f t="shared" si="1"/>
        <v>4644.2169118044949</v>
      </c>
    </row>
    <row r="42" spans="1:5" x14ac:dyDescent="0.25">
      <c r="A42" s="92" t="s">
        <v>1026</v>
      </c>
      <c r="B42" s="96">
        <v>79094</v>
      </c>
      <c r="C42" s="111">
        <f t="shared" si="0"/>
        <v>2636.4666666666667</v>
      </c>
      <c r="D42" s="113">
        <f>'39'!$E$33</f>
        <v>11047713</v>
      </c>
      <c r="E42" s="114">
        <f t="shared" si="1"/>
        <v>4190.3480668571574</v>
      </c>
    </row>
    <row r="43" spans="1:5" x14ac:dyDescent="0.25">
      <c r="A43" s="92" t="s">
        <v>1062</v>
      </c>
      <c r="B43" s="96">
        <v>591331</v>
      </c>
      <c r="C43" s="111">
        <f t="shared" si="0"/>
        <v>19711.033333333333</v>
      </c>
      <c r="D43" s="113">
        <f>'40'!$E$33</f>
        <v>84167841.999999985</v>
      </c>
      <c r="E43" s="114">
        <f t="shared" si="1"/>
        <v>4270.0877511918025</v>
      </c>
    </row>
    <row r="44" spans="1:5" x14ac:dyDescent="0.25">
      <c r="A44" s="92" t="s">
        <v>1027</v>
      </c>
      <c r="B44" s="96">
        <v>70452</v>
      </c>
      <c r="C44" s="111">
        <f t="shared" si="0"/>
        <v>2348.4</v>
      </c>
      <c r="D44" s="113">
        <f>'41'!$E$33</f>
        <v>11943590</v>
      </c>
      <c r="E44" s="114">
        <f t="shared" si="1"/>
        <v>5085.8414239482199</v>
      </c>
    </row>
    <row r="45" spans="1:5" x14ac:dyDescent="0.25">
      <c r="A45" s="92" t="s">
        <v>1051</v>
      </c>
      <c r="B45" s="96">
        <v>79929</v>
      </c>
      <c r="C45" s="111">
        <f t="shared" si="0"/>
        <v>2664.3</v>
      </c>
      <c r="D45" s="113">
        <f>'42'!$E$33</f>
        <v>9941064</v>
      </c>
      <c r="E45" s="114">
        <f t="shared" si="1"/>
        <v>3731.2104492737303</v>
      </c>
    </row>
    <row r="46" spans="1:5" x14ac:dyDescent="0.25">
      <c r="A46" s="92" t="s">
        <v>1052</v>
      </c>
      <c r="B46" s="96">
        <v>149237</v>
      </c>
      <c r="C46" s="111">
        <f t="shared" si="0"/>
        <v>4974.5666666666666</v>
      </c>
      <c r="D46" s="113">
        <f>'43'!$E$33</f>
        <v>25732711</v>
      </c>
      <c r="E46" s="114">
        <f t="shared" si="1"/>
        <v>5172.8547880217375</v>
      </c>
    </row>
    <row r="47" spans="1:5" x14ac:dyDescent="0.25">
      <c r="A47" s="92" t="s">
        <v>1063</v>
      </c>
      <c r="B47" s="96">
        <v>112567</v>
      </c>
      <c r="C47" s="111">
        <f t="shared" si="0"/>
        <v>3752.2333333333331</v>
      </c>
      <c r="D47" s="113">
        <f>'44'!$E$33</f>
        <v>13830480.000000002</v>
      </c>
      <c r="E47" s="114">
        <f t="shared" si="1"/>
        <v>3685.932822230317</v>
      </c>
    </row>
    <row r="48" spans="1:5" x14ac:dyDescent="0.25">
      <c r="A48" s="92" t="s">
        <v>1028</v>
      </c>
      <c r="B48" s="96">
        <v>196283</v>
      </c>
      <c r="C48" s="111">
        <f t="shared" si="0"/>
        <v>6542.7666666666664</v>
      </c>
      <c r="D48" s="113">
        <f>'45'!$E$33</f>
        <v>25664062.999999993</v>
      </c>
      <c r="E48" s="114">
        <f t="shared" si="1"/>
        <v>3922.509285062893</v>
      </c>
    </row>
    <row r="49" spans="1:5" x14ac:dyDescent="0.25">
      <c r="A49" s="92" t="s">
        <v>1053</v>
      </c>
      <c r="B49" s="96">
        <v>51197</v>
      </c>
      <c r="C49" s="111">
        <f t="shared" si="0"/>
        <v>1706.5666666666666</v>
      </c>
      <c r="D49" s="113">
        <f>'46'!$E$33</f>
        <v>7829178.9999999991</v>
      </c>
      <c r="E49" s="114">
        <f t="shared" si="1"/>
        <v>4587.6783795925539</v>
      </c>
    </row>
    <row r="50" spans="1:5" x14ac:dyDescent="0.25">
      <c r="A50" s="92" t="s">
        <v>1054</v>
      </c>
      <c r="B50" s="96">
        <v>78266</v>
      </c>
      <c r="C50" s="111">
        <f t="shared" si="0"/>
        <v>2608.8666666666668</v>
      </c>
      <c r="D50" s="113">
        <f>'47'!$E$33</f>
        <v>12670552.999999998</v>
      </c>
      <c r="E50" s="114">
        <f t="shared" si="1"/>
        <v>4856.726931234507</v>
      </c>
    </row>
    <row r="51" spans="1:5" x14ac:dyDescent="0.25">
      <c r="A51" s="92" t="s">
        <v>1055</v>
      </c>
      <c r="B51" s="96">
        <v>68053</v>
      </c>
      <c r="C51" s="111">
        <f t="shared" si="0"/>
        <v>2268.4333333333334</v>
      </c>
      <c r="D51" s="113">
        <f>'48'!$E$33</f>
        <v>10570263</v>
      </c>
      <c r="E51" s="114">
        <f t="shared" si="1"/>
        <v>4659.7194833438643</v>
      </c>
    </row>
    <row r="52" spans="1:5" x14ac:dyDescent="0.25">
      <c r="A52" s="92" t="s">
        <v>1056</v>
      </c>
      <c r="B52" s="96">
        <v>26434</v>
      </c>
      <c r="C52" s="111">
        <f t="shared" si="0"/>
        <v>881.13333333333333</v>
      </c>
      <c r="D52" s="113">
        <f>'49'!$E$33</f>
        <v>4907382</v>
      </c>
      <c r="E52" s="114">
        <f t="shared" si="1"/>
        <v>5569.3977453279867</v>
      </c>
    </row>
    <row r="53" spans="1:5" x14ac:dyDescent="0.25">
      <c r="A53" s="92" t="s">
        <v>1064</v>
      </c>
      <c r="B53" s="96">
        <v>114633</v>
      </c>
      <c r="C53" s="111">
        <f t="shared" si="0"/>
        <v>3821.1</v>
      </c>
      <c r="D53" s="113">
        <f>'50'!$E$33</f>
        <v>15826904.000000002</v>
      </c>
      <c r="E53" s="114">
        <f t="shared" si="1"/>
        <v>4141.975870822539</v>
      </c>
    </row>
    <row r="54" spans="1:5" x14ac:dyDescent="0.25">
      <c r="A54" s="90" t="s">
        <v>937</v>
      </c>
      <c r="B54" s="96">
        <v>98888</v>
      </c>
      <c r="C54" s="111">
        <f t="shared" si="0"/>
        <v>3296.2666666666669</v>
      </c>
      <c r="D54" s="113">
        <f>'51'!$E$33</f>
        <v>18091439.000000004</v>
      </c>
      <c r="E54" s="114">
        <f t="shared" si="1"/>
        <v>5488.4634131542762</v>
      </c>
    </row>
    <row r="55" spans="1:5" x14ac:dyDescent="0.25">
      <c r="A55" s="90" t="s">
        <v>938</v>
      </c>
      <c r="B55" s="96">
        <v>49016</v>
      </c>
      <c r="C55" s="111">
        <f t="shared" si="0"/>
        <v>1633.8666666666666</v>
      </c>
      <c r="D55" s="113">
        <f>'52'!$E$33</f>
        <v>11794582.999999998</v>
      </c>
      <c r="E55" s="114">
        <f t="shared" si="1"/>
        <v>7218.8161008650231</v>
      </c>
    </row>
    <row r="56" spans="1:5" x14ac:dyDescent="0.25">
      <c r="A56" s="90" t="s">
        <v>939</v>
      </c>
      <c r="B56" s="96">
        <v>17175</v>
      </c>
      <c r="C56" s="111">
        <f t="shared" si="0"/>
        <v>572.5</v>
      </c>
      <c r="D56" s="113">
        <f>'53'!$E$33</f>
        <v>4646765.0000000009</v>
      </c>
      <c r="E56" s="114">
        <f t="shared" si="1"/>
        <v>8116.6200873362459</v>
      </c>
    </row>
    <row r="57" spans="1:5" x14ac:dyDescent="0.25">
      <c r="A57" s="90" t="s">
        <v>940</v>
      </c>
      <c r="B57" s="96">
        <v>122029</v>
      </c>
      <c r="C57" s="111">
        <f t="shared" si="0"/>
        <v>4067.6333333333332</v>
      </c>
      <c r="D57" s="113">
        <f>'54'!$E$33</f>
        <v>26801970</v>
      </c>
      <c r="E57" s="114">
        <f t="shared" si="1"/>
        <v>6589.0821034344299</v>
      </c>
    </row>
    <row r="58" spans="1:5" x14ac:dyDescent="0.25">
      <c r="A58" s="90" t="s">
        <v>941</v>
      </c>
      <c r="B58" s="96">
        <v>52645</v>
      </c>
      <c r="C58" s="111">
        <f t="shared" si="0"/>
        <v>1754.8333333333333</v>
      </c>
      <c r="D58" s="113">
        <f>'55'!$E$33</f>
        <v>12642016.000000002</v>
      </c>
      <c r="E58" s="114">
        <f t="shared" si="1"/>
        <v>7204.1120714217886</v>
      </c>
    </row>
    <row r="59" spans="1:5" x14ac:dyDescent="0.25">
      <c r="A59" s="90" t="s">
        <v>942</v>
      </c>
      <c r="B59" s="96">
        <v>38422</v>
      </c>
      <c r="C59" s="111">
        <f t="shared" si="0"/>
        <v>1280.7333333333333</v>
      </c>
      <c r="D59" s="113">
        <f>'56'!$E$33</f>
        <v>6092406.9999999991</v>
      </c>
      <c r="E59" s="114">
        <f t="shared" si="1"/>
        <v>4756.9676227161517</v>
      </c>
    </row>
    <row r="60" spans="1:5" x14ac:dyDescent="0.25">
      <c r="A60" s="71" t="s">
        <v>943</v>
      </c>
      <c r="B60" s="96">
        <v>55284</v>
      </c>
      <c r="C60" s="111">
        <f t="shared" si="0"/>
        <v>1842.8</v>
      </c>
      <c r="D60" s="113">
        <f>'57'!$E$33</f>
        <v>11398088</v>
      </c>
      <c r="E60" s="114">
        <f t="shared" si="1"/>
        <v>6185.2007814195795</v>
      </c>
    </row>
    <row r="61" spans="1:5" ht="30" thickBot="1" x14ac:dyDescent="0.3">
      <c r="A61" s="80" t="s">
        <v>1014</v>
      </c>
      <c r="B61" s="115">
        <f>SUMIF(D4:D60,"&gt;0",B4:B60)</f>
        <v>10155959</v>
      </c>
      <c r="C61" s="115">
        <f>B61/30</f>
        <v>338531.96666666667</v>
      </c>
      <c r="D61" s="116">
        <f>SUM(D4:D60)</f>
        <v>1618814762.0000002</v>
      </c>
      <c r="E61" s="117">
        <f t="shared" si="1"/>
        <v>4781.8667700411161</v>
      </c>
    </row>
    <row r="63" spans="1:5" x14ac:dyDescent="0.25">
      <c r="D63" s="99"/>
    </row>
    <row r="87" ht="15" customHeight="1" x14ac:dyDescent="0.25"/>
  </sheetData>
  <pageMargins left="0.25" right="0.25"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6"/>
  <sheetViews>
    <sheetView showGridLines="0" zoomScale="70" zoomScaleNormal="70" workbookViewId="0">
      <pane xSplit="1" ySplit="3" topLeftCell="B4" activePane="bottomRight" state="frozen"/>
      <selection pane="topRight"/>
      <selection pane="bottomLeft"/>
      <selection pane="bottomRight"/>
    </sheetView>
  </sheetViews>
  <sheetFormatPr defaultRowHeight="14.25" x14ac:dyDescent="0.2"/>
  <cols>
    <col min="1" max="1" width="31.5703125" style="60" customWidth="1"/>
    <col min="2" max="5" width="9.28515625" style="60" bestFit="1" customWidth="1"/>
    <col min="6" max="6" width="11.42578125" style="60" bestFit="1" customWidth="1"/>
    <col min="7" max="9" width="12.5703125" style="60" bestFit="1" customWidth="1"/>
    <col min="10" max="10" width="9.28515625" style="60" bestFit="1" customWidth="1"/>
    <col min="11" max="11" width="9.140625" style="60" bestFit="1" customWidth="1"/>
    <col min="12" max="12" width="12.5703125" style="60" bestFit="1" customWidth="1"/>
    <col min="13" max="13" width="9.28515625" style="60" bestFit="1" customWidth="1"/>
    <col min="14" max="14" width="10.28515625" style="60" bestFit="1" customWidth="1"/>
    <col min="15" max="16" width="9.140625" style="60" bestFit="1" customWidth="1"/>
    <col min="17" max="17" width="9.28515625" style="60" bestFit="1" customWidth="1"/>
    <col min="18" max="18" width="9.140625" style="60" bestFit="1" customWidth="1"/>
    <col min="19" max="19" width="11.140625" style="60" bestFit="1" customWidth="1"/>
    <col min="20" max="20" width="9.28515625" style="60" bestFit="1" customWidth="1"/>
    <col min="21" max="21" width="8.28515625" style="60" bestFit="1" customWidth="1"/>
    <col min="22" max="22" width="12.5703125" style="60" bestFit="1" customWidth="1"/>
    <col min="23" max="23" width="11.140625" style="60" bestFit="1" customWidth="1"/>
    <col min="24" max="24" width="9.28515625" style="60" bestFit="1" customWidth="1"/>
    <col min="25" max="25" width="11.140625" style="60" bestFit="1" customWidth="1"/>
    <col min="26" max="27" width="9.28515625" style="60" bestFit="1" customWidth="1"/>
    <col min="28" max="29" width="8.7109375" style="60" bestFit="1" customWidth="1"/>
    <col min="30" max="30" width="9.28515625" style="60" bestFit="1" customWidth="1"/>
    <col min="31" max="31" width="8.140625" style="60" bestFit="1" customWidth="1"/>
    <col min="32" max="37" width="9.140625" style="60"/>
    <col min="38" max="38" width="17.85546875" style="60" bestFit="1" customWidth="1"/>
    <col min="39" max="41" width="9.140625" style="60"/>
    <col min="42" max="42" width="17.85546875" style="60" bestFit="1" customWidth="1"/>
    <col min="43" max="16384" width="9.140625" style="60"/>
  </cols>
  <sheetData>
    <row r="1" spans="1:30" x14ac:dyDescent="0.2">
      <c r="A1" s="38" t="str">
        <f>Summary!A1</f>
        <v>Community and Technical Colleges, Report of Fundable Operating Expenses, Fiscal Year (FY) 2002</v>
      </c>
      <c r="B1" s="38"/>
      <c r="C1" s="38"/>
      <c r="E1" s="38"/>
      <c r="F1" s="38"/>
      <c r="G1" s="38"/>
      <c r="H1" s="38"/>
      <c r="J1" s="38"/>
      <c r="K1" s="39"/>
      <c r="L1" s="38"/>
    </row>
    <row r="2" spans="1:30" ht="15" thickBot="1" x14ac:dyDescent="0.25">
      <c r="A2" s="62" t="s">
        <v>951</v>
      </c>
    </row>
    <row r="3" spans="1:30" s="66" customFormat="1" x14ac:dyDescent="0.2">
      <c r="A3" s="26" t="s">
        <v>944</v>
      </c>
      <c r="B3" s="33" t="s">
        <v>952</v>
      </c>
      <c r="C3" s="33" t="s">
        <v>953</v>
      </c>
      <c r="D3" s="33" t="s">
        <v>982</v>
      </c>
      <c r="E3" s="33" t="s">
        <v>983</v>
      </c>
      <c r="F3" s="33" t="s">
        <v>984</v>
      </c>
      <c r="G3" s="33" t="s">
        <v>985</v>
      </c>
      <c r="H3" s="33" t="s">
        <v>986</v>
      </c>
      <c r="I3" s="33" t="s">
        <v>987</v>
      </c>
      <c r="J3" s="33" t="s">
        <v>988</v>
      </c>
      <c r="K3" s="33" t="s">
        <v>989</v>
      </c>
      <c r="L3" s="33" t="s">
        <v>991</v>
      </c>
      <c r="M3" s="33" t="s">
        <v>992</v>
      </c>
      <c r="N3" s="33" t="s">
        <v>993</v>
      </c>
      <c r="O3" s="33" t="s">
        <v>994</v>
      </c>
      <c r="P3" s="33" t="s">
        <v>995</v>
      </c>
      <c r="Q3" s="33" t="s">
        <v>996</v>
      </c>
      <c r="R3" s="33" t="s">
        <v>997</v>
      </c>
      <c r="S3" s="33" t="s">
        <v>998</v>
      </c>
      <c r="T3" s="33" t="s">
        <v>999</v>
      </c>
      <c r="U3" s="33" t="s">
        <v>1000</v>
      </c>
      <c r="V3" s="33" t="s">
        <v>1001</v>
      </c>
      <c r="W3" s="33" t="s">
        <v>1002</v>
      </c>
      <c r="X3" s="33" t="s">
        <v>1003</v>
      </c>
      <c r="Y3" s="33" t="s">
        <v>1004</v>
      </c>
      <c r="Z3" s="33" t="s">
        <v>1005</v>
      </c>
      <c r="AA3" s="33" t="s">
        <v>1006</v>
      </c>
      <c r="AB3" s="33" t="s">
        <v>1007</v>
      </c>
      <c r="AC3" s="33" t="s">
        <v>1008</v>
      </c>
      <c r="AD3" s="44" t="s">
        <v>35</v>
      </c>
    </row>
    <row r="4" spans="1:30" x14ac:dyDescent="0.2">
      <c r="A4" s="92" t="s">
        <v>1065</v>
      </c>
      <c r="B4" s="73">
        <f>'1'!$F$5</f>
        <v>8.3699999999999992</v>
      </c>
      <c r="C4" s="73">
        <f>'1'!$F$6</f>
        <v>6.63</v>
      </c>
      <c r="D4" s="73">
        <f>'1'!$F$7</f>
        <v>7.46</v>
      </c>
      <c r="E4" s="73">
        <f>'1'!$F$8</f>
        <v>8.25</v>
      </c>
      <c r="F4" s="73">
        <f>'1'!$F$9</f>
        <v>13.91</v>
      </c>
      <c r="G4" s="73">
        <f>'1'!$F$10</f>
        <v>8.14</v>
      </c>
      <c r="H4" s="73">
        <f>'1'!$F$11</f>
        <v>8.27</v>
      </c>
      <c r="I4" s="73">
        <f>'1'!$F$12</f>
        <v>6.84</v>
      </c>
      <c r="J4" s="73">
        <f>'1'!$F$13</f>
        <v>6.24</v>
      </c>
      <c r="K4" s="73">
        <f>'1'!$F$14</f>
        <v>37.33</v>
      </c>
      <c r="L4" s="73">
        <f>'1'!$F$15</f>
        <v>14.71</v>
      </c>
      <c r="M4" s="73">
        <f>'1'!$F$16</f>
        <v>6.76</v>
      </c>
      <c r="N4" s="73">
        <f>'1'!$F$17</f>
        <v>8.82</v>
      </c>
      <c r="O4" s="73">
        <f>'1'!$F$18</f>
        <v>12.43</v>
      </c>
      <c r="P4" s="73" t="str">
        <f>'1'!$F$19</f>
        <v/>
      </c>
      <c r="Q4" s="73">
        <f>'1'!$F$20</f>
        <v>6.83</v>
      </c>
      <c r="R4" s="73">
        <f>'1'!$F$21</f>
        <v>18.48</v>
      </c>
      <c r="S4" s="73">
        <f>'1'!$F$22</f>
        <v>7.7</v>
      </c>
      <c r="T4" s="73">
        <f>'1'!$F$23</f>
        <v>6.82</v>
      </c>
      <c r="U4" s="73">
        <f>'1'!$F$24</f>
        <v>7.81</v>
      </c>
      <c r="V4" s="73">
        <f>'1'!$F$25</f>
        <v>7.01</v>
      </c>
      <c r="W4" s="73">
        <f>'1'!$F$26</f>
        <v>29.4</v>
      </c>
      <c r="X4" s="73">
        <f>'1'!$F$27</f>
        <v>8.51</v>
      </c>
      <c r="Y4" s="73">
        <f>'1'!$F$28</f>
        <v>6.63</v>
      </c>
      <c r="Z4" s="73">
        <f>'1'!$F$29</f>
        <v>6.82</v>
      </c>
      <c r="AA4" s="73">
        <f>'1'!$F$30</f>
        <v>8.9499999999999993</v>
      </c>
      <c r="AB4" s="73" t="str">
        <f>'1'!$F$31</f>
        <v/>
      </c>
      <c r="AC4" s="73" t="str">
        <f>'1'!$F$32</f>
        <v/>
      </c>
      <c r="AD4" s="94">
        <f>'1'!$F$33</f>
        <v>7.5</v>
      </c>
    </row>
    <row r="5" spans="1:30" x14ac:dyDescent="0.2">
      <c r="A5" s="92" t="s">
        <v>1019</v>
      </c>
      <c r="B5" s="72">
        <f>'2'!$F$5</f>
        <v>4.4400000000000004</v>
      </c>
      <c r="C5" s="72">
        <f>'2'!$F$6</f>
        <v>7.31</v>
      </c>
      <c r="D5" s="72">
        <f>'2'!$F$7</f>
        <v>6.47</v>
      </c>
      <c r="E5" s="72">
        <f>'2'!$F$8</f>
        <v>6.58</v>
      </c>
      <c r="F5" s="72" t="str">
        <f>'2'!$F$9</f>
        <v/>
      </c>
      <c r="G5" s="72">
        <f>'2'!$F$10</f>
        <v>5.99</v>
      </c>
      <c r="H5" s="72">
        <f>'2'!$F$11</f>
        <v>6.14</v>
      </c>
      <c r="I5" s="72" t="str">
        <f>'2'!$F$12</f>
        <v/>
      </c>
      <c r="J5" s="72">
        <f>'2'!$F$13</f>
        <v>6.63</v>
      </c>
      <c r="K5" s="72" t="str">
        <f>'2'!$F$14</f>
        <v/>
      </c>
      <c r="L5" s="72">
        <f>'2'!$F$15</f>
        <v>4.41</v>
      </c>
      <c r="M5" s="72">
        <f>'2'!$F$16</f>
        <v>6.67</v>
      </c>
      <c r="N5" s="72">
        <f>'2'!$F$17</f>
        <v>7.35</v>
      </c>
      <c r="O5" s="72">
        <f>'2'!$F$18</f>
        <v>10.64</v>
      </c>
      <c r="P5" s="72" t="str">
        <f>'2'!$F$19</f>
        <v/>
      </c>
      <c r="Q5" s="72">
        <f>'2'!$F$20</f>
        <v>7.19</v>
      </c>
      <c r="R5" s="72">
        <f>'2'!$F$21</f>
        <v>15.29</v>
      </c>
      <c r="S5" s="72">
        <f>'2'!$F$22</f>
        <v>7.77</v>
      </c>
      <c r="T5" s="72">
        <f>'2'!$F$23</f>
        <v>5.46</v>
      </c>
      <c r="U5" s="72">
        <f>'2'!$F$24</f>
        <v>4.7699999999999996</v>
      </c>
      <c r="V5" s="72" t="str">
        <f>'2'!$F$25</f>
        <v/>
      </c>
      <c r="W5" s="72" t="str">
        <f>'2'!$F$26</f>
        <v/>
      </c>
      <c r="X5" s="72">
        <f>'2'!$F$27</f>
        <v>7.55</v>
      </c>
      <c r="Y5" s="72">
        <f>'2'!$F$28</f>
        <v>6.1</v>
      </c>
      <c r="Z5" s="72">
        <f>'2'!$F$29</f>
        <v>5.87</v>
      </c>
      <c r="AA5" s="72">
        <f>'2'!$F$30</f>
        <v>7.96</v>
      </c>
      <c r="AB5" s="72" t="str">
        <f>'2'!$F$31</f>
        <v/>
      </c>
      <c r="AC5" s="72" t="str">
        <f>'2'!$F$32</f>
        <v/>
      </c>
      <c r="AD5" s="93">
        <f>'2'!$F$33</f>
        <v>6.56</v>
      </c>
    </row>
    <row r="6" spans="1:30" x14ac:dyDescent="0.2">
      <c r="A6" s="92" t="s">
        <v>1029</v>
      </c>
      <c r="B6" s="72">
        <f>'3'!$F$5</f>
        <v>6.88</v>
      </c>
      <c r="C6" s="72">
        <f>'3'!$F$6</f>
        <v>7.13</v>
      </c>
      <c r="D6" s="72">
        <f>'3'!$F$7</f>
        <v>6.5</v>
      </c>
      <c r="E6" s="72">
        <f>'3'!$F$8</f>
        <v>6.72</v>
      </c>
      <c r="F6" s="72" t="str">
        <f>'3'!$F$9</f>
        <v/>
      </c>
      <c r="G6" s="72">
        <f>'3'!$F$10</f>
        <v>7.24</v>
      </c>
      <c r="H6" s="72">
        <f>'3'!$F$11</f>
        <v>6.57</v>
      </c>
      <c r="I6" s="72">
        <f>'3'!$F$12</f>
        <v>6.92</v>
      </c>
      <c r="J6" s="72">
        <f>'3'!$F$13</f>
        <v>6.03</v>
      </c>
      <c r="K6" s="72">
        <f>'3'!$F$14</f>
        <v>6.48</v>
      </c>
      <c r="L6" s="72">
        <f>'3'!$F$15</f>
        <v>6.73</v>
      </c>
      <c r="M6" s="72">
        <f>'3'!$F$16</f>
        <v>7.45</v>
      </c>
      <c r="N6" s="72">
        <f>'3'!$F$17</f>
        <v>7.33</v>
      </c>
      <c r="O6" s="72">
        <f>'3'!$F$18</f>
        <v>7.68</v>
      </c>
      <c r="P6" s="72">
        <f>'3'!$F$19</f>
        <v>7.88</v>
      </c>
      <c r="Q6" s="72">
        <f>'3'!$F$20</f>
        <v>7.6</v>
      </c>
      <c r="R6" s="72">
        <f>'3'!$F$21</f>
        <v>7.96</v>
      </c>
      <c r="S6" s="72">
        <f>'3'!$F$22</f>
        <v>7.86</v>
      </c>
      <c r="T6" s="72">
        <f>'3'!$F$23</f>
        <v>6.49</v>
      </c>
      <c r="U6" s="72">
        <f>'3'!$F$24</f>
        <v>7.14</v>
      </c>
      <c r="V6" s="72">
        <f>'3'!$F$25</f>
        <v>7.14</v>
      </c>
      <c r="W6" s="72">
        <f>'3'!$F$26</f>
        <v>7.1</v>
      </c>
      <c r="X6" s="72">
        <f>'3'!$F$27</f>
        <v>5.54</v>
      </c>
      <c r="Y6" s="72">
        <f>'3'!$F$28</f>
        <v>6.84</v>
      </c>
      <c r="Z6" s="72">
        <f>'3'!$F$29</f>
        <v>5.65</v>
      </c>
      <c r="AA6" s="72">
        <f>'3'!$F$30</f>
        <v>7.31</v>
      </c>
      <c r="AB6" s="72" t="str">
        <f>'3'!$F$31</f>
        <v/>
      </c>
      <c r="AC6" s="72" t="str">
        <f>'3'!$F$32</f>
        <v/>
      </c>
      <c r="AD6" s="93">
        <f>'3'!$F$33</f>
        <v>6.86</v>
      </c>
    </row>
    <row r="7" spans="1:30" x14ac:dyDescent="0.2">
      <c r="A7" s="92" t="s">
        <v>1030</v>
      </c>
      <c r="B7" s="72">
        <f>'4'!$F$5</f>
        <v>3.6</v>
      </c>
      <c r="C7" s="72">
        <f>'4'!$F$6</f>
        <v>7.81</v>
      </c>
      <c r="D7" s="72">
        <f>'4'!$F$7</f>
        <v>4.68</v>
      </c>
      <c r="E7" s="72">
        <f>'4'!$F$8</f>
        <v>5.09</v>
      </c>
      <c r="F7" s="72">
        <f>'4'!$F$9</f>
        <v>5.76</v>
      </c>
      <c r="G7" s="72">
        <f>'4'!$F$10</f>
        <v>8.2200000000000006</v>
      </c>
      <c r="H7" s="72">
        <f>'4'!$F$11</f>
        <v>8.1</v>
      </c>
      <c r="I7" s="72">
        <f>'4'!$F$12</f>
        <v>7.93</v>
      </c>
      <c r="J7" s="72">
        <f>'4'!$F$13</f>
        <v>4.88</v>
      </c>
      <c r="K7" s="72">
        <f>'4'!$F$14</f>
        <v>6.82</v>
      </c>
      <c r="L7" s="72">
        <f>'4'!$F$15</f>
        <v>7.93</v>
      </c>
      <c r="M7" s="72">
        <f>'4'!$F$16</f>
        <v>4.26</v>
      </c>
      <c r="N7" s="72">
        <f>'4'!$F$17</f>
        <v>5.0999999999999996</v>
      </c>
      <c r="O7" s="72">
        <f>'4'!$F$18</f>
        <v>7.49</v>
      </c>
      <c r="P7" s="72" t="str">
        <f>'4'!$F$19</f>
        <v/>
      </c>
      <c r="Q7" s="72">
        <f>'4'!$F$20</f>
        <v>5.37</v>
      </c>
      <c r="R7" s="72">
        <f>'4'!$F$21</f>
        <v>7.77</v>
      </c>
      <c r="S7" s="72">
        <f>'4'!$F$22</f>
        <v>4.92</v>
      </c>
      <c r="T7" s="72">
        <f>'4'!$F$23</f>
        <v>4.22</v>
      </c>
      <c r="U7" s="72">
        <f>'4'!$F$24</f>
        <v>11.57</v>
      </c>
      <c r="V7" s="72">
        <f>'4'!$F$25</f>
        <v>8.75</v>
      </c>
      <c r="W7" s="72" t="str">
        <f>'4'!$F$26</f>
        <v/>
      </c>
      <c r="X7" s="72">
        <f>'4'!$F$27</f>
        <v>5.52</v>
      </c>
      <c r="Y7" s="72">
        <f>'4'!$F$28</f>
        <v>4.3</v>
      </c>
      <c r="Z7" s="72">
        <f>'4'!$F$29</f>
        <v>3.8</v>
      </c>
      <c r="AA7" s="72">
        <f>'4'!$F$30</f>
        <v>6.41</v>
      </c>
      <c r="AB7" s="72" t="str">
        <f>'4'!$F$31</f>
        <v/>
      </c>
      <c r="AC7" s="72" t="str">
        <f>'4'!$F$32</f>
        <v/>
      </c>
      <c r="AD7" s="93">
        <f>'4'!$F$33</f>
        <v>5.07</v>
      </c>
    </row>
    <row r="8" spans="1:30" x14ac:dyDescent="0.2">
      <c r="A8" s="92" t="s">
        <v>1020</v>
      </c>
      <c r="B8" s="72">
        <f>'5'!$F$5</f>
        <v>3.67</v>
      </c>
      <c r="C8" s="72">
        <f>'5'!$F$6</f>
        <v>10.15</v>
      </c>
      <c r="D8" s="72">
        <f>'5'!$F$7</f>
        <v>8.3800000000000008</v>
      </c>
      <c r="E8" s="72">
        <f>'5'!$F$8</f>
        <v>9.34</v>
      </c>
      <c r="F8" s="72" t="str">
        <f>'5'!$F$9</f>
        <v/>
      </c>
      <c r="G8" s="72">
        <f>'5'!$F$10</f>
        <v>6.11</v>
      </c>
      <c r="H8" s="72">
        <f>'5'!$F$11</f>
        <v>9.67</v>
      </c>
      <c r="I8" s="72">
        <f>'5'!$F$12</f>
        <v>66.849999999999994</v>
      </c>
      <c r="J8" s="72">
        <f>'5'!$F$13</f>
        <v>7.5</v>
      </c>
      <c r="K8" s="72">
        <f>'5'!$F$14</f>
        <v>130.63999999999999</v>
      </c>
      <c r="L8" s="72">
        <f>'5'!$F$15</f>
        <v>5.86</v>
      </c>
      <c r="M8" s="72">
        <f>'5'!$F$16</f>
        <v>7.13</v>
      </c>
      <c r="N8" s="72">
        <f>'5'!$F$17</f>
        <v>6.8</v>
      </c>
      <c r="O8" s="72">
        <f>'5'!$F$18</f>
        <v>14.47</v>
      </c>
      <c r="P8" s="72" t="str">
        <f>'5'!$F$19</f>
        <v/>
      </c>
      <c r="Q8" s="72">
        <f>'5'!$F$20</f>
        <v>11.58</v>
      </c>
      <c r="R8" s="72" t="str">
        <f>'5'!$F$21</f>
        <v/>
      </c>
      <c r="S8" s="72">
        <f>'5'!$F$22</f>
        <v>12.52</v>
      </c>
      <c r="T8" s="72">
        <f>'5'!$F$23</f>
        <v>6.76</v>
      </c>
      <c r="U8" s="72">
        <f>'5'!$F$24</f>
        <v>11.94</v>
      </c>
      <c r="V8" s="72" t="str">
        <f>'5'!$F$25</f>
        <v/>
      </c>
      <c r="W8" s="72">
        <f>'5'!$F$26</f>
        <v>922.32</v>
      </c>
      <c r="X8" s="72">
        <f>'5'!$F$27</f>
        <v>7.77</v>
      </c>
      <c r="Y8" s="72">
        <f>'5'!$F$28</f>
        <v>7.62</v>
      </c>
      <c r="Z8" s="72">
        <f>'5'!$F$29</f>
        <v>5.97</v>
      </c>
      <c r="AA8" s="72">
        <f>'5'!$F$30</f>
        <v>9.4600000000000009</v>
      </c>
      <c r="AB8" s="72" t="str">
        <f>'5'!$F$31</f>
        <v/>
      </c>
      <c r="AC8" s="72" t="str">
        <f>'5'!$F$32</f>
        <v/>
      </c>
      <c r="AD8" s="93">
        <f>'5'!$F$33</f>
        <v>7.93</v>
      </c>
    </row>
    <row r="9" spans="1:30" x14ac:dyDescent="0.2">
      <c r="A9" s="92" t="s">
        <v>1031</v>
      </c>
      <c r="B9" s="72">
        <f>'6'!$F$5</f>
        <v>9.61</v>
      </c>
      <c r="C9" s="72">
        <f>'6'!$F$6</f>
        <v>2.65</v>
      </c>
      <c r="D9" s="72">
        <f>'6'!$F$7</f>
        <v>5.18</v>
      </c>
      <c r="E9" s="72">
        <f>'6'!$F$8</f>
        <v>7.94</v>
      </c>
      <c r="F9" s="72" t="str">
        <f>'6'!$F$9</f>
        <v/>
      </c>
      <c r="G9" s="72">
        <f>'6'!$F$10</f>
        <v>6.64</v>
      </c>
      <c r="H9" s="72">
        <f>'6'!$F$11</f>
        <v>10.85</v>
      </c>
      <c r="I9" s="72" t="str">
        <f>'6'!$F$12</f>
        <v/>
      </c>
      <c r="J9" s="72">
        <f>'6'!$F$13</f>
        <v>7.2</v>
      </c>
      <c r="K9" s="72" t="str">
        <f>'6'!$F$14</f>
        <v/>
      </c>
      <c r="L9" s="72" t="str">
        <f>'6'!$F$15</f>
        <v/>
      </c>
      <c r="M9" s="72">
        <f>'6'!$F$16</f>
        <v>6.58</v>
      </c>
      <c r="N9" s="72">
        <f>'6'!$F$17</f>
        <v>5.66</v>
      </c>
      <c r="O9" s="72">
        <f>'6'!$F$18</f>
        <v>12.91</v>
      </c>
      <c r="P9" s="72">
        <f>'6'!$F$19</f>
        <v>20.77</v>
      </c>
      <c r="Q9" s="72">
        <f>'6'!$F$20</f>
        <v>6.42</v>
      </c>
      <c r="R9" s="72" t="str">
        <f>'6'!$F$21</f>
        <v/>
      </c>
      <c r="S9" s="72">
        <f>'6'!$F$22</f>
        <v>7.96</v>
      </c>
      <c r="T9" s="72">
        <f>'6'!$F$23</f>
        <v>6.46</v>
      </c>
      <c r="U9" s="72" t="str">
        <f>'6'!$F$24</f>
        <v/>
      </c>
      <c r="V9" s="72" t="str">
        <f>'6'!$F$25</f>
        <v/>
      </c>
      <c r="W9" s="72" t="str">
        <f>'6'!$F$26</f>
        <v/>
      </c>
      <c r="X9" s="72">
        <f>'6'!$F$27</f>
        <v>7.06</v>
      </c>
      <c r="Y9" s="72">
        <f>'6'!$F$28</f>
        <v>4.46</v>
      </c>
      <c r="Z9" s="72">
        <f>'6'!$F$29</f>
        <v>5.35</v>
      </c>
      <c r="AA9" s="72">
        <f>'6'!$F$30</f>
        <v>8.42</v>
      </c>
      <c r="AB9" s="72" t="str">
        <f>'6'!$F$31</f>
        <v/>
      </c>
      <c r="AC9" s="72" t="str">
        <f>'6'!$F$32</f>
        <v/>
      </c>
      <c r="AD9" s="93">
        <f>'6'!$F$33</f>
        <v>6.38</v>
      </c>
    </row>
    <row r="10" spans="1:30" x14ac:dyDescent="0.2">
      <c r="A10" s="92" t="s">
        <v>1032</v>
      </c>
      <c r="B10" s="72" t="str">
        <f>'7'!$F$5</f>
        <v/>
      </c>
      <c r="C10" s="72">
        <f>'7'!$F$6</f>
        <v>6.03</v>
      </c>
      <c r="D10" s="72">
        <f>'7'!$F$7</f>
        <v>6.42</v>
      </c>
      <c r="E10" s="72">
        <f>'7'!$F$8</f>
        <v>6.55</v>
      </c>
      <c r="F10" s="72" t="str">
        <f>'7'!$F$9</f>
        <v/>
      </c>
      <c r="G10" s="72">
        <f>'7'!$F$10</f>
        <v>6.61</v>
      </c>
      <c r="H10" s="72">
        <f>'7'!$F$11</f>
        <v>7.77</v>
      </c>
      <c r="I10" s="72">
        <f>'7'!$F$12</f>
        <v>5.64</v>
      </c>
      <c r="J10" s="72">
        <f>'7'!$F$13</f>
        <v>12.54</v>
      </c>
      <c r="K10" s="72" t="str">
        <f>'7'!$F$14</f>
        <v/>
      </c>
      <c r="L10" s="72">
        <f>'7'!$F$15</f>
        <v>5.9</v>
      </c>
      <c r="M10" s="72">
        <f>'7'!$F$16</f>
        <v>6.4</v>
      </c>
      <c r="N10" s="72">
        <f>'7'!$F$17</f>
        <v>6.58</v>
      </c>
      <c r="O10" s="72" t="str">
        <f>'7'!$F$18</f>
        <v/>
      </c>
      <c r="P10" s="72" t="str">
        <f>'7'!$F$19</f>
        <v/>
      </c>
      <c r="Q10" s="72">
        <f>'7'!$F$20</f>
        <v>7.8</v>
      </c>
      <c r="R10" s="72" t="str">
        <f>'7'!$F$21</f>
        <v/>
      </c>
      <c r="S10" s="72">
        <f>'7'!$F$22</f>
        <v>7.73</v>
      </c>
      <c r="T10" s="72">
        <f>'7'!$F$23</f>
        <v>5.92</v>
      </c>
      <c r="U10" s="72">
        <f>'7'!$F$24</f>
        <v>8.23</v>
      </c>
      <c r="V10" s="72">
        <f>'7'!$F$25</f>
        <v>9.86</v>
      </c>
      <c r="W10" s="72" t="str">
        <f>'7'!$F$26</f>
        <v/>
      </c>
      <c r="X10" s="72">
        <f>'7'!$F$27</f>
        <v>7.91</v>
      </c>
      <c r="Y10" s="72">
        <f>'7'!$F$28</f>
        <v>6.27</v>
      </c>
      <c r="Z10" s="72">
        <f>'7'!$F$29</f>
        <v>6.15</v>
      </c>
      <c r="AA10" s="72">
        <f>'7'!$F$30</f>
        <v>9.75</v>
      </c>
      <c r="AB10" s="72" t="str">
        <f>'7'!$F$31</f>
        <v/>
      </c>
      <c r="AC10" s="72" t="str">
        <f>'7'!$F$32</f>
        <v/>
      </c>
      <c r="AD10" s="93">
        <f>'7'!$F$33</f>
        <v>6.57</v>
      </c>
    </row>
    <row r="11" spans="1:30" x14ac:dyDescent="0.2">
      <c r="A11" s="92" t="s">
        <v>1066</v>
      </c>
      <c r="B11" s="72">
        <f>'8'!$F$5</f>
        <v>4.7699999999999996</v>
      </c>
      <c r="C11" s="72">
        <f>'8'!$F$6</f>
        <v>6.44</v>
      </c>
      <c r="D11" s="72">
        <f>'8'!$F$7</f>
        <v>5.33</v>
      </c>
      <c r="E11" s="72">
        <f>'8'!$F$8</f>
        <v>4.99</v>
      </c>
      <c r="F11" s="72">
        <f>'8'!$F$9</f>
        <v>23.22</v>
      </c>
      <c r="G11" s="72">
        <f>'8'!$F$10</f>
        <v>4.3099999999999996</v>
      </c>
      <c r="H11" s="72">
        <f>'8'!$F$11</f>
        <v>3.77</v>
      </c>
      <c r="I11" s="72">
        <f>'8'!$F$12</f>
        <v>3.82</v>
      </c>
      <c r="J11" s="72">
        <f>'8'!$F$13</f>
        <v>3.53</v>
      </c>
      <c r="K11" s="72" t="str">
        <f>'8'!$F$14</f>
        <v/>
      </c>
      <c r="L11" s="72">
        <f>'8'!$F$15</f>
        <v>4.6500000000000004</v>
      </c>
      <c r="M11" s="72">
        <f>'8'!$F$16</f>
        <v>4.6399999999999997</v>
      </c>
      <c r="N11" s="72">
        <f>'8'!$F$17</f>
        <v>4.4400000000000004</v>
      </c>
      <c r="O11" s="72">
        <f>'8'!$F$18</f>
        <v>8.43</v>
      </c>
      <c r="P11" s="72" t="str">
        <f>'8'!$F$19</f>
        <v/>
      </c>
      <c r="Q11" s="72">
        <f>'8'!$F$20</f>
        <v>7.03</v>
      </c>
      <c r="R11" s="72" t="str">
        <f>'8'!$F$21</f>
        <v/>
      </c>
      <c r="S11" s="72">
        <f>'8'!$F$22</f>
        <v>5.43</v>
      </c>
      <c r="T11" s="72">
        <f>'8'!$F$23</f>
        <v>3.51</v>
      </c>
      <c r="U11" s="72">
        <f>'8'!$F$24</f>
        <v>5.81</v>
      </c>
      <c r="V11" s="72">
        <f>'8'!$F$25</f>
        <v>4.68</v>
      </c>
      <c r="W11" s="72">
        <f>'8'!$F$26</f>
        <v>4.24</v>
      </c>
      <c r="X11" s="72">
        <f>'8'!$F$27</f>
        <v>5.51</v>
      </c>
      <c r="Y11" s="72">
        <f>'8'!$F$28</f>
        <v>3.76</v>
      </c>
      <c r="Z11" s="72">
        <f>'8'!$F$29</f>
        <v>3.25</v>
      </c>
      <c r="AA11" s="72">
        <f>'8'!$F$30</f>
        <v>4.95</v>
      </c>
      <c r="AB11" s="72" t="str">
        <f>'8'!$F$31</f>
        <v/>
      </c>
      <c r="AC11" s="72" t="str">
        <f>'8'!$F$32</f>
        <v/>
      </c>
      <c r="AD11" s="93">
        <f>'8'!$F$33</f>
        <v>4.57</v>
      </c>
    </row>
    <row r="12" spans="1:30" x14ac:dyDescent="0.2">
      <c r="A12" s="92" t="s">
        <v>1023</v>
      </c>
      <c r="B12" s="72">
        <f>'9'!$F$5</f>
        <v>8.9</v>
      </c>
      <c r="C12" s="72">
        <f>'9'!$F$6</f>
        <v>4.66</v>
      </c>
      <c r="D12" s="72">
        <f>'9'!$F$7</f>
        <v>3.49</v>
      </c>
      <c r="E12" s="72">
        <f>'9'!$F$8</f>
        <v>4.2</v>
      </c>
      <c r="F12" s="72" t="str">
        <f>'9'!$F$9</f>
        <v/>
      </c>
      <c r="G12" s="72" t="str">
        <f>'9'!$F$10</f>
        <v/>
      </c>
      <c r="H12" s="72">
        <f>'9'!$F$11</f>
        <v>4.05</v>
      </c>
      <c r="I12" s="72">
        <f>'9'!$F$12</f>
        <v>4.66</v>
      </c>
      <c r="J12" s="72">
        <f>'9'!$F$13</f>
        <v>3.53</v>
      </c>
      <c r="K12" s="72" t="str">
        <f>'9'!$F$14</f>
        <v/>
      </c>
      <c r="L12" s="72">
        <f>'9'!$F$15</f>
        <v>4.66</v>
      </c>
      <c r="M12" s="72">
        <f>'9'!$F$16</f>
        <v>3.84</v>
      </c>
      <c r="N12" s="72">
        <f>'9'!$F$17</f>
        <v>5.38</v>
      </c>
      <c r="O12" s="72">
        <f>'9'!$F$18</f>
        <v>6.86</v>
      </c>
      <c r="P12" s="72" t="str">
        <f>'9'!$F$19</f>
        <v/>
      </c>
      <c r="Q12" s="72">
        <f>'9'!$F$20</f>
        <v>4.6399999999999997</v>
      </c>
      <c r="R12" s="72" t="str">
        <f>'9'!$F$21</f>
        <v/>
      </c>
      <c r="S12" s="72">
        <f>'9'!$F$22</f>
        <v>4.57</v>
      </c>
      <c r="T12" s="72">
        <f>'9'!$F$23</f>
        <v>4.09</v>
      </c>
      <c r="U12" s="72">
        <f>'9'!$F$24</f>
        <v>6.47</v>
      </c>
      <c r="V12" s="72" t="str">
        <f>'9'!$F$25</f>
        <v/>
      </c>
      <c r="W12" s="72">
        <f>'9'!$F$26</f>
        <v>65.739999999999995</v>
      </c>
      <c r="X12" s="72">
        <f>'9'!$F$27</f>
        <v>9.17</v>
      </c>
      <c r="Y12" s="72">
        <f>'9'!$F$28</f>
        <v>6.02</v>
      </c>
      <c r="Z12" s="72">
        <f>'9'!$F$29</f>
        <v>3.47</v>
      </c>
      <c r="AA12" s="72">
        <f>'9'!$F$30</f>
        <v>7.13</v>
      </c>
      <c r="AB12" s="72" t="str">
        <f>'9'!$F$31</f>
        <v/>
      </c>
      <c r="AC12" s="72" t="str">
        <f>'9'!$F$32</f>
        <v/>
      </c>
      <c r="AD12" s="93">
        <f>'9'!$F$33</f>
        <v>4.47</v>
      </c>
    </row>
    <row r="13" spans="1:30" x14ac:dyDescent="0.2">
      <c r="A13" s="92" t="s">
        <v>1033</v>
      </c>
      <c r="B13" s="72">
        <f>'10'!$F$5</f>
        <v>11.4</v>
      </c>
      <c r="C13" s="72">
        <f>'10'!$F$6</f>
        <v>15.16</v>
      </c>
      <c r="D13" s="72">
        <f>'10'!$F$7</f>
        <v>6.44</v>
      </c>
      <c r="E13" s="72">
        <f>'10'!$F$8</f>
        <v>6.39</v>
      </c>
      <c r="F13" s="72" t="str">
        <f>'10'!$F$9</f>
        <v/>
      </c>
      <c r="G13" s="72">
        <f>'10'!$F$10</f>
        <v>6.6</v>
      </c>
      <c r="H13" s="72">
        <f>'10'!$F$11</f>
        <v>9.02</v>
      </c>
      <c r="I13" s="72" t="str">
        <f>'10'!$F$12</f>
        <v/>
      </c>
      <c r="J13" s="72">
        <f>'10'!$F$13</f>
        <v>6.24</v>
      </c>
      <c r="K13" s="72" t="str">
        <f>'10'!$F$14</f>
        <v/>
      </c>
      <c r="L13" s="72">
        <f>'10'!$F$15</f>
        <v>6.92</v>
      </c>
      <c r="M13" s="72">
        <f>'10'!$F$16</f>
        <v>6.68</v>
      </c>
      <c r="N13" s="72">
        <f>'10'!$F$17</f>
        <v>6.6</v>
      </c>
      <c r="O13" s="72" t="str">
        <f>'10'!$F$18</f>
        <v/>
      </c>
      <c r="P13" s="72" t="str">
        <f>'10'!$F$19</f>
        <v/>
      </c>
      <c r="Q13" s="72">
        <f>'10'!$F$20</f>
        <v>5.45</v>
      </c>
      <c r="R13" s="72" t="str">
        <f>'10'!$F$21</f>
        <v/>
      </c>
      <c r="S13" s="72" t="str">
        <f>'10'!$F$22</f>
        <v/>
      </c>
      <c r="T13" s="72">
        <f>'10'!$F$23</f>
        <v>5.84</v>
      </c>
      <c r="U13" s="72" t="str">
        <f>'10'!$F$24</f>
        <v/>
      </c>
      <c r="V13" s="72" t="str">
        <f>'10'!$F$25</f>
        <v/>
      </c>
      <c r="W13" s="72" t="str">
        <f>'10'!$F$26</f>
        <v/>
      </c>
      <c r="X13" s="72">
        <f>'10'!$F$27</f>
        <v>11.68</v>
      </c>
      <c r="Y13" s="72">
        <f>'10'!$F$28</f>
        <v>6.24</v>
      </c>
      <c r="Z13" s="72">
        <f>'10'!$F$29</f>
        <v>7.07</v>
      </c>
      <c r="AA13" s="72">
        <f>'10'!$F$30</f>
        <v>8.6</v>
      </c>
      <c r="AB13" s="72" t="str">
        <f>'10'!$F$31</f>
        <v/>
      </c>
      <c r="AC13" s="72" t="str">
        <f>'10'!$F$32</f>
        <v/>
      </c>
      <c r="AD13" s="93">
        <f>'10'!$F$33</f>
        <v>7.76</v>
      </c>
    </row>
    <row r="14" spans="1:30" x14ac:dyDescent="0.2">
      <c r="A14" s="92" t="s">
        <v>1034</v>
      </c>
      <c r="B14" s="72">
        <f>'11'!$F$5</f>
        <v>5.92</v>
      </c>
      <c r="C14" s="72">
        <f>'11'!$F$6</f>
        <v>6.6</v>
      </c>
      <c r="D14" s="72">
        <f>'11'!$F$7</f>
        <v>6.58</v>
      </c>
      <c r="E14" s="72">
        <f>'11'!$F$8</f>
        <v>7.62</v>
      </c>
      <c r="F14" s="72" t="str">
        <f>'11'!$F$9</f>
        <v/>
      </c>
      <c r="G14" s="72">
        <f>'11'!$F$10</f>
        <v>7.32</v>
      </c>
      <c r="H14" s="72">
        <f>'11'!$F$11</f>
        <v>6.34</v>
      </c>
      <c r="I14" s="72">
        <f>'11'!$F$12</f>
        <v>16.5</v>
      </c>
      <c r="J14" s="72">
        <f>'11'!$F$13</f>
        <v>4.53</v>
      </c>
      <c r="K14" s="72" t="str">
        <f>'11'!$F$14</f>
        <v/>
      </c>
      <c r="L14" s="72">
        <f>'11'!$F$15</f>
        <v>5.45</v>
      </c>
      <c r="M14" s="72">
        <f>'11'!$F$16</f>
        <v>5.91</v>
      </c>
      <c r="N14" s="72">
        <f>'11'!$F$17</f>
        <v>6.64</v>
      </c>
      <c r="O14" s="72">
        <f>'11'!$F$18</f>
        <v>3.31</v>
      </c>
      <c r="P14" s="72">
        <f>'11'!$F$19</f>
        <v>12.04</v>
      </c>
      <c r="Q14" s="72">
        <f>'11'!$F$20</f>
        <v>5.54</v>
      </c>
      <c r="R14" s="72" t="str">
        <f>'11'!$F$21</f>
        <v/>
      </c>
      <c r="S14" s="72">
        <f>'11'!$F$22</f>
        <v>6.33</v>
      </c>
      <c r="T14" s="72">
        <f>'11'!$F$23</f>
        <v>5.24</v>
      </c>
      <c r="U14" s="72">
        <f>'11'!$F$24</f>
        <v>5.69</v>
      </c>
      <c r="V14" s="72">
        <f>'11'!$F$25</f>
        <v>20.05</v>
      </c>
      <c r="W14" s="72">
        <f>'11'!$F$26</f>
        <v>16.010000000000002</v>
      </c>
      <c r="X14" s="72">
        <f>'11'!$F$27</f>
        <v>6.52</v>
      </c>
      <c r="Y14" s="72">
        <f>'11'!$F$28</f>
        <v>7.9</v>
      </c>
      <c r="Z14" s="72">
        <f>'11'!$F$29</f>
        <v>5.75</v>
      </c>
      <c r="AA14" s="72">
        <f>'11'!$F$30</f>
        <v>8.58</v>
      </c>
      <c r="AB14" s="72" t="str">
        <f>'11'!$F$31</f>
        <v/>
      </c>
      <c r="AC14" s="72" t="str">
        <f>'11'!$F$32</f>
        <v/>
      </c>
      <c r="AD14" s="93">
        <f>'11'!$F$33</f>
        <v>6.42</v>
      </c>
    </row>
    <row r="15" spans="1:30" x14ac:dyDescent="0.2">
      <c r="A15" s="92" t="s">
        <v>936</v>
      </c>
      <c r="B15" s="72">
        <f>'12'!$F$5</f>
        <v>12.11</v>
      </c>
      <c r="C15" s="72">
        <f>'12'!$F$6</f>
        <v>26.99</v>
      </c>
      <c r="D15" s="72">
        <f>'12'!$F$7</f>
        <v>8.24</v>
      </c>
      <c r="E15" s="72">
        <f>'12'!$F$8</f>
        <v>10.68</v>
      </c>
      <c r="F15" s="72" t="str">
        <f>'12'!$F$9</f>
        <v/>
      </c>
      <c r="G15" s="72">
        <f>'12'!$F$10</f>
        <v>61.6</v>
      </c>
      <c r="H15" s="72">
        <f>'12'!$F$11</f>
        <v>20.52</v>
      </c>
      <c r="I15" s="72">
        <f>'12'!$F$12</f>
        <v>13.53</v>
      </c>
      <c r="J15" s="72">
        <f>'12'!$F$13</f>
        <v>10.67</v>
      </c>
      <c r="K15" s="72" t="str">
        <f>'12'!$F$14</f>
        <v/>
      </c>
      <c r="L15" s="72">
        <f>'12'!$F$15</f>
        <v>12.58</v>
      </c>
      <c r="M15" s="72">
        <f>'12'!$F$16</f>
        <v>9.02</v>
      </c>
      <c r="N15" s="72">
        <f>'12'!$F$17</f>
        <v>8.48</v>
      </c>
      <c r="O15" s="72">
        <f>'12'!$F$18</f>
        <v>101.28</v>
      </c>
      <c r="P15" s="72" t="str">
        <f>'12'!$F$19</f>
        <v/>
      </c>
      <c r="Q15" s="72">
        <f>'12'!$F$20</f>
        <v>8.8800000000000008</v>
      </c>
      <c r="R15" s="72" t="str">
        <f>'12'!$F$21</f>
        <v/>
      </c>
      <c r="S15" s="72" t="str">
        <f>'12'!$F$22</f>
        <v/>
      </c>
      <c r="T15" s="72">
        <f>'12'!$F$23</f>
        <v>8.33</v>
      </c>
      <c r="U15" s="72" t="str">
        <f>'12'!$F$24</f>
        <v/>
      </c>
      <c r="V15" s="72">
        <f>'12'!$F$25</f>
        <v>23.88</v>
      </c>
      <c r="W15" s="72" t="str">
        <f>'12'!$F$26</f>
        <v/>
      </c>
      <c r="X15" s="72">
        <f>'12'!$F$27</f>
        <v>17.43</v>
      </c>
      <c r="Y15" s="72">
        <f>'12'!$F$28</f>
        <v>8.9499999999999993</v>
      </c>
      <c r="Z15" s="72">
        <f>'12'!$F$29</f>
        <v>7.36</v>
      </c>
      <c r="AA15" s="72">
        <f>'12'!$F$30</f>
        <v>12.73</v>
      </c>
      <c r="AB15" s="72" t="str">
        <f>'12'!$F$31</f>
        <v/>
      </c>
      <c r="AC15" s="72" t="str">
        <f>'12'!$F$32</f>
        <v/>
      </c>
      <c r="AD15" s="93">
        <f>'12'!$F$33</f>
        <v>10.88</v>
      </c>
    </row>
    <row r="16" spans="1:30" x14ac:dyDescent="0.2">
      <c r="A16" s="92" t="s">
        <v>1057</v>
      </c>
      <c r="B16" s="72">
        <f>'13'!$F$5</f>
        <v>6.17</v>
      </c>
      <c r="C16" s="72">
        <f>'13'!$F$6</f>
        <v>12.17</v>
      </c>
      <c r="D16" s="72">
        <f>'13'!$F$7</f>
        <v>6.33</v>
      </c>
      <c r="E16" s="72">
        <f>'13'!$F$8</f>
        <v>7.67</v>
      </c>
      <c r="F16" s="72">
        <f>'13'!$F$9</f>
        <v>8.2899999999999991</v>
      </c>
      <c r="G16" s="72">
        <f>'13'!$F$10</f>
        <v>6.57</v>
      </c>
      <c r="H16" s="72">
        <f>'13'!$F$11</f>
        <v>5.95</v>
      </c>
      <c r="I16" s="72">
        <f>'13'!$F$12</f>
        <v>8.3000000000000007</v>
      </c>
      <c r="J16" s="72">
        <f>'13'!$F$13</f>
        <v>6.46</v>
      </c>
      <c r="K16" s="72" t="str">
        <f>'13'!$F$14</f>
        <v/>
      </c>
      <c r="L16" s="72">
        <f>'13'!$F$15</f>
        <v>8.74</v>
      </c>
      <c r="M16" s="72">
        <f>'13'!$F$16</f>
        <v>6.33</v>
      </c>
      <c r="N16" s="72">
        <f>'13'!$F$17</f>
        <v>7.07</v>
      </c>
      <c r="O16" s="72">
        <f>'13'!$F$18</f>
        <v>10.23</v>
      </c>
      <c r="P16" s="72">
        <f>'13'!$F$19</f>
        <v>29.56</v>
      </c>
      <c r="Q16" s="72">
        <f>'13'!$F$20</f>
        <v>7.3</v>
      </c>
      <c r="R16" s="72">
        <f>'13'!$F$21</f>
        <v>9.4</v>
      </c>
      <c r="S16" s="72" t="str">
        <f>'13'!$F$22</f>
        <v/>
      </c>
      <c r="T16" s="72">
        <f>'13'!$F$23</f>
        <v>5.27</v>
      </c>
      <c r="U16" s="72" t="str">
        <f>'13'!$F$24</f>
        <v/>
      </c>
      <c r="V16" s="72" t="str">
        <f>'13'!$F$25</f>
        <v/>
      </c>
      <c r="W16" s="72">
        <f>'13'!$F$26</f>
        <v>8.42</v>
      </c>
      <c r="X16" s="72">
        <f>'13'!$F$27</f>
        <v>8.0399999999999991</v>
      </c>
      <c r="Y16" s="72">
        <f>'13'!$F$28</f>
        <v>8.99</v>
      </c>
      <c r="Z16" s="72">
        <f>'13'!$F$29</f>
        <v>5.41</v>
      </c>
      <c r="AA16" s="72">
        <f>'13'!$F$30</f>
        <v>9.0500000000000007</v>
      </c>
      <c r="AB16" s="72" t="str">
        <f>'13'!$F$31</f>
        <v/>
      </c>
      <c r="AC16" s="72" t="str">
        <f>'13'!$F$32</f>
        <v/>
      </c>
      <c r="AD16" s="93">
        <f>'13'!$F$33</f>
        <v>6.7</v>
      </c>
    </row>
    <row r="17" spans="1:30" x14ac:dyDescent="0.2">
      <c r="A17" s="92" t="s">
        <v>1058</v>
      </c>
      <c r="B17" s="72">
        <f>'14'!$F$5</f>
        <v>16.440000000000001</v>
      </c>
      <c r="C17" s="72">
        <f>'14'!$F$6</f>
        <v>5.91</v>
      </c>
      <c r="D17" s="72">
        <f>'14'!$F$7</f>
        <v>7.2</v>
      </c>
      <c r="E17" s="72">
        <f>'14'!$F$8</f>
        <v>7.46</v>
      </c>
      <c r="F17" s="72">
        <f>'14'!$F$9</f>
        <v>9.32</v>
      </c>
      <c r="G17" s="72">
        <f>'14'!$F$10</f>
        <v>12.86</v>
      </c>
      <c r="H17" s="72">
        <f>'14'!$F$11</f>
        <v>8.6300000000000008</v>
      </c>
      <c r="I17" s="72">
        <f>'14'!$F$12</f>
        <v>13.81</v>
      </c>
      <c r="J17" s="72">
        <f>'14'!$F$13</f>
        <v>5.88</v>
      </c>
      <c r="K17" s="72">
        <f>'14'!$F$14</f>
        <v>6.18</v>
      </c>
      <c r="L17" s="72">
        <f>'14'!$F$15</f>
        <v>5.98</v>
      </c>
      <c r="M17" s="72">
        <f>'14'!$F$16</f>
        <v>7.28</v>
      </c>
      <c r="N17" s="72">
        <f>'14'!$F$17</f>
        <v>7.11</v>
      </c>
      <c r="O17" s="72">
        <f>'14'!$F$18</f>
        <v>11.75</v>
      </c>
      <c r="P17" s="72" t="str">
        <f>'14'!$F$19</f>
        <v/>
      </c>
      <c r="Q17" s="72">
        <f>'14'!$F$20</f>
        <v>8.34</v>
      </c>
      <c r="R17" s="72">
        <f>'14'!$F$21</f>
        <v>7.92</v>
      </c>
      <c r="S17" s="72">
        <f>'14'!$F$22</f>
        <v>14.51</v>
      </c>
      <c r="T17" s="72">
        <f>'14'!$F$23</f>
        <v>6.45</v>
      </c>
      <c r="U17" s="72">
        <f>'14'!$F$24</f>
        <v>9.6300000000000008</v>
      </c>
      <c r="V17" s="72">
        <f>'14'!$F$25</f>
        <v>5.85</v>
      </c>
      <c r="W17" s="72">
        <f>'14'!$F$26</f>
        <v>21.8</v>
      </c>
      <c r="X17" s="72">
        <f>'14'!$F$27</f>
        <v>8.68</v>
      </c>
      <c r="Y17" s="72">
        <f>'14'!$F$28</f>
        <v>6.16</v>
      </c>
      <c r="Z17" s="72">
        <f>'14'!$F$29</f>
        <v>6.39</v>
      </c>
      <c r="AA17" s="72">
        <f>'14'!$F$30</f>
        <v>9.23</v>
      </c>
      <c r="AB17" s="72" t="str">
        <f>'14'!$F$31</f>
        <v/>
      </c>
      <c r="AC17" s="72" t="str">
        <f>'14'!$F$32</f>
        <v/>
      </c>
      <c r="AD17" s="93">
        <f>'14'!$F$33</f>
        <v>7.5</v>
      </c>
    </row>
    <row r="18" spans="1:30" x14ac:dyDescent="0.2">
      <c r="A18" s="92" t="s">
        <v>1035</v>
      </c>
      <c r="B18" s="72" t="str">
        <f>'15'!$F$5</f>
        <v/>
      </c>
      <c r="C18" s="72">
        <f>'15'!$F$6</f>
        <v>8.1300000000000008</v>
      </c>
      <c r="D18" s="72">
        <f>'15'!$F$7</f>
        <v>7.46</v>
      </c>
      <c r="E18" s="72">
        <f>'15'!$F$8</f>
        <v>8.52</v>
      </c>
      <c r="F18" s="72" t="str">
        <f>'15'!$F$9</f>
        <v/>
      </c>
      <c r="G18" s="72">
        <f>'15'!$F$10</f>
        <v>11.63</v>
      </c>
      <c r="H18" s="72">
        <f>'15'!$F$11</f>
        <v>7.68</v>
      </c>
      <c r="I18" s="72">
        <f>'15'!$F$12</f>
        <v>6.82</v>
      </c>
      <c r="J18" s="72">
        <f>'15'!$F$13</f>
        <v>7.88</v>
      </c>
      <c r="K18" s="72" t="str">
        <f>'15'!$F$14</f>
        <v/>
      </c>
      <c r="L18" s="72">
        <f>'15'!$F$15</f>
        <v>8.77</v>
      </c>
      <c r="M18" s="72">
        <f>'15'!$F$16</f>
        <v>8.5299999999999994</v>
      </c>
      <c r="N18" s="72">
        <f>'15'!$F$17</f>
        <v>8.33</v>
      </c>
      <c r="O18" s="72">
        <f>'15'!$F$18</f>
        <v>10.82</v>
      </c>
      <c r="P18" s="72">
        <f>'15'!$F$19</f>
        <v>15</v>
      </c>
      <c r="Q18" s="72">
        <f>'15'!$F$20</f>
        <v>8.52</v>
      </c>
      <c r="R18" s="72">
        <f>'15'!$F$21</f>
        <v>16.27</v>
      </c>
      <c r="S18" s="72">
        <f>'15'!$F$22</f>
        <v>9.27</v>
      </c>
      <c r="T18" s="72">
        <f>'15'!$F$23</f>
        <v>8.11</v>
      </c>
      <c r="U18" s="72">
        <f>'15'!$F$24</f>
        <v>8.6</v>
      </c>
      <c r="V18" s="72">
        <f>'15'!$F$25</f>
        <v>9.14</v>
      </c>
      <c r="W18" s="72">
        <f>'15'!$F$26</f>
        <v>7.89</v>
      </c>
      <c r="X18" s="72">
        <f>'15'!$F$27</f>
        <v>8.0500000000000007</v>
      </c>
      <c r="Y18" s="72">
        <f>'15'!$F$28</f>
        <v>7.78</v>
      </c>
      <c r="Z18" s="72">
        <f>'15'!$F$29</f>
        <v>7.41</v>
      </c>
      <c r="AA18" s="72">
        <f>'15'!$F$30</f>
        <v>11.84</v>
      </c>
      <c r="AB18" s="72" t="str">
        <f>'15'!$F$31</f>
        <v/>
      </c>
      <c r="AC18" s="72" t="str">
        <f>'15'!$F$32</f>
        <v/>
      </c>
      <c r="AD18" s="93">
        <f>'15'!$F$33</f>
        <v>8.49</v>
      </c>
    </row>
    <row r="19" spans="1:30" x14ac:dyDescent="0.2">
      <c r="A19" s="91" t="s">
        <v>1059</v>
      </c>
      <c r="B19" s="72" t="str">
        <f>'16'!$F$5</f>
        <v/>
      </c>
      <c r="C19" s="72">
        <f>'16'!$F$6</f>
        <v>17.87</v>
      </c>
      <c r="D19" s="72">
        <f>'16'!$F$7</f>
        <v>6.17</v>
      </c>
      <c r="E19" s="72">
        <f>'16'!$F$8</f>
        <v>6.62</v>
      </c>
      <c r="F19" s="72" t="str">
        <f>'16'!$F$9</f>
        <v/>
      </c>
      <c r="G19" s="72">
        <f>'16'!$F$10</f>
        <v>22.65</v>
      </c>
      <c r="H19" s="72">
        <f>'16'!$F$11</f>
        <v>7.6</v>
      </c>
      <c r="I19" s="72" t="str">
        <f>'16'!$F$12</f>
        <v/>
      </c>
      <c r="J19" s="72">
        <f>'16'!$F$13</f>
        <v>4.8899999999999997</v>
      </c>
      <c r="K19" s="72">
        <f>'16'!$F$14</f>
        <v>3.85</v>
      </c>
      <c r="L19" s="72" t="str">
        <f>'16'!$F$15</f>
        <v/>
      </c>
      <c r="M19" s="72">
        <f>'16'!$F$16</f>
        <v>6.75</v>
      </c>
      <c r="N19" s="72">
        <f>'16'!$F$17</f>
        <v>8.01</v>
      </c>
      <c r="O19" s="72">
        <f>'16'!$F$18</f>
        <v>13.15</v>
      </c>
      <c r="P19" s="72">
        <f>'16'!$F$19</f>
        <v>14.94</v>
      </c>
      <c r="Q19" s="72">
        <f>'16'!$F$20</f>
        <v>10.06</v>
      </c>
      <c r="R19" s="72" t="str">
        <f>'16'!$F$21</f>
        <v/>
      </c>
      <c r="S19" s="72">
        <f>'16'!$F$22</f>
        <v>3.85</v>
      </c>
      <c r="T19" s="72">
        <f>'16'!$F$23</f>
        <v>6.27</v>
      </c>
      <c r="U19" s="72">
        <f>'16'!$F$24</f>
        <v>7.42</v>
      </c>
      <c r="V19" s="72" t="str">
        <f>'16'!$F$25</f>
        <v/>
      </c>
      <c r="W19" s="72">
        <f>'16'!$F$26</f>
        <v>6.01</v>
      </c>
      <c r="X19" s="72">
        <f>'16'!$F$27</f>
        <v>15.51</v>
      </c>
      <c r="Y19" s="72">
        <f>'16'!$F$28</f>
        <v>7.11</v>
      </c>
      <c r="Z19" s="72">
        <f>'16'!$F$29</f>
        <v>6.43</v>
      </c>
      <c r="AA19" s="72">
        <f>'16'!$F$30</f>
        <v>6.54</v>
      </c>
      <c r="AB19" s="72" t="str">
        <f>'16'!$F$31</f>
        <v/>
      </c>
      <c r="AC19" s="72" t="str">
        <f>'16'!$F$32</f>
        <v/>
      </c>
      <c r="AD19" s="93">
        <f>'16'!$F$33</f>
        <v>6.95</v>
      </c>
    </row>
    <row r="20" spans="1:30" x14ac:dyDescent="0.2">
      <c r="A20" s="92" t="s">
        <v>1036</v>
      </c>
      <c r="B20" s="72">
        <f>'17'!$F$5</f>
        <v>7.75</v>
      </c>
      <c r="C20" s="72">
        <f>'17'!$F$6</f>
        <v>4.9800000000000004</v>
      </c>
      <c r="D20" s="72">
        <f>'17'!$F$7</f>
        <v>5.68</v>
      </c>
      <c r="E20" s="72">
        <f>'17'!$F$8</f>
        <v>5.21</v>
      </c>
      <c r="F20" s="72" t="str">
        <f>'17'!$F$9</f>
        <v/>
      </c>
      <c r="G20" s="72">
        <f>'17'!$F$10</f>
        <v>5.2</v>
      </c>
      <c r="H20" s="72">
        <f>'17'!$F$11</f>
        <v>9.39</v>
      </c>
      <c r="I20" s="72">
        <f>'17'!$F$12</f>
        <v>26.12</v>
      </c>
      <c r="J20" s="72">
        <f>'17'!$F$13</f>
        <v>9.85</v>
      </c>
      <c r="K20" s="72" t="str">
        <f>'17'!$F$14</f>
        <v/>
      </c>
      <c r="L20" s="72">
        <f>'17'!$F$15</f>
        <v>4.32</v>
      </c>
      <c r="M20" s="72">
        <f>'17'!$F$16</f>
        <v>4.96</v>
      </c>
      <c r="N20" s="72">
        <f>'17'!$F$17</f>
        <v>5.59</v>
      </c>
      <c r="O20" s="72" t="str">
        <f>'17'!$F$18</f>
        <v/>
      </c>
      <c r="P20" s="72" t="str">
        <f>'17'!$F$19</f>
        <v/>
      </c>
      <c r="Q20" s="72">
        <f>'17'!$F$20</f>
        <v>3.78</v>
      </c>
      <c r="R20" s="72" t="str">
        <f>'17'!$F$21</f>
        <v/>
      </c>
      <c r="S20" s="72">
        <f>'17'!$F$22</f>
        <v>7.31</v>
      </c>
      <c r="T20" s="72">
        <f>'17'!$F$23</f>
        <v>5.26</v>
      </c>
      <c r="U20" s="72">
        <f>'17'!$F$24</f>
        <v>5.08</v>
      </c>
      <c r="V20" s="72">
        <f>'17'!$F$25</f>
        <v>4.9400000000000004</v>
      </c>
      <c r="W20" s="72" t="str">
        <f>'17'!$F$26</f>
        <v/>
      </c>
      <c r="X20" s="72">
        <f>'17'!$F$27</f>
        <v>7.4</v>
      </c>
      <c r="Y20" s="72">
        <f>'17'!$F$28</f>
        <v>3.83</v>
      </c>
      <c r="Z20" s="72">
        <f>'17'!$F$29</f>
        <v>5.08</v>
      </c>
      <c r="AA20" s="72">
        <f>'17'!$F$30</f>
        <v>6.41</v>
      </c>
      <c r="AB20" s="72" t="str">
        <f>'17'!$F$31</f>
        <v/>
      </c>
      <c r="AC20" s="72" t="str">
        <f>'17'!$F$32</f>
        <v/>
      </c>
      <c r="AD20" s="93">
        <f>'17'!$F$33</f>
        <v>6.08</v>
      </c>
    </row>
    <row r="21" spans="1:30" x14ac:dyDescent="0.2">
      <c r="A21" s="92" t="s">
        <v>1037</v>
      </c>
      <c r="B21" s="72" t="str">
        <f>'18'!$F$5</f>
        <v/>
      </c>
      <c r="C21" s="72">
        <f>'18'!$F$6</f>
        <v>7.45</v>
      </c>
      <c r="D21" s="72">
        <f>'18'!$F$7</f>
        <v>7.72</v>
      </c>
      <c r="E21" s="72">
        <f>'18'!$F$8</f>
        <v>7.97</v>
      </c>
      <c r="F21" s="72" t="str">
        <f>'18'!$F$9</f>
        <v/>
      </c>
      <c r="G21" s="72">
        <f>'18'!$F$10</f>
        <v>50.64</v>
      </c>
      <c r="H21" s="72">
        <f>'18'!$F$11</f>
        <v>9.67</v>
      </c>
      <c r="I21" s="72" t="str">
        <f>'18'!$F$12</f>
        <v/>
      </c>
      <c r="J21" s="72">
        <f>'18'!$F$13</f>
        <v>9.27</v>
      </c>
      <c r="K21" s="72" t="str">
        <f>'18'!$F$14</f>
        <v/>
      </c>
      <c r="L21" s="72">
        <f>'18'!$F$15</f>
        <v>20.66</v>
      </c>
      <c r="M21" s="72">
        <f>'18'!$F$16</f>
        <v>7.19</v>
      </c>
      <c r="N21" s="72">
        <f>'18'!$F$17</f>
        <v>5.96</v>
      </c>
      <c r="O21" s="72">
        <f>'18'!$F$18</f>
        <v>10.79</v>
      </c>
      <c r="P21" s="72" t="str">
        <f>'18'!$F$19</f>
        <v/>
      </c>
      <c r="Q21" s="72">
        <f>'18'!$F$20</f>
        <v>8.1</v>
      </c>
      <c r="R21" s="72" t="str">
        <f>'18'!$F$21</f>
        <v/>
      </c>
      <c r="S21" s="72">
        <f>'18'!$F$22</f>
        <v>9.24</v>
      </c>
      <c r="T21" s="72">
        <f>'18'!$F$23</f>
        <v>6.43</v>
      </c>
      <c r="U21" s="72" t="str">
        <f>'18'!$F$24</f>
        <v/>
      </c>
      <c r="V21" s="72">
        <f>'18'!$F$25</f>
        <v>16.48</v>
      </c>
      <c r="W21" s="72" t="str">
        <f>'18'!$F$26</f>
        <v/>
      </c>
      <c r="X21" s="72">
        <f>'18'!$F$27</f>
        <v>15.88</v>
      </c>
      <c r="Y21" s="72">
        <f>'18'!$F$28</f>
        <v>8.9499999999999993</v>
      </c>
      <c r="Z21" s="72">
        <f>'18'!$F$29</f>
        <v>7.59</v>
      </c>
      <c r="AA21" s="72">
        <f>'18'!$F$30</f>
        <v>8.33</v>
      </c>
      <c r="AB21" s="72" t="str">
        <f>'18'!$F$31</f>
        <v/>
      </c>
      <c r="AC21" s="72" t="str">
        <f>'18'!$F$32</f>
        <v/>
      </c>
      <c r="AD21" s="93">
        <f>'18'!$F$33</f>
        <v>8.43</v>
      </c>
    </row>
    <row r="22" spans="1:30" x14ac:dyDescent="0.2">
      <c r="A22" s="92" t="s">
        <v>1067</v>
      </c>
      <c r="B22" s="72">
        <f>'19'!$F$5</f>
        <v>5.81</v>
      </c>
      <c r="C22" s="72">
        <f>'19'!$F$6</f>
        <v>7.02</v>
      </c>
      <c r="D22" s="72">
        <f>'19'!$F$7</f>
        <v>4.59</v>
      </c>
      <c r="E22" s="72">
        <f>'19'!$F$8</f>
        <v>5.59</v>
      </c>
      <c r="F22" s="72" t="str">
        <f>'19'!$F$9</f>
        <v/>
      </c>
      <c r="G22" s="72">
        <f>'19'!$F$10</f>
        <v>3.07</v>
      </c>
      <c r="H22" s="72">
        <f>'19'!$F$11</f>
        <v>6.9</v>
      </c>
      <c r="I22" s="72">
        <f>'19'!$F$12</f>
        <v>3.54</v>
      </c>
      <c r="J22" s="72">
        <f>'19'!$F$13</f>
        <v>4.5199999999999996</v>
      </c>
      <c r="K22" s="72">
        <f>'19'!$F$14</f>
        <v>3.68</v>
      </c>
      <c r="L22" s="72">
        <f>'19'!$F$15</f>
        <v>5.86</v>
      </c>
      <c r="M22" s="72">
        <f>'19'!$F$16</f>
        <v>5.21</v>
      </c>
      <c r="N22" s="72">
        <f>'19'!$F$17</f>
        <v>4.8499999999999996</v>
      </c>
      <c r="O22" s="72">
        <f>'19'!$F$18</f>
        <v>7.86</v>
      </c>
      <c r="P22" s="72" t="str">
        <f>'19'!$F$19</f>
        <v/>
      </c>
      <c r="Q22" s="72">
        <f>'19'!$F$20</f>
        <v>4.76</v>
      </c>
      <c r="R22" s="72" t="str">
        <f>'19'!$F$21</f>
        <v/>
      </c>
      <c r="S22" s="72">
        <f>'19'!$F$22</f>
        <v>5.49</v>
      </c>
      <c r="T22" s="72">
        <f>'19'!$F$23</f>
        <v>4.5199999999999996</v>
      </c>
      <c r="U22" s="72">
        <f>'19'!$F$24</f>
        <v>5.23</v>
      </c>
      <c r="V22" s="72">
        <f>'19'!$F$25</f>
        <v>2.33</v>
      </c>
      <c r="W22" s="72">
        <f>'19'!$F$26</f>
        <v>6.16</v>
      </c>
      <c r="X22" s="72">
        <f>'19'!$F$27</f>
        <v>9.6199999999999992</v>
      </c>
      <c r="Y22" s="72">
        <f>'19'!$F$28</f>
        <v>6.25</v>
      </c>
      <c r="Z22" s="72">
        <f>'19'!$F$29</f>
        <v>4.47</v>
      </c>
      <c r="AA22" s="72">
        <f>'19'!$F$30</f>
        <v>5.6</v>
      </c>
      <c r="AB22" s="72" t="str">
        <f>'19'!$F$31</f>
        <v/>
      </c>
      <c r="AC22" s="72" t="str">
        <f>'19'!$F$32</f>
        <v/>
      </c>
      <c r="AD22" s="93">
        <f>'19'!$F$33</f>
        <v>5.44</v>
      </c>
    </row>
    <row r="23" spans="1:30" x14ac:dyDescent="0.2">
      <c r="A23" s="92" t="s">
        <v>1038</v>
      </c>
      <c r="B23" s="72">
        <f>'20'!$F$5</f>
        <v>7.75</v>
      </c>
      <c r="C23" s="72">
        <f>'20'!$F$6</f>
        <v>7.07</v>
      </c>
      <c r="D23" s="72">
        <f>'20'!$F$7</f>
        <v>5.04</v>
      </c>
      <c r="E23" s="72">
        <f>'20'!$F$8</f>
        <v>2.71</v>
      </c>
      <c r="F23" s="72" t="str">
        <f>'20'!$F$9</f>
        <v/>
      </c>
      <c r="G23" s="72">
        <f>'20'!$F$10</f>
        <v>4.7699999999999996</v>
      </c>
      <c r="H23" s="72">
        <f>'20'!$F$11</f>
        <v>6.71</v>
      </c>
      <c r="I23" s="72">
        <f>'20'!$F$12</f>
        <v>4.09</v>
      </c>
      <c r="J23" s="72">
        <f>'20'!$F$13</f>
        <v>3.97</v>
      </c>
      <c r="K23" s="72" t="str">
        <f>'20'!$F$14</f>
        <v/>
      </c>
      <c r="L23" s="72">
        <f>'20'!$F$15</f>
        <v>5.63</v>
      </c>
      <c r="M23" s="72">
        <f>'20'!$F$16</f>
        <v>4.25</v>
      </c>
      <c r="N23" s="72">
        <f>'20'!$F$17</f>
        <v>4.59</v>
      </c>
      <c r="O23" s="72" t="str">
        <f>'20'!$F$18</f>
        <v/>
      </c>
      <c r="P23" s="72" t="str">
        <f>'20'!$F$19</f>
        <v/>
      </c>
      <c r="Q23" s="72">
        <f>'20'!$F$20</f>
        <v>4.07</v>
      </c>
      <c r="R23" s="72" t="str">
        <f>'20'!$F$21</f>
        <v/>
      </c>
      <c r="S23" s="72">
        <f>'20'!$F$22</f>
        <v>6.33</v>
      </c>
      <c r="T23" s="72">
        <f>'20'!$F$23</f>
        <v>3.71</v>
      </c>
      <c r="U23" s="72">
        <f>'20'!$F$24</f>
        <v>6.27</v>
      </c>
      <c r="V23" s="72">
        <f>'20'!$F$25</f>
        <v>4.1900000000000004</v>
      </c>
      <c r="W23" s="72">
        <f>'20'!$F$26</f>
        <v>7.33</v>
      </c>
      <c r="X23" s="72">
        <f>'20'!$F$27</f>
        <v>6.96</v>
      </c>
      <c r="Y23" s="72">
        <f>'20'!$F$28</f>
        <v>5.28</v>
      </c>
      <c r="Z23" s="72">
        <f>'20'!$F$29</f>
        <v>4.51</v>
      </c>
      <c r="AA23" s="72">
        <f>'20'!$F$30</f>
        <v>5.51</v>
      </c>
      <c r="AB23" s="72" t="str">
        <f>'20'!$F$31</f>
        <v/>
      </c>
      <c r="AC23" s="72" t="str">
        <f>'20'!$F$32</f>
        <v/>
      </c>
      <c r="AD23" s="93">
        <f>'20'!$F$33</f>
        <v>4.84</v>
      </c>
    </row>
    <row r="24" spans="1:30" x14ac:dyDescent="0.2">
      <c r="A24" s="92" t="s">
        <v>1060</v>
      </c>
      <c r="B24" s="72">
        <f>'21'!$F$5</f>
        <v>9.68</v>
      </c>
      <c r="C24" s="72">
        <f>'21'!$F$6</f>
        <v>5.99</v>
      </c>
      <c r="D24" s="72">
        <f>'21'!$F$7</f>
        <v>7.84</v>
      </c>
      <c r="E24" s="72">
        <f>'21'!$F$8</f>
        <v>7.65</v>
      </c>
      <c r="F24" s="72" t="str">
        <f>'21'!$F$9</f>
        <v/>
      </c>
      <c r="G24" s="72">
        <f>'21'!$F$10</f>
        <v>14.72</v>
      </c>
      <c r="H24" s="72">
        <f>'21'!$F$11</f>
        <v>15.08</v>
      </c>
      <c r="I24" s="72">
        <f>'21'!$F$12</f>
        <v>7.52</v>
      </c>
      <c r="J24" s="72">
        <f>'21'!$F$13</f>
        <v>7.62</v>
      </c>
      <c r="K24" s="72" t="str">
        <f>'21'!$F$14</f>
        <v/>
      </c>
      <c r="L24" s="72">
        <f>'21'!$F$15</f>
        <v>12.54</v>
      </c>
      <c r="M24" s="72">
        <f>'21'!$F$16</f>
        <v>7.74</v>
      </c>
      <c r="N24" s="72">
        <f>'21'!$F$17</f>
        <v>7.78</v>
      </c>
      <c r="O24" s="72">
        <f>'21'!$F$18</f>
        <v>13.7</v>
      </c>
      <c r="P24" s="72" t="str">
        <f>'21'!$F$19</f>
        <v/>
      </c>
      <c r="Q24" s="72">
        <f>'21'!$F$20</f>
        <v>9.1300000000000008</v>
      </c>
      <c r="R24" s="72">
        <f>'21'!$F$21</f>
        <v>18.23</v>
      </c>
      <c r="S24" s="72">
        <f>'21'!$F$22</f>
        <v>11.04</v>
      </c>
      <c r="T24" s="72">
        <f>'21'!$F$23</f>
        <v>7.28</v>
      </c>
      <c r="U24" s="72">
        <f>'21'!$F$24</f>
        <v>11.62</v>
      </c>
      <c r="V24" s="72">
        <f>'21'!$F$25</f>
        <v>10.32</v>
      </c>
      <c r="W24" s="72">
        <f>'21'!$F$26</f>
        <v>26.31</v>
      </c>
      <c r="X24" s="72">
        <f>'21'!$F$27</f>
        <v>13.88</v>
      </c>
      <c r="Y24" s="72">
        <f>'21'!$F$28</f>
        <v>16.25</v>
      </c>
      <c r="Z24" s="72">
        <f>'21'!$F$29</f>
        <v>7.15</v>
      </c>
      <c r="AA24" s="72">
        <f>'21'!$F$30</f>
        <v>10.16</v>
      </c>
      <c r="AB24" s="72" t="str">
        <f>'21'!$F$31</f>
        <v/>
      </c>
      <c r="AC24" s="72" t="str">
        <f>'21'!$F$32</f>
        <v/>
      </c>
      <c r="AD24" s="93">
        <f>'21'!$F$33</f>
        <v>8.68</v>
      </c>
    </row>
    <row r="25" spans="1:30" x14ac:dyDescent="0.2">
      <c r="A25" s="92" t="s">
        <v>1039</v>
      </c>
      <c r="B25" s="72">
        <f>'22'!$F$5</f>
        <v>6.23</v>
      </c>
      <c r="C25" s="72">
        <f>'22'!$F$6</f>
        <v>6.06</v>
      </c>
      <c r="D25" s="72">
        <f>'22'!$F$7</f>
        <v>6.22</v>
      </c>
      <c r="E25" s="72">
        <f>'22'!$F$8</f>
        <v>4.42</v>
      </c>
      <c r="F25" s="72" t="str">
        <f>'22'!$F$9</f>
        <v/>
      </c>
      <c r="G25" s="72">
        <f>'22'!$F$10</f>
        <v>3.29</v>
      </c>
      <c r="H25" s="72">
        <f>'22'!$F$11</f>
        <v>5.64</v>
      </c>
      <c r="I25" s="72">
        <f>'22'!$F$12</f>
        <v>6.02</v>
      </c>
      <c r="J25" s="72">
        <f>'22'!$F$13</f>
        <v>3.91</v>
      </c>
      <c r="K25" s="72" t="str">
        <f>'22'!$F$14</f>
        <v/>
      </c>
      <c r="L25" s="72">
        <f>'22'!$F$15</f>
        <v>5.64</v>
      </c>
      <c r="M25" s="72">
        <f>'22'!$F$16</f>
        <v>5.38</v>
      </c>
      <c r="N25" s="72">
        <f>'22'!$F$17</f>
        <v>4.2</v>
      </c>
      <c r="O25" s="72">
        <f>'22'!$F$18</f>
        <v>12.43</v>
      </c>
      <c r="P25" s="72">
        <f>'22'!$F$19</f>
        <v>12.5</v>
      </c>
      <c r="Q25" s="72">
        <f>'22'!$F$20</f>
        <v>6.11</v>
      </c>
      <c r="R25" s="72">
        <f>'22'!$F$21</f>
        <v>9.7799999999999994</v>
      </c>
      <c r="S25" s="72">
        <f>'22'!$F$22</f>
        <v>7.83</v>
      </c>
      <c r="T25" s="72">
        <f>'22'!$F$23</f>
        <v>5.26</v>
      </c>
      <c r="U25" s="72" t="str">
        <f>'22'!$F$24</f>
        <v/>
      </c>
      <c r="V25" s="72">
        <f>'22'!$F$25</f>
        <v>3.39</v>
      </c>
      <c r="W25" s="72">
        <f>'22'!$F$26</f>
        <v>3.27</v>
      </c>
      <c r="X25" s="72">
        <f>'22'!$F$27</f>
        <v>13.32</v>
      </c>
      <c r="Y25" s="72">
        <f>'22'!$F$28</f>
        <v>5.31</v>
      </c>
      <c r="Z25" s="72">
        <f>'22'!$F$29</f>
        <v>4.41</v>
      </c>
      <c r="AA25" s="72">
        <f>'22'!$F$30</f>
        <v>7.5</v>
      </c>
      <c r="AB25" s="72" t="str">
        <f>'22'!$F$31</f>
        <v/>
      </c>
      <c r="AC25" s="72" t="str">
        <f>'22'!$F$32</f>
        <v/>
      </c>
      <c r="AD25" s="93">
        <f>'22'!$F$33</f>
        <v>5.7</v>
      </c>
    </row>
    <row r="26" spans="1:30" x14ac:dyDescent="0.2">
      <c r="A26" s="92" t="s">
        <v>1040</v>
      </c>
      <c r="B26" s="72">
        <f>'23'!$F$5</f>
        <v>10.3</v>
      </c>
      <c r="C26" s="72">
        <f>'23'!$F$6</f>
        <v>4.76</v>
      </c>
      <c r="D26" s="72">
        <f>'23'!$F$7</f>
        <v>5.68</v>
      </c>
      <c r="E26" s="72">
        <f>'23'!$F$8</f>
        <v>5.51</v>
      </c>
      <c r="F26" s="72" t="str">
        <f>'23'!$F$9</f>
        <v/>
      </c>
      <c r="G26" s="72">
        <f>'23'!$F$10</f>
        <v>11.95</v>
      </c>
      <c r="H26" s="72">
        <f>'23'!$F$11</f>
        <v>4.6100000000000003</v>
      </c>
      <c r="I26" s="72">
        <f>'23'!$F$12</f>
        <v>4.12</v>
      </c>
      <c r="J26" s="72">
        <f>'23'!$F$13</f>
        <v>3.7</v>
      </c>
      <c r="K26" s="72">
        <f>'23'!$F$14</f>
        <v>44.63</v>
      </c>
      <c r="L26" s="72">
        <f>'23'!$F$15</f>
        <v>6.56</v>
      </c>
      <c r="M26" s="72">
        <f>'23'!$F$16</f>
        <v>4.5999999999999996</v>
      </c>
      <c r="N26" s="72">
        <f>'23'!$F$17</f>
        <v>11.78</v>
      </c>
      <c r="O26" s="72">
        <f>'23'!$F$18</f>
        <v>8.93</v>
      </c>
      <c r="P26" s="72" t="str">
        <f>'23'!$F$19</f>
        <v/>
      </c>
      <c r="Q26" s="72">
        <f>'23'!$F$20</f>
        <v>5.81</v>
      </c>
      <c r="R26" s="72" t="str">
        <f>'23'!$F$21</f>
        <v/>
      </c>
      <c r="S26" s="72">
        <f>'23'!$F$22</f>
        <v>5.28</v>
      </c>
      <c r="T26" s="72">
        <f>'23'!$F$23</f>
        <v>4.45</v>
      </c>
      <c r="U26" s="72">
        <f>'23'!$F$24</f>
        <v>13.99</v>
      </c>
      <c r="V26" s="72">
        <f>'23'!$F$25</f>
        <v>13.98</v>
      </c>
      <c r="W26" s="72" t="str">
        <f>'23'!$F$26</f>
        <v/>
      </c>
      <c r="X26" s="72">
        <f>'23'!$F$27</f>
        <v>6.84</v>
      </c>
      <c r="Y26" s="72">
        <f>'23'!$F$28</f>
        <v>6.34</v>
      </c>
      <c r="Z26" s="72">
        <f>'23'!$F$29</f>
        <v>4.37</v>
      </c>
      <c r="AA26" s="72">
        <f>'23'!$F$30</f>
        <v>7.13</v>
      </c>
      <c r="AB26" s="72" t="str">
        <f>'23'!$F$31</f>
        <v/>
      </c>
      <c r="AC26" s="72" t="str">
        <f>'23'!$F$32</f>
        <v/>
      </c>
      <c r="AD26" s="93">
        <f>'23'!$F$33</f>
        <v>5.53</v>
      </c>
    </row>
    <row r="27" spans="1:30" x14ac:dyDescent="0.2">
      <c r="A27" s="92" t="s">
        <v>1024</v>
      </c>
      <c r="B27" s="72" t="str">
        <f>'24'!$F$5</f>
        <v/>
      </c>
      <c r="C27" s="72" t="str">
        <f>'24'!$F$6</f>
        <v/>
      </c>
      <c r="D27" s="72">
        <f>'24'!$F$7</f>
        <v>7.32</v>
      </c>
      <c r="E27" s="72">
        <f>'24'!$F$8</f>
        <v>7.91</v>
      </c>
      <c r="F27" s="72" t="str">
        <f>'24'!$F$9</f>
        <v/>
      </c>
      <c r="G27" s="72">
        <f>'24'!$F$10</f>
        <v>6.43</v>
      </c>
      <c r="H27" s="72">
        <f>'24'!$F$11</f>
        <v>7.14</v>
      </c>
      <c r="I27" s="72">
        <f>'24'!$F$12</f>
        <v>10.35</v>
      </c>
      <c r="J27" s="72" t="str">
        <f>'24'!$F$13</f>
        <v/>
      </c>
      <c r="K27" s="72" t="str">
        <f>'24'!$F$14</f>
        <v/>
      </c>
      <c r="L27" s="72" t="str">
        <f>'24'!$F$15</f>
        <v/>
      </c>
      <c r="M27" s="72">
        <f>'24'!$F$16</f>
        <v>7.84</v>
      </c>
      <c r="N27" s="72">
        <f>'24'!$F$17</f>
        <v>6.93</v>
      </c>
      <c r="O27" s="72">
        <f>'24'!$F$18</f>
        <v>11.2</v>
      </c>
      <c r="P27" s="72" t="str">
        <f>'24'!$F$19</f>
        <v/>
      </c>
      <c r="Q27" s="72">
        <f>'24'!$F$20</f>
        <v>8.5500000000000007</v>
      </c>
      <c r="R27" s="72" t="str">
        <f>'24'!$F$21</f>
        <v/>
      </c>
      <c r="S27" s="72">
        <f>'24'!$F$22</f>
        <v>9.3000000000000007</v>
      </c>
      <c r="T27" s="72">
        <f>'24'!$F$23</f>
        <v>6.57</v>
      </c>
      <c r="U27" s="72">
        <f>'24'!$F$24</f>
        <v>9.8800000000000008</v>
      </c>
      <c r="V27" s="72" t="str">
        <f>'24'!$F$25</f>
        <v/>
      </c>
      <c r="W27" s="72">
        <f>'24'!$F$26</f>
        <v>7.14</v>
      </c>
      <c r="X27" s="72">
        <f>'24'!$F$27</f>
        <v>6.49</v>
      </c>
      <c r="Y27" s="72">
        <f>'24'!$F$28</f>
        <v>7.3</v>
      </c>
      <c r="Z27" s="72">
        <f>'24'!$F$29</f>
        <v>6.07</v>
      </c>
      <c r="AA27" s="72">
        <f>'24'!$F$30</f>
        <v>8.18</v>
      </c>
      <c r="AB27" s="72" t="str">
        <f>'24'!$F$31</f>
        <v/>
      </c>
      <c r="AC27" s="72" t="str">
        <f>'24'!$F$32</f>
        <v/>
      </c>
      <c r="AD27" s="93">
        <f>'24'!$F$33</f>
        <v>7.44</v>
      </c>
    </row>
    <row r="28" spans="1:30" x14ac:dyDescent="0.2">
      <c r="A28" s="92" t="s">
        <v>1041</v>
      </c>
      <c r="B28" s="72">
        <f>'25'!$F$5</f>
        <v>5.83</v>
      </c>
      <c r="C28" s="72">
        <f>'25'!$F$6</f>
        <v>8.51</v>
      </c>
      <c r="D28" s="72">
        <f>'25'!$F$7</f>
        <v>7.3</v>
      </c>
      <c r="E28" s="72">
        <f>'25'!$F$8</f>
        <v>6.23</v>
      </c>
      <c r="F28" s="72">
        <f>'25'!$F$9</f>
        <v>6.15</v>
      </c>
      <c r="G28" s="72">
        <f>'25'!$F$10</f>
        <v>12.15</v>
      </c>
      <c r="H28" s="72">
        <f>'25'!$F$11</f>
        <v>8.65</v>
      </c>
      <c r="I28" s="72">
        <f>'25'!$F$12</f>
        <v>14.69</v>
      </c>
      <c r="J28" s="72">
        <f>'25'!$F$13</f>
        <v>22.71</v>
      </c>
      <c r="K28" s="72" t="str">
        <f>'25'!$F$14</f>
        <v/>
      </c>
      <c r="L28" s="72">
        <f>'25'!$F$15</f>
        <v>5.43</v>
      </c>
      <c r="M28" s="72">
        <f>'25'!$F$16</f>
        <v>8.44</v>
      </c>
      <c r="N28" s="72">
        <f>'25'!$F$17</f>
        <v>8.99</v>
      </c>
      <c r="O28" s="72">
        <f>'25'!$F$18</f>
        <v>11.9</v>
      </c>
      <c r="P28" s="72" t="str">
        <f>'25'!$F$19</f>
        <v/>
      </c>
      <c r="Q28" s="72">
        <f>'25'!$F$20</f>
        <v>7.05</v>
      </c>
      <c r="R28" s="72" t="str">
        <f>'25'!$F$21</f>
        <v/>
      </c>
      <c r="S28" s="72">
        <f>'25'!$F$22</f>
        <v>9.19</v>
      </c>
      <c r="T28" s="72">
        <f>'25'!$F$23</f>
        <v>8.42</v>
      </c>
      <c r="U28" s="72">
        <f>'25'!$F$24</f>
        <v>6.59</v>
      </c>
      <c r="V28" s="72">
        <f>'25'!$F$25</f>
        <v>12.26</v>
      </c>
      <c r="W28" s="72" t="str">
        <f>'25'!$F$26</f>
        <v/>
      </c>
      <c r="X28" s="72">
        <f>'25'!$F$27</f>
        <v>8.1999999999999993</v>
      </c>
      <c r="Y28" s="72">
        <f>'25'!$F$28</f>
        <v>12.04</v>
      </c>
      <c r="Z28" s="72">
        <f>'25'!$F$29</f>
        <v>8.11</v>
      </c>
      <c r="AA28" s="72">
        <f>'25'!$F$30</f>
        <v>10.73</v>
      </c>
      <c r="AB28" s="72" t="str">
        <f>'25'!$F$31</f>
        <v/>
      </c>
      <c r="AC28" s="72" t="str">
        <f>'25'!$F$32</f>
        <v/>
      </c>
      <c r="AD28" s="93">
        <f>'25'!$F$33</f>
        <v>8.06</v>
      </c>
    </row>
    <row r="29" spans="1:30" x14ac:dyDescent="0.2">
      <c r="A29" s="91" t="s">
        <v>1042</v>
      </c>
      <c r="B29" s="72">
        <f>'26'!$F$5</f>
        <v>10.32</v>
      </c>
      <c r="C29" s="72">
        <f>'26'!$F$6</f>
        <v>7.87</v>
      </c>
      <c r="D29" s="72">
        <f>'26'!$F$7</f>
        <v>7.04</v>
      </c>
      <c r="E29" s="72">
        <f>'26'!$F$8</f>
        <v>6.77</v>
      </c>
      <c r="F29" s="72">
        <f>'26'!$F$9</f>
        <v>15.04</v>
      </c>
      <c r="G29" s="72">
        <f>'26'!$F$10</f>
        <v>6.8</v>
      </c>
      <c r="H29" s="72">
        <f>'26'!$F$11</f>
        <v>7.55</v>
      </c>
      <c r="I29" s="72">
        <f>'26'!$F$12</f>
        <v>8.11</v>
      </c>
      <c r="J29" s="72">
        <f>'26'!$F$13</f>
        <v>6.85</v>
      </c>
      <c r="K29" s="72">
        <f>'26'!$F$14</f>
        <v>7.76</v>
      </c>
      <c r="L29" s="72">
        <f>'26'!$F$15</f>
        <v>7.51</v>
      </c>
      <c r="M29" s="72">
        <f>'26'!$F$16</f>
        <v>6</v>
      </c>
      <c r="N29" s="72">
        <f>'26'!$F$17</f>
        <v>5.82</v>
      </c>
      <c r="O29" s="72">
        <f>'26'!$F$18</f>
        <v>11.27</v>
      </c>
      <c r="P29" s="72" t="str">
        <f>'26'!$F$19</f>
        <v/>
      </c>
      <c r="Q29" s="72">
        <f>'26'!$F$20</f>
        <v>8.1999999999999993</v>
      </c>
      <c r="R29" s="72">
        <f>'26'!$F$21</f>
        <v>11.36</v>
      </c>
      <c r="S29" s="72">
        <f>'26'!$F$22</f>
        <v>8.27</v>
      </c>
      <c r="T29" s="72">
        <f>'26'!$F$23</f>
        <v>6.01</v>
      </c>
      <c r="U29" s="72">
        <f>'26'!$F$24</f>
        <v>9</v>
      </c>
      <c r="V29" s="72">
        <f>'26'!$F$25</f>
        <v>9.59</v>
      </c>
      <c r="W29" s="72">
        <f>'26'!$F$26</f>
        <v>9.7799999999999994</v>
      </c>
      <c r="X29" s="72">
        <f>'26'!$F$27</f>
        <v>7.78</v>
      </c>
      <c r="Y29" s="72">
        <f>'26'!$F$28</f>
        <v>5.83</v>
      </c>
      <c r="Z29" s="72">
        <f>'26'!$F$29</f>
        <v>6.12</v>
      </c>
      <c r="AA29" s="72">
        <f>'26'!$F$30</f>
        <v>8.33</v>
      </c>
      <c r="AB29" s="72" t="str">
        <f>'26'!$F$31</f>
        <v/>
      </c>
      <c r="AC29" s="72" t="str">
        <f>'26'!$F$32</f>
        <v/>
      </c>
      <c r="AD29" s="93">
        <f>'26'!$F$33</f>
        <v>6.72</v>
      </c>
    </row>
    <row r="30" spans="1:30" x14ac:dyDescent="0.2">
      <c r="A30" s="92" t="s">
        <v>1021</v>
      </c>
      <c r="B30" s="72" t="str">
        <f>'27'!$F$5</f>
        <v/>
      </c>
      <c r="C30" s="72">
        <f>'27'!$F$6</f>
        <v>67.2</v>
      </c>
      <c r="D30" s="72">
        <f>'27'!$F$7</f>
        <v>4.5199999999999996</v>
      </c>
      <c r="E30" s="72">
        <f>'27'!$F$8</f>
        <v>5.62</v>
      </c>
      <c r="F30" s="72" t="str">
        <f>'27'!$F$9</f>
        <v/>
      </c>
      <c r="G30" s="72">
        <f>'27'!$F$10</f>
        <v>3.89</v>
      </c>
      <c r="H30" s="72">
        <f>'27'!$F$11</f>
        <v>9.99</v>
      </c>
      <c r="I30" s="72">
        <f>'27'!$F$12</f>
        <v>4.08</v>
      </c>
      <c r="J30" s="72">
        <f>'27'!$F$13</f>
        <v>7.47</v>
      </c>
      <c r="K30" s="72" t="str">
        <f>'27'!$F$14</f>
        <v/>
      </c>
      <c r="L30" s="72" t="str">
        <f>'27'!$F$15</f>
        <v/>
      </c>
      <c r="M30" s="72">
        <f>'27'!$F$16</f>
        <v>5.33</v>
      </c>
      <c r="N30" s="72">
        <f>'27'!$F$17</f>
        <v>4.71</v>
      </c>
      <c r="O30" s="72">
        <f>'27'!$F$18</f>
        <v>9.74</v>
      </c>
      <c r="P30" s="72" t="str">
        <f>'27'!$F$19</f>
        <v/>
      </c>
      <c r="Q30" s="72">
        <f>'27'!$F$20</f>
        <v>5.59</v>
      </c>
      <c r="R30" s="72">
        <f>'27'!$F$21</f>
        <v>11.82</v>
      </c>
      <c r="S30" s="72">
        <f>'27'!$F$22</f>
        <v>4.8600000000000003</v>
      </c>
      <c r="T30" s="72">
        <f>'27'!$F$23</f>
        <v>4.5599999999999996</v>
      </c>
      <c r="U30" s="72" t="str">
        <f>'27'!$F$24</f>
        <v/>
      </c>
      <c r="V30" s="72">
        <f>'27'!$F$25</f>
        <v>2.14</v>
      </c>
      <c r="W30" s="72" t="str">
        <f>'27'!$F$26</f>
        <v/>
      </c>
      <c r="X30" s="72">
        <f>'27'!$F$27</f>
        <v>8.1199999999999992</v>
      </c>
      <c r="Y30" s="72">
        <f>'27'!$F$28</f>
        <v>6.11</v>
      </c>
      <c r="Z30" s="72">
        <f>'27'!$F$29</f>
        <v>3.68</v>
      </c>
      <c r="AA30" s="72">
        <f>'27'!$F$30</f>
        <v>5.8</v>
      </c>
      <c r="AB30" s="72" t="str">
        <f>'27'!$F$31</f>
        <v/>
      </c>
      <c r="AC30" s="72" t="str">
        <f>'27'!$F$32</f>
        <v/>
      </c>
      <c r="AD30" s="93">
        <f>'27'!$F$33</f>
        <v>5.81</v>
      </c>
    </row>
    <row r="31" spans="1:30" x14ac:dyDescent="0.2">
      <c r="A31" s="92" t="s">
        <v>1043</v>
      </c>
      <c r="B31" s="72">
        <f>'28'!$F$5</f>
        <v>19.05</v>
      </c>
      <c r="C31" s="72">
        <f>'28'!$F$6</f>
        <v>8.91</v>
      </c>
      <c r="D31" s="72">
        <f>'28'!$F$7</f>
        <v>6.25</v>
      </c>
      <c r="E31" s="72">
        <f>'28'!$F$8</f>
        <v>7.98</v>
      </c>
      <c r="F31" s="72">
        <f>'28'!$F$9</f>
        <v>13.49</v>
      </c>
      <c r="G31" s="72">
        <f>'28'!$F$10</f>
        <v>12.43</v>
      </c>
      <c r="H31" s="72">
        <f>'28'!$F$11</f>
        <v>7.66</v>
      </c>
      <c r="I31" s="72" t="str">
        <f>'28'!$F$12</f>
        <v/>
      </c>
      <c r="J31" s="72">
        <f>'28'!$F$13</f>
        <v>6.12</v>
      </c>
      <c r="K31" s="72">
        <f>'28'!$F$14</f>
        <v>4.67</v>
      </c>
      <c r="L31" s="72">
        <f>'28'!$F$15</f>
        <v>7.48</v>
      </c>
      <c r="M31" s="72">
        <f>'28'!$F$16</f>
        <v>6.86</v>
      </c>
      <c r="N31" s="72">
        <f>'28'!$F$17</f>
        <v>6.14</v>
      </c>
      <c r="O31" s="72">
        <f>'28'!$F$18</f>
        <v>11.55</v>
      </c>
      <c r="P31" s="72" t="str">
        <f>'28'!$F$19</f>
        <v/>
      </c>
      <c r="Q31" s="72">
        <f>'28'!$F$20</f>
        <v>8.68</v>
      </c>
      <c r="R31" s="72">
        <f>'28'!$F$21</f>
        <v>17.71</v>
      </c>
      <c r="S31" s="72">
        <f>'28'!$F$22</f>
        <v>10.48</v>
      </c>
      <c r="T31" s="72">
        <f>'28'!$F$23</f>
        <v>7.4</v>
      </c>
      <c r="U31" s="72">
        <f>'28'!$F$24</f>
        <v>8.36</v>
      </c>
      <c r="V31" s="72">
        <f>'28'!$F$25</f>
        <v>18.18</v>
      </c>
      <c r="W31" s="72" t="str">
        <f>'28'!$F$26</f>
        <v/>
      </c>
      <c r="X31" s="72">
        <f>'28'!$F$27</f>
        <v>10.88</v>
      </c>
      <c r="Y31" s="72">
        <f>'28'!$F$28</f>
        <v>6.37</v>
      </c>
      <c r="Z31" s="72">
        <f>'28'!$F$29</f>
        <v>6.43</v>
      </c>
      <c r="AA31" s="72">
        <f>'28'!$F$30</f>
        <v>7.8</v>
      </c>
      <c r="AB31" s="72" t="str">
        <f>'28'!$F$31</f>
        <v/>
      </c>
      <c r="AC31" s="72" t="str">
        <f>'28'!$F$32</f>
        <v/>
      </c>
      <c r="AD31" s="93">
        <f>'28'!$F$33</f>
        <v>7.74</v>
      </c>
    </row>
    <row r="32" spans="1:30" x14ac:dyDescent="0.2">
      <c r="A32" s="92" t="s">
        <v>1044</v>
      </c>
      <c r="B32" s="72">
        <f>'29'!$F$5</f>
        <v>8.41</v>
      </c>
      <c r="C32" s="72">
        <f>'29'!$F$6</f>
        <v>5.78</v>
      </c>
      <c r="D32" s="72">
        <f>'29'!$F$7</f>
        <v>4.91</v>
      </c>
      <c r="E32" s="72">
        <f>'29'!$F$8</f>
        <v>4.88</v>
      </c>
      <c r="F32" s="72" t="str">
        <f>'29'!$F$9</f>
        <v/>
      </c>
      <c r="G32" s="72">
        <f>'29'!$F$10</f>
        <v>8.5</v>
      </c>
      <c r="H32" s="72">
        <f>'29'!$F$11</f>
        <v>4.95</v>
      </c>
      <c r="I32" s="72" t="str">
        <f>'29'!$F$12</f>
        <v/>
      </c>
      <c r="J32" s="72">
        <f>'29'!$F$13</f>
        <v>4.3</v>
      </c>
      <c r="K32" s="72">
        <f>'29'!$F$14</f>
        <v>12.96</v>
      </c>
      <c r="L32" s="72">
        <f>'29'!$F$15</f>
        <v>8.7899999999999991</v>
      </c>
      <c r="M32" s="72">
        <f>'29'!$F$16</f>
        <v>5</v>
      </c>
      <c r="N32" s="72">
        <f>'29'!$F$17</f>
        <v>4.5599999999999996</v>
      </c>
      <c r="O32" s="72">
        <f>'29'!$F$18</f>
        <v>10.34</v>
      </c>
      <c r="P32" s="72" t="str">
        <f>'29'!$F$19</f>
        <v/>
      </c>
      <c r="Q32" s="72">
        <f>'29'!$F$20</f>
        <v>5.81</v>
      </c>
      <c r="R32" s="72" t="str">
        <f>'29'!$F$21</f>
        <v/>
      </c>
      <c r="S32" s="72">
        <f>'29'!$F$22</f>
        <v>6.07</v>
      </c>
      <c r="T32" s="72">
        <f>'29'!$F$23</f>
        <v>4.7699999999999996</v>
      </c>
      <c r="U32" s="72">
        <f>'29'!$F$24</f>
        <v>2.66</v>
      </c>
      <c r="V32" s="72">
        <f>'29'!$F$25</f>
        <v>6.63</v>
      </c>
      <c r="W32" s="72" t="str">
        <f>'29'!$F$26</f>
        <v/>
      </c>
      <c r="X32" s="72">
        <f>'29'!$F$27</f>
        <v>5.84</v>
      </c>
      <c r="Y32" s="72">
        <f>'29'!$F$28</f>
        <v>5.39</v>
      </c>
      <c r="Z32" s="72">
        <f>'29'!$F$29</f>
        <v>4.71</v>
      </c>
      <c r="AA32" s="72">
        <f>'29'!$F$30</f>
        <v>6.31</v>
      </c>
      <c r="AB32" s="72" t="str">
        <f>'29'!$F$31</f>
        <v/>
      </c>
      <c r="AC32" s="72" t="str">
        <f>'29'!$F$32</f>
        <v/>
      </c>
      <c r="AD32" s="93">
        <f>'29'!$F$33</f>
        <v>5.32</v>
      </c>
    </row>
    <row r="33" spans="1:30" x14ac:dyDescent="0.2">
      <c r="A33" s="92" t="s">
        <v>1045</v>
      </c>
      <c r="B33" s="72">
        <f>'30'!$F$5</f>
        <v>9.48</v>
      </c>
      <c r="C33" s="72">
        <f>'30'!$F$6</f>
        <v>8.5</v>
      </c>
      <c r="D33" s="72">
        <f>'30'!$F$7</f>
        <v>4.4800000000000004</v>
      </c>
      <c r="E33" s="72">
        <f>'30'!$F$8</f>
        <v>4.0999999999999996</v>
      </c>
      <c r="F33" s="72" t="str">
        <f>'30'!$F$9</f>
        <v/>
      </c>
      <c r="G33" s="72" t="str">
        <f>'30'!$F$10</f>
        <v/>
      </c>
      <c r="H33" s="72">
        <f>'30'!$F$11</f>
        <v>7.73</v>
      </c>
      <c r="I33" s="72" t="str">
        <f>'30'!$F$12</f>
        <v/>
      </c>
      <c r="J33" s="72">
        <f>'30'!$F$13</f>
        <v>3.71</v>
      </c>
      <c r="K33" s="72" t="str">
        <f>'30'!$F$14</f>
        <v/>
      </c>
      <c r="L33" s="72">
        <f>'30'!$F$15</f>
        <v>9.08</v>
      </c>
      <c r="M33" s="72">
        <f>'30'!$F$16</f>
        <v>4.4800000000000004</v>
      </c>
      <c r="N33" s="72">
        <f>'30'!$F$17</f>
        <v>5.35</v>
      </c>
      <c r="O33" s="72">
        <f>'30'!$F$18</f>
        <v>6.97</v>
      </c>
      <c r="P33" s="72" t="str">
        <f>'30'!$F$19</f>
        <v/>
      </c>
      <c r="Q33" s="72">
        <f>'30'!$F$20</f>
        <v>6.66</v>
      </c>
      <c r="R33" s="72" t="str">
        <f>'30'!$F$21</f>
        <v/>
      </c>
      <c r="S33" s="72">
        <f>'30'!$F$22</f>
        <v>5.08</v>
      </c>
      <c r="T33" s="72">
        <f>'30'!$F$23</f>
        <v>3.98</v>
      </c>
      <c r="U33" s="72" t="str">
        <f>'30'!$F$24</f>
        <v/>
      </c>
      <c r="V33" s="72" t="str">
        <f>'30'!$F$25</f>
        <v/>
      </c>
      <c r="W33" s="72" t="str">
        <f>'30'!$F$26</f>
        <v/>
      </c>
      <c r="X33" s="72">
        <f>'30'!$F$27</f>
        <v>5.69</v>
      </c>
      <c r="Y33" s="72">
        <f>'30'!$F$28</f>
        <v>4.93</v>
      </c>
      <c r="Z33" s="72">
        <f>'30'!$F$29</f>
        <v>3.84</v>
      </c>
      <c r="AA33" s="72">
        <f>'30'!$F$30</f>
        <v>5.21</v>
      </c>
      <c r="AB33" s="72" t="str">
        <f>'30'!$F$31</f>
        <v/>
      </c>
      <c r="AC33" s="72" t="str">
        <f>'30'!$F$32</f>
        <v/>
      </c>
      <c r="AD33" s="93">
        <f>'30'!$F$33</f>
        <v>4.88</v>
      </c>
    </row>
    <row r="34" spans="1:30" x14ac:dyDescent="0.2">
      <c r="A34" s="92" t="s">
        <v>1022</v>
      </c>
      <c r="B34" s="72">
        <f>'31'!$F$5</f>
        <v>5.86</v>
      </c>
      <c r="C34" s="72">
        <f>'31'!$F$6</f>
        <v>9.8699999999999992</v>
      </c>
      <c r="D34" s="72">
        <f>'31'!$F$7</f>
        <v>6.53</v>
      </c>
      <c r="E34" s="72">
        <f>'31'!$F$8</f>
        <v>5.94</v>
      </c>
      <c r="F34" s="72" t="str">
        <f>'31'!$F$9</f>
        <v/>
      </c>
      <c r="G34" s="72">
        <f>'31'!$F$10</f>
        <v>16.03</v>
      </c>
      <c r="H34" s="72">
        <f>'31'!$F$11</f>
        <v>6.91</v>
      </c>
      <c r="I34" s="72">
        <f>'31'!$F$12</f>
        <v>9.48</v>
      </c>
      <c r="J34" s="72">
        <f>'31'!$F$13</f>
        <v>4.4800000000000004</v>
      </c>
      <c r="K34" s="72" t="str">
        <f>'31'!$F$14</f>
        <v/>
      </c>
      <c r="L34" s="72">
        <f>'31'!$F$15</f>
        <v>5.92</v>
      </c>
      <c r="M34" s="72">
        <f>'31'!$F$16</f>
        <v>5.75</v>
      </c>
      <c r="N34" s="72">
        <f>'31'!$F$17</f>
        <v>8.01</v>
      </c>
      <c r="O34" s="72">
        <f>'31'!$F$18</f>
        <v>10.33</v>
      </c>
      <c r="P34" s="72" t="str">
        <f>'31'!$F$19</f>
        <v/>
      </c>
      <c r="Q34" s="72">
        <f>'31'!$F$20</f>
        <v>5.0599999999999996</v>
      </c>
      <c r="R34" s="72" t="str">
        <f>'31'!$F$21</f>
        <v/>
      </c>
      <c r="S34" s="72">
        <f>'31'!$F$22</f>
        <v>7.31</v>
      </c>
      <c r="T34" s="72">
        <f>'31'!$F$23</f>
        <v>6.05</v>
      </c>
      <c r="U34" s="72">
        <f>'31'!$F$24</f>
        <v>9.83</v>
      </c>
      <c r="V34" s="72">
        <f>'31'!$F$25</f>
        <v>9.9600000000000009</v>
      </c>
      <c r="W34" s="72" t="str">
        <f>'31'!$F$26</f>
        <v/>
      </c>
      <c r="X34" s="72">
        <f>'31'!$F$27</f>
        <v>6.14</v>
      </c>
      <c r="Y34" s="72">
        <f>'31'!$F$28</f>
        <v>8.25</v>
      </c>
      <c r="Z34" s="72">
        <f>'31'!$F$29</f>
        <v>5.29</v>
      </c>
      <c r="AA34" s="72">
        <f>'31'!$F$30</f>
        <v>10.17</v>
      </c>
      <c r="AB34" s="72" t="str">
        <f>'31'!$F$31</f>
        <v/>
      </c>
      <c r="AC34" s="72" t="str">
        <f>'31'!$F$32</f>
        <v/>
      </c>
      <c r="AD34" s="93">
        <f>'31'!$F$33</f>
        <v>6.52</v>
      </c>
    </row>
    <row r="35" spans="1:30" x14ac:dyDescent="0.2">
      <c r="A35" s="92" t="s">
        <v>1046</v>
      </c>
      <c r="B35" s="72">
        <f>'32'!$F$5</f>
        <v>6.36</v>
      </c>
      <c r="C35" s="72">
        <f>'32'!$F$6</f>
        <v>9.69</v>
      </c>
      <c r="D35" s="72">
        <f>'32'!$F$7</f>
        <v>6.16</v>
      </c>
      <c r="E35" s="72">
        <f>'32'!$F$8</f>
        <v>7.12</v>
      </c>
      <c r="F35" s="72" t="str">
        <f>'32'!$F$9</f>
        <v/>
      </c>
      <c r="G35" s="72">
        <f>'32'!$F$10</f>
        <v>11.92</v>
      </c>
      <c r="H35" s="72">
        <f>'32'!$F$11</f>
        <v>7.53</v>
      </c>
      <c r="I35" s="72">
        <f>'32'!$F$12</f>
        <v>4.95</v>
      </c>
      <c r="J35" s="72">
        <f>'32'!$F$13</f>
        <v>7.08</v>
      </c>
      <c r="K35" s="72" t="str">
        <f>'32'!$F$14</f>
        <v/>
      </c>
      <c r="L35" s="72">
        <f>'32'!$F$15</f>
        <v>8.39</v>
      </c>
      <c r="M35" s="72">
        <f>'32'!$F$16</f>
        <v>5.99</v>
      </c>
      <c r="N35" s="72">
        <f>'32'!$F$17</f>
        <v>6.21</v>
      </c>
      <c r="O35" s="72">
        <f>'32'!$F$18</f>
        <v>9.6300000000000008</v>
      </c>
      <c r="P35" s="72" t="str">
        <f>'32'!$F$19</f>
        <v/>
      </c>
      <c r="Q35" s="72">
        <f>'32'!$F$20</f>
        <v>8.35</v>
      </c>
      <c r="R35" s="72">
        <f>'32'!$F$21</f>
        <v>20.05</v>
      </c>
      <c r="S35" s="72">
        <f>'32'!$F$22</f>
        <v>6.17</v>
      </c>
      <c r="T35" s="72">
        <f>'32'!$F$23</f>
        <v>6.34</v>
      </c>
      <c r="U35" s="72">
        <f>'32'!$F$24</f>
        <v>6.83</v>
      </c>
      <c r="V35" s="72">
        <f>'32'!$F$25</f>
        <v>17.03</v>
      </c>
      <c r="W35" s="72">
        <f>'32'!$F$26</f>
        <v>6.05</v>
      </c>
      <c r="X35" s="72">
        <f>'32'!$F$27</f>
        <v>6.45</v>
      </c>
      <c r="Y35" s="72">
        <f>'32'!$F$28</f>
        <v>7.55</v>
      </c>
      <c r="Z35" s="72">
        <f>'32'!$F$29</f>
        <v>6.25</v>
      </c>
      <c r="AA35" s="72">
        <f>'32'!$F$30</f>
        <v>10.4</v>
      </c>
      <c r="AB35" s="72" t="str">
        <f>'32'!$F$31</f>
        <v/>
      </c>
      <c r="AC35" s="72" t="str">
        <f>'32'!$F$32</f>
        <v/>
      </c>
      <c r="AD35" s="93">
        <f>'32'!$F$33</f>
        <v>7.22</v>
      </c>
    </row>
    <row r="36" spans="1:30" x14ac:dyDescent="0.2">
      <c r="A36" s="92" t="s">
        <v>1047</v>
      </c>
      <c r="B36" s="72">
        <f>'33'!$F$5</f>
        <v>9.08</v>
      </c>
      <c r="C36" s="72">
        <f>'33'!$F$6</f>
        <v>10.87</v>
      </c>
      <c r="D36" s="72">
        <f>'33'!$F$7</f>
        <v>6.36</v>
      </c>
      <c r="E36" s="72">
        <f>'33'!$F$8</f>
        <v>9.57</v>
      </c>
      <c r="F36" s="72" t="str">
        <f>'33'!$F$9</f>
        <v/>
      </c>
      <c r="G36" s="72">
        <f>'33'!$F$10</f>
        <v>11.62</v>
      </c>
      <c r="H36" s="72">
        <f>'33'!$F$11</f>
        <v>9.1999999999999993</v>
      </c>
      <c r="I36" s="72">
        <f>'33'!$F$12</f>
        <v>395.86</v>
      </c>
      <c r="J36" s="72">
        <f>'33'!$F$13</f>
        <v>5.9</v>
      </c>
      <c r="K36" s="72" t="str">
        <f>'33'!$F$14</f>
        <v/>
      </c>
      <c r="L36" s="72">
        <f>'33'!$F$15</f>
        <v>7.47</v>
      </c>
      <c r="M36" s="72">
        <f>'33'!$F$16</f>
        <v>11.51</v>
      </c>
      <c r="N36" s="72">
        <f>'33'!$F$17</f>
        <v>11.12</v>
      </c>
      <c r="O36" s="72">
        <f>'33'!$F$18</f>
        <v>12.67</v>
      </c>
      <c r="P36" s="72" t="str">
        <f>'33'!$F$19</f>
        <v/>
      </c>
      <c r="Q36" s="72">
        <f>'33'!$F$20</f>
        <v>13.47</v>
      </c>
      <c r="R36" s="72" t="str">
        <f>'33'!$F$21</f>
        <v/>
      </c>
      <c r="S36" s="72">
        <f>'33'!$F$22</f>
        <v>7.29</v>
      </c>
      <c r="T36" s="72">
        <f>'33'!$F$23</f>
        <v>6.01</v>
      </c>
      <c r="U36" s="72" t="str">
        <f>'33'!$F$24</f>
        <v/>
      </c>
      <c r="V36" s="72" t="str">
        <f>'33'!$F$25</f>
        <v/>
      </c>
      <c r="W36" s="72" t="str">
        <f>'33'!$F$26</f>
        <v/>
      </c>
      <c r="X36" s="72">
        <f>'33'!$F$27</f>
        <v>8.52</v>
      </c>
      <c r="Y36" s="72">
        <f>'33'!$F$28</f>
        <v>16.79</v>
      </c>
      <c r="Z36" s="72">
        <f>'33'!$F$29</f>
        <v>7.46</v>
      </c>
      <c r="AA36" s="72">
        <f>'33'!$F$30</f>
        <v>8.33</v>
      </c>
      <c r="AB36" s="72" t="str">
        <f>'33'!$F$31</f>
        <v/>
      </c>
      <c r="AC36" s="72" t="str">
        <f>'33'!$F$32</f>
        <v/>
      </c>
      <c r="AD36" s="93">
        <f>'33'!$F$33</f>
        <v>8.89</v>
      </c>
    </row>
    <row r="37" spans="1:30" x14ac:dyDescent="0.2">
      <c r="A37" s="92" t="s">
        <v>1025</v>
      </c>
      <c r="B37" s="72">
        <f>'34'!$F$5</f>
        <v>9.98</v>
      </c>
      <c r="C37" s="72">
        <f>'34'!$F$6</f>
        <v>7.32</v>
      </c>
      <c r="D37" s="72">
        <f>'34'!$F$7</f>
        <v>4.03</v>
      </c>
      <c r="E37" s="72">
        <f>'34'!$F$8</f>
        <v>5.58</v>
      </c>
      <c r="F37" s="72" t="str">
        <f>'34'!$F$9</f>
        <v/>
      </c>
      <c r="G37" s="72">
        <f>'34'!$F$10</f>
        <v>12.34</v>
      </c>
      <c r="H37" s="72">
        <f>'34'!$F$11</f>
        <v>4.3099999999999996</v>
      </c>
      <c r="I37" s="72" t="str">
        <f>'34'!$F$12</f>
        <v/>
      </c>
      <c r="J37" s="72">
        <f>'34'!$F$13</f>
        <v>5.39</v>
      </c>
      <c r="K37" s="72" t="str">
        <f>'34'!$F$14</f>
        <v/>
      </c>
      <c r="L37" s="72">
        <f>'34'!$F$15</f>
        <v>9.82</v>
      </c>
      <c r="M37" s="72">
        <f>'34'!$F$16</f>
        <v>4.49</v>
      </c>
      <c r="N37" s="72">
        <f>'34'!$F$17</f>
        <v>4.37</v>
      </c>
      <c r="O37" s="72">
        <f>'34'!$F$18</f>
        <v>11.82</v>
      </c>
      <c r="P37" s="72" t="str">
        <f>'34'!$F$19</f>
        <v/>
      </c>
      <c r="Q37" s="72">
        <f>'34'!$F$20</f>
        <v>5.42</v>
      </c>
      <c r="R37" s="72" t="str">
        <f>'34'!$F$21</f>
        <v/>
      </c>
      <c r="S37" s="72">
        <f>'34'!$F$22</f>
        <v>9.61</v>
      </c>
      <c r="T37" s="72">
        <f>'34'!$F$23</f>
        <v>4.3099999999999996</v>
      </c>
      <c r="U37" s="72" t="str">
        <f>'34'!$F$24</f>
        <v/>
      </c>
      <c r="V37" s="72" t="str">
        <f>'34'!$F$25</f>
        <v/>
      </c>
      <c r="W37" s="72">
        <f>'34'!$F$26</f>
        <v>5.35</v>
      </c>
      <c r="X37" s="72">
        <f>'34'!$F$27</f>
        <v>5.12</v>
      </c>
      <c r="Y37" s="72" t="str">
        <f>'34'!$F$28</f>
        <v/>
      </c>
      <c r="Z37" s="72">
        <f>'34'!$F$29</f>
        <v>4.2</v>
      </c>
      <c r="AA37" s="72">
        <f>'34'!$F$30</f>
        <v>6.96</v>
      </c>
      <c r="AB37" s="72" t="str">
        <f>'34'!$F$31</f>
        <v/>
      </c>
      <c r="AC37" s="72" t="str">
        <f>'34'!$F$32</f>
        <v/>
      </c>
      <c r="AD37" s="93">
        <f>'34'!$F$33</f>
        <v>5.25</v>
      </c>
    </row>
    <row r="38" spans="1:30" x14ac:dyDescent="0.2">
      <c r="A38" s="92" t="s">
        <v>1048</v>
      </c>
      <c r="B38" s="72" t="str">
        <f>'35'!$F$5</f>
        <v/>
      </c>
      <c r="C38" s="72">
        <f>'35'!$F$6</f>
        <v>7.05</v>
      </c>
      <c r="D38" s="72">
        <f>'35'!$F$7</f>
        <v>4.87</v>
      </c>
      <c r="E38" s="72">
        <f>'35'!$F$8</f>
        <v>6.09</v>
      </c>
      <c r="F38" s="72" t="str">
        <f>'35'!$F$9</f>
        <v/>
      </c>
      <c r="G38" s="72">
        <f>'35'!$F$10</f>
        <v>3.89</v>
      </c>
      <c r="H38" s="72">
        <f>'35'!$F$11</f>
        <v>5.91</v>
      </c>
      <c r="I38" s="72" t="str">
        <f>'35'!$F$12</f>
        <v/>
      </c>
      <c r="J38" s="72">
        <f>'35'!$F$13</f>
        <v>5.83</v>
      </c>
      <c r="K38" s="72" t="str">
        <f>'35'!$F$14</f>
        <v/>
      </c>
      <c r="L38" s="72" t="str">
        <f>'35'!$F$15</f>
        <v/>
      </c>
      <c r="M38" s="72">
        <f>'35'!$F$16</f>
        <v>5.2</v>
      </c>
      <c r="N38" s="72">
        <f>'35'!$F$17</f>
        <v>3.84</v>
      </c>
      <c r="O38" s="72" t="str">
        <f>'35'!$F$18</f>
        <v/>
      </c>
      <c r="P38" s="72" t="str">
        <f>'35'!$F$19</f>
        <v/>
      </c>
      <c r="Q38" s="72">
        <f>'35'!$F$20</f>
        <v>5.75</v>
      </c>
      <c r="R38" s="72" t="str">
        <f>'35'!$F$21</f>
        <v/>
      </c>
      <c r="S38" s="72">
        <f>'35'!$F$22</f>
        <v>5.21</v>
      </c>
      <c r="T38" s="72">
        <f>'35'!$F$23</f>
        <v>5.88</v>
      </c>
      <c r="U38" s="72">
        <f>'35'!$F$24</f>
        <v>11.98</v>
      </c>
      <c r="V38" s="72" t="str">
        <f>'35'!$F$25</f>
        <v/>
      </c>
      <c r="W38" s="72" t="str">
        <f>'35'!$F$26</f>
        <v/>
      </c>
      <c r="X38" s="72">
        <f>'35'!$F$27</f>
        <v>12.88</v>
      </c>
      <c r="Y38" s="72">
        <f>'35'!$F$28</f>
        <v>6.57</v>
      </c>
      <c r="Z38" s="72">
        <f>'35'!$F$29</f>
        <v>4.3499999999999996</v>
      </c>
      <c r="AA38" s="72">
        <f>'35'!$F$30</f>
        <v>6.45</v>
      </c>
      <c r="AB38" s="72" t="str">
        <f>'35'!$F$31</f>
        <v/>
      </c>
      <c r="AC38" s="72" t="str">
        <f>'35'!$F$32</f>
        <v/>
      </c>
      <c r="AD38" s="93">
        <f>'35'!$F$33</f>
        <v>6.06</v>
      </c>
    </row>
    <row r="39" spans="1:30" x14ac:dyDescent="0.2">
      <c r="A39" s="92" t="s">
        <v>1061</v>
      </c>
      <c r="B39" s="72">
        <f>'36'!$F$5</f>
        <v>5.37</v>
      </c>
      <c r="C39" s="72">
        <f>'36'!$F$6</f>
        <v>5.15</v>
      </c>
      <c r="D39" s="72">
        <f>'36'!$F$7</f>
        <v>5.85</v>
      </c>
      <c r="E39" s="72">
        <f>'36'!$F$8</f>
        <v>6.3</v>
      </c>
      <c r="F39" s="72">
        <f>'36'!$F$9</f>
        <v>16.27</v>
      </c>
      <c r="G39" s="72">
        <f>'36'!$F$10</f>
        <v>9.8000000000000007</v>
      </c>
      <c r="H39" s="72">
        <f>'36'!$F$11</f>
        <v>7.68</v>
      </c>
      <c r="I39" s="72">
        <f>'36'!$F$12</f>
        <v>5.78</v>
      </c>
      <c r="J39" s="72">
        <f>'36'!$F$13</f>
        <v>6.88</v>
      </c>
      <c r="K39" s="72">
        <f>'36'!$F$14</f>
        <v>15.08</v>
      </c>
      <c r="L39" s="72">
        <f>'36'!$F$15</f>
        <v>11.19</v>
      </c>
      <c r="M39" s="72">
        <f>'36'!$F$16</f>
        <v>6.21</v>
      </c>
      <c r="N39" s="72">
        <f>'36'!$F$17</f>
        <v>6.21</v>
      </c>
      <c r="O39" s="72">
        <f>'36'!$F$18</f>
        <v>8.0399999999999991</v>
      </c>
      <c r="P39" s="72" t="str">
        <f>'36'!$F$19</f>
        <v/>
      </c>
      <c r="Q39" s="72">
        <f>'36'!$F$20</f>
        <v>7.88</v>
      </c>
      <c r="R39" s="72">
        <f>'36'!$F$21</f>
        <v>12.84</v>
      </c>
      <c r="S39" s="72">
        <f>'36'!$F$22</f>
        <v>6.87</v>
      </c>
      <c r="T39" s="72">
        <f>'36'!$F$23</f>
        <v>6</v>
      </c>
      <c r="U39" s="72">
        <f>'36'!$F$24</f>
        <v>8.77</v>
      </c>
      <c r="V39" s="72">
        <f>'36'!$F$25</f>
        <v>14.8</v>
      </c>
      <c r="W39" s="72">
        <f>'36'!$F$26</f>
        <v>4.45</v>
      </c>
      <c r="X39" s="72">
        <f>'36'!$F$27</f>
        <v>7.46</v>
      </c>
      <c r="Y39" s="72">
        <f>'36'!$F$28</f>
        <v>6.96</v>
      </c>
      <c r="Z39" s="72">
        <f>'36'!$F$29</f>
        <v>5.56</v>
      </c>
      <c r="AA39" s="72">
        <f>'36'!$F$30</f>
        <v>7.7</v>
      </c>
      <c r="AB39" s="72" t="str">
        <f>'36'!$F$31</f>
        <v/>
      </c>
      <c r="AC39" s="72" t="str">
        <f>'36'!$F$32</f>
        <v/>
      </c>
      <c r="AD39" s="93">
        <f>'36'!$F$33</f>
        <v>6.8</v>
      </c>
    </row>
    <row r="40" spans="1:30" x14ac:dyDescent="0.2">
      <c r="A40" s="92" t="s">
        <v>1049</v>
      </c>
      <c r="B40" s="72">
        <f>'37'!$F$5</f>
        <v>9.84</v>
      </c>
      <c r="C40" s="72">
        <f>'37'!$F$6</f>
        <v>10.79</v>
      </c>
      <c r="D40" s="72">
        <f>'37'!$F$7</f>
        <v>5.14</v>
      </c>
      <c r="E40" s="72">
        <f>'37'!$F$8</f>
        <v>6.77</v>
      </c>
      <c r="F40" s="72" t="str">
        <f>'37'!$F$9</f>
        <v/>
      </c>
      <c r="G40" s="72">
        <f>'37'!$F$10</f>
        <v>9.4</v>
      </c>
      <c r="H40" s="72">
        <f>'37'!$F$11</f>
        <v>5.7</v>
      </c>
      <c r="I40" s="72">
        <f>'37'!$F$12</f>
        <v>6.45</v>
      </c>
      <c r="J40" s="72">
        <f>'37'!$F$13</f>
        <v>4.7699999999999996</v>
      </c>
      <c r="K40" s="72">
        <f>'37'!$F$14</f>
        <v>11.93</v>
      </c>
      <c r="L40" s="72">
        <f>'37'!$F$15</f>
        <v>9.16</v>
      </c>
      <c r="M40" s="72">
        <f>'37'!$F$16</f>
        <v>6.25</v>
      </c>
      <c r="N40" s="72">
        <f>'37'!$F$17</f>
        <v>5.41</v>
      </c>
      <c r="O40" s="72">
        <f>'37'!$F$18</f>
        <v>7.6</v>
      </c>
      <c r="P40" s="72" t="str">
        <f>'37'!$F$19</f>
        <v/>
      </c>
      <c r="Q40" s="72">
        <f>'37'!$F$20</f>
        <v>6.05</v>
      </c>
      <c r="R40" s="72">
        <f>'37'!$F$21</f>
        <v>5.57</v>
      </c>
      <c r="S40" s="72">
        <f>'37'!$F$22</f>
        <v>5.39</v>
      </c>
      <c r="T40" s="72">
        <f>'37'!$F$23</f>
        <v>4.91</v>
      </c>
      <c r="U40" s="72">
        <f>'37'!$F$24</f>
        <v>5.5</v>
      </c>
      <c r="V40" s="72">
        <f>'37'!$F$25</f>
        <v>29.73</v>
      </c>
      <c r="W40" s="72">
        <f>'37'!$F$26</f>
        <v>8.31</v>
      </c>
      <c r="X40" s="72">
        <f>'37'!$F$27</f>
        <v>9.4499999999999993</v>
      </c>
      <c r="Y40" s="72">
        <f>'37'!$F$28</f>
        <v>7.83</v>
      </c>
      <c r="Z40" s="72">
        <f>'37'!$F$29</f>
        <v>5.23</v>
      </c>
      <c r="AA40" s="72">
        <f>'37'!$F$30</f>
        <v>8.6</v>
      </c>
      <c r="AB40" s="72" t="str">
        <f>'37'!$F$31</f>
        <v/>
      </c>
      <c r="AC40" s="72" t="str">
        <f>'37'!$F$32</f>
        <v/>
      </c>
      <c r="AD40" s="93">
        <f>'37'!$F$33</f>
        <v>6.16</v>
      </c>
    </row>
    <row r="41" spans="1:30" x14ac:dyDescent="0.2">
      <c r="A41" s="92" t="s">
        <v>1050</v>
      </c>
      <c r="B41" s="72">
        <f>'38'!$F$5</f>
        <v>14.78</v>
      </c>
      <c r="C41" s="72">
        <f>'38'!$F$6</f>
        <v>8.92</v>
      </c>
      <c r="D41" s="72">
        <f>'38'!$F$7</f>
        <v>8.0500000000000007</v>
      </c>
      <c r="E41" s="72">
        <f>'38'!$F$8</f>
        <v>6.84</v>
      </c>
      <c r="F41" s="72" t="str">
        <f>'38'!$F$9</f>
        <v/>
      </c>
      <c r="G41" s="72">
        <f>'38'!$F$10</f>
        <v>37.54</v>
      </c>
      <c r="H41" s="72">
        <f>'38'!$F$11</f>
        <v>10.16</v>
      </c>
      <c r="I41" s="72" t="str">
        <f>'38'!$F$12</f>
        <v/>
      </c>
      <c r="J41" s="72">
        <f>'38'!$F$13</f>
        <v>6.48</v>
      </c>
      <c r="K41" s="72">
        <f>'38'!$F$14</f>
        <v>4.32</v>
      </c>
      <c r="L41" s="72">
        <f>'38'!$F$15</f>
        <v>6.16</v>
      </c>
      <c r="M41" s="72">
        <f>'38'!$F$16</f>
        <v>7.03</v>
      </c>
      <c r="N41" s="72">
        <f>'38'!$F$17</f>
        <v>6.76</v>
      </c>
      <c r="O41" s="72">
        <f>'38'!$F$18</f>
        <v>9.11</v>
      </c>
      <c r="P41" s="72" t="str">
        <f>'38'!$F$19</f>
        <v/>
      </c>
      <c r="Q41" s="72">
        <f>'38'!$F$20</f>
        <v>8.85</v>
      </c>
      <c r="R41" s="72" t="str">
        <f>'38'!$F$21</f>
        <v/>
      </c>
      <c r="S41" s="72">
        <f>'38'!$F$22</f>
        <v>8.77</v>
      </c>
      <c r="T41" s="72">
        <f>'38'!$F$23</f>
        <v>6.21</v>
      </c>
      <c r="U41" s="72">
        <f>'38'!$F$24</f>
        <v>11.23</v>
      </c>
      <c r="V41" s="72">
        <f>'38'!$F$25</f>
        <v>5.87</v>
      </c>
      <c r="W41" s="72">
        <f>'38'!$F$26</f>
        <v>33.409999999999997</v>
      </c>
      <c r="X41" s="72">
        <f>'38'!$F$27</f>
        <v>10.38</v>
      </c>
      <c r="Y41" s="72">
        <f>'38'!$F$28</f>
        <v>7.64</v>
      </c>
      <c r="Z41" s="72">
        <f>'38'!$F$29</f>
        <v>6.14</v>
      </c>
      <c r="AA41" s="72">
        <f>'38'!$F$30</f>
        <v>6.77</v>
      </c>
      <c r="AB41" s="72" t="str">
        <f>'38'!$F$31</f>
        <v/>
      </c>
      <c r="AC41" s="72" t="str">
        <f>'38'!$F$32</f>
        <v/>
      </c>
      <c r="AD41" s="93">
        <f>'38'!$F$33</f>
        <v>7.53</v>
      </c>
    </row>
    <row r="42" spans="1:30" x14ac:dyDescent="0.2">
      <c r="A42" s="92" t="s">
        <v>1026</v>
      </c>
      <c r="B42" s="72">
        <f>'39'!$F$5</f>
        <v>9.3800000000000008</v>
      </c>
      <c r="C42" s="72" t="str">
        <f>'39'!$F$6</f>
        <v/>
      </c>
      <c r="D42" s="72">
        <f>'39'!$F$7</f>
        <v>5.84</v>
      </c>
      <c r="E42" s="72">
        <f>'39'!$F$8</f>
        <v>7.89</v>
      </c>
      <c r="F42" s="72">
        <f>'39'!$F$9</f>
        <v>14.84</v>
      </c>
      <c r="G42" s="72">
        <f>'39'!$F$10</f>
        <v>8.3800000000000008</v>
      </c>
      <c r="H42" s="72">
        <f>'39'!$F$11</f>
        <v>4.08</v>
      </c>
      <c r="I42" s="72" t="str">
        <f>'39'!$F$12</f>
        <v/>
      </c>
      <c r="J42" s="72">
        <f>'39'!$F$13</f>
        <v>5.45</v>
      </c>
      <c r="K42" s="72" t="str">
        <f>'39'!$F$14</f>
        <v/>
      </c>
      <c r="L42" s="72">
        <f>'39'!$F$15</f>
        <v>10.4</v>
      </c>
      <c r="M42" s="72">
        <f>'39'!$F$16</f>
        <v>5.97</v>
      </c>
      <c r="N42" s="72">
        <f>'39'!$F$17</f>
        <v>6.33</v>
      </c>
      <c r="O42" s="72" t="str">
        <f>'39'!$F$18</f>
        <v/>
      </c>
      <c r="P42" s="72" t="str">
        <f>'39'!$F$19</f>
        <v/>
      </c>
      <c r="Q42" s="72">
        <f>'39'!$F$20</f>
        <v>18.22</v>
      </c>
      <c r="R42" s="72" t="str">
        <f>'39'!$F$21</f>
        <v/>
      </c>
      <c r="S42" s="72">
        <f>'39'!$F$22</f>
        <v>7.12</v>
      </c>
      <c r="T42" s="72">
        <f>'39'!$F$23</f>
        <v>5.39</v>
      </c>
      <c r="U42" s="72">
        <f>'39'!$F$24</f>
        <v>6.66</v>
      </c>
      <c r="V42" s="72">
        <f>'39'!$F$25</f>
        <v>21.16</v>
      </c>
      <c r="W42" s="72">
        <f>'39'!$F$26</f>
        <v>5.66</v>
      </c>
      <c r="X42" s="72">
        <f>'39'!$F$27</f>
        <v>6.24</v>
      </c>
      <c r="Y42" s="72">
        <f>'39'!$F$28</f>
        <v>6.29</v>
      </c>
      <c r="Z42" s="72">
        <f>'39'!$F$29</f>
        <v>5.46</v>
      </c>
      <c r="AA42" s="72">
        <f>'39'!$F$30</f>
        <v>5.33</v>
      </c>
      <c r="AB42" s="72" t="str">
        <f>'39'!$F$31</f>
        <v/>
      </c>
      <c r="AC42" s="72" t="str">
        <f>'39'!$F$32</f>
        <v/>
      </c>
      <c r="AD42" s="93">
        <f>'39'!$F$33</f>
        <v>6.41</v>
      </c>
    </row>
    <row r="43" spans="1:30" x14ac:dyDescent="0.2">
      <c r="A43" s="92" t="s">
        <v>1062</v>
      </c>
      <c r="B43" s="72">
        <f>'40'!$F$5</f>
        <v>11.83</v>
      </c>
      <c r="C43" s="72">
        <f>'40'!$F$6</f>
        <v>11.95</v>
      </c>
      <c r="D43" s="72">
        <f>'40'!$F$7</f>
        <v>7.51</v>
      </c>
      <c r="E43" s="72">
        <f>'40'!$F$8</f>
        <v>8.6300000000000008</v>
      </c>
      <c r="F43" s="72" t="str">
        <f>'40'!$F$9</f>
        <v/>
      </c>
      <c r="G43" s="72">
        <f>'40'!$F$10</f>
        <v>9.61</v>
      </c>
      <c r="H43" s="72">
        <f>'40'!$F$11</f>
        <v>8.92</v>
      </c>
      <c r="I43" s="72" t="str">
        <f>'40'!$F$12</f>
        <v/>
      </c>
      <c r="J43" s="72">
        <f>'40'!$F$13</f>
        <v>5.81</v>
      </c>
      <c r="K43" s="72" t="str">
        <f>'40'!$F$14</f>
        <v/>
      </c>
      <c r="L43" s="72">
        <f>'40'!$F$15</f>
        <v>9.0299999999999994</v>
      </c>
      <c r="M43" s="72">
        <f>'40'!$F$16</f>
        <v>7.69</v>
      </c>
      <c r="N43" s="72">
        <f>'40'!$F$17</f>
        <v>6.64</v>
      </c>
      <c r="O43" s="72">
        <f>'40'!$F$18</f>
        <v>13.26</v>
      </c>
      <c r="P43" s="72">
        <f>'40'!$F$19</f>
        <v>13.02</v>
      </c>
      <c r="Q43" s="72">
        <f>'40'!$F$20</f>
        <v>8.68</v>
      </c>
      <c r="R43" s="72">
        <f>'40'!$F$21</f>
        <v>14.45</v>
      </c>
      <c r="S43" s="72" t="str">
        <f>'40'!$F$22</f>
        <v/>
      </c>
      <c r="T43" s="72">
        <f>'40'!$F$23</f>
        <v>6.71</v>
      </c>
      <c r="U43" s="72">
        <f>'40'!$F$24</f>
        <v>10.95</v>
      </c>
      <c r="V43" s="72">
        <f>'40'!$F$25</f>
        <v>11.07</v>
      </c>
      <c r="W43" s="72">
        <f>'40'!$F$26</f>
        <v>14.01</v>
      </c>
      <c r="X43" s="72">
        <f>'40'!$F$27</f>
        <v>7.86</v>
      </c>
      <c r="Y43" s="72">
        <f>'40'!$F$28</f>
        <v>10.31</v>
      </c>
      <c r="Z43" s="72">
        <f>'40'!$F$29</f>
        <v>5.81</v>
      </c>
      <c r="AA43" s="72">
        <f>'40'!$F$30</f>
        <v>7.73</v>
      </c>
      <c r="AB43" s="72" t="str">
        <f>'40'!$F$31</f>
        <v/>
      </c>
      <c r="AC43" s="72" t="str">
        <f>'40'!$F$32</f>
        <v/>
      </c>
      <c r="AD43" s="93">
        <f>'40'!$F$33</f>
        <v>7.59</v>
      </c>
    </row>
    <row r="44" spans="1:30" x14ac:dyDescent="0.2">
      <c r="A44" s="92" t="s">
        <v>1027</v>
      </c>
      <c r="B44" s="72">
        <f>'41'!$F$5</f>
        <v>7.52</v>
      </c>
      <c r="C44" s="72">
        <f>'41'!$F$6</f>
        <v>9.4</v>
      </c>
      <c r="D44" s="72">
        <f>'41'!$F$7</f>
        <v>5.83</v>
      </c>
      <c r="E44" s="72">
        <f>'41'!$F$8</f>
        <v>5.67</v>
      </c>
      <c r="F44" s="72" t="str">
        <f>'41'!$F$9</f>
        <v/>
      </c>
      <c r="G44" s="72">
        <f>'41'!$F$10</f>
        <v>9.42</v>
      </c>
      <c r="H44" s="72">
        <f>'41'!$F$11</f>
        <v>6.71</v>
      </c>
      <c r="I44" s="72">
        <f>'41'!$F$12</f>
        <v>3.31</v>
      </c>
      <c r="J44" s="72">
        <f>'41'!$F$13</f>
        <v>5.24</v>
      </c>
      <c r="K44" s="72">
        <f>'41'!$F$14</f>
        <v>6.03</v>
      </c>
      <c r="L44" s="72">
        <f>'41'!$F$15</f>
        <v>6.03</v>
      </c>
      <c r="M44" s="72">
        <f>'41'!$F$16</f>
        <v>6.43</v>
      </c>
      <c r="N44" s="72">
        <f>'41'!$F$17</f>
        <v>7.16</v>
      </c>
      <c r="O44" s="72">
        <f>'41'!$F$18</f>
        <v>10.01</v>
      </c>
      <c r="P44" s="72">
        <f>'41'!$F$19</f>
        <v>21.13</v>
      </c>
      <c r="Q44" s="72">
        <f>'41'!$F$20</f>
        <v>8.7799999999999994</v>
      </c>
      <c r="R44" s="72">
        <f>'41'!$F$21</f>
        <v>15.11</v>
      </c>
      <c r="S44" s="72">
        <f>'41'!$F$22</f>
        <v>7.17</v>
      </c>
      <c r="T44" s="72">
        <f>'41'!$F$23</f>
        <v>7.87</v>
      </c>
      <c r="U44" s="72">
        <f>'41'!$F$24</f>
        <v>9.07</v>
      </c>
      <c r="V44" s="72" t="str">
        <f>'41'!$F$25</f>
        <v/>
      </c>
      <c r="W44" s="72">
        <f>'41'!$F$26</f>
        <v>23.56</v>
      </c>
      <c r="X44" s="72">
        <f>'41'!$F$27</f>
        <v>6.78</v>
      </c>
      <c r="Y44" s="72">
        <f>'41'!$F$28</f>
        <v>5.34</v>
      </c>
      <c r="Z44" s="72">
        <f>'41'!$F$29</f>
        <v>5.78</v>
      </c>
      <c r="AA44" s="72">
        <f>'41'!$F$30</f>
        <v>10.59</v>
      </c>
      <c r="AB44" s="72" t="str">
        <f>'41'!$F$31</f>
        <v/>
      </c>
      <c r="AC44" s="72" t="str">
        <f>'41'!$F$32</f>
        <v/>
      </c>
      <c r="AD44" s="93">
        <f>'41'!$F$33</f>
        <v>7.21</v>
      </c>
    </row>
    <row r="45" spans="1:30" x14ac:dyDescent="0.2">
      <c r="A45" s="92" t="s">
        <v>1051</v>
      </c>
      <c r="B45" s="72">
        <f>'42'!$F$5</f>
        <v>8.11</v>
      </c>
      <c r="C45" s="72">
        <f>'42'!$F$6</f>
        <v>4.0599999999999996</v>
      </c>
      <c r="D45" s="72">
        <f>'42'!$F$7</f>
        <v>4.6399999999999997</v>
      </c>
      <c r="E45" s="72">
        <f>'42'!$F$8</f>
        <v>4.28</v>
      </c>
      <c r="F45" s="72" t="str">
        <f>'42'!$F$9</f>
        <v/>
      </c>
      <c r="G45" s="72">
        <f>'42'!$F$10</f>
        <v>4.42</v>
      </c>
      <c r="H45" s="72">
        <f>'42'!$F$11</f>
        <v>5.41</v>
      </c>
      <c r="I45" s="72">
        <f>'42'!$F$12</f>
        <v>3.57</v>
      </c>
      <c r="J45" s="72">
        <f>'42'!$F$13</f>
        <v>2.87</v>
      </c>
      <c r="K45" s="72">
        <f>'42'!$F$14</f>
        <v>21.3</v>
      </c>
      <c r="L45" s="72">
        <f>'42'!$F$15</f>
        <v>3.66</v>
      </c>
      <c r="M45" s="72">
        <f>'42'!$F$16</f>
        <v>3.83</v>
      </c>
      <c r="N45" s="72">
        <f>'42'!$F$17</f>
        <v>4.1399999999999997</v>
      </c>
      <c r="O45" s="72">
        <f>'42'!$F$18</f>
        <v>7.69</v>
      </c>
      <c r="P45" s="72">
        <f>'42'!$F$19</f>
        <v>4.17</v>
      </c>
      <c r="Q45" s="72">
        <f>'42'!$F$20</f>
        <v>4.38</v>
      </c>
      <c r="R45" s="72" t="str">
        <f>'42'!$F$21</f>
        <v/>
      </c>
      <c r="S45" s="72">
        <f>'42'!$F$22</f>
        <v>4.2</v>
      </c>
      <c r="T45" s="72">
        <f>'42'!$F$23</f>
        <v>3.76</v>
      </c>
      <c r="U45" s="72">
        <f>'42'!$F$24</f>
        <v>4.6500000000000004</v>
      </c>
      <c r="V45" s="72">
        <f>'42'!$F$25</f>
        <v>4.4400000000000004</v>
      </c>
      <c r="W45" s="72">
        <f>'42'!$F$26</f>
        <v>9.11</v>
      </c>
      <c r="X45" s="72">
        <f>'42'!$F$27</f>
        <v>2.48</v>
      </c>
      <c r="Y45" s="72">
        <f>'42'!$F$28</f>
        <v>4.3899999999999997</v>
      </c>
      <c r="Z45" s="72">
        <f>'42'!$F$29</f>
        <v>4.01</v>
      </c>
      <c r="AA45" s="72">
        <f>'42'!$F$30</f>
        <v>3.66</v>
      </c>
      <c r="AB45" s="72" t="str">
        <f>'42'!$F$31</f>
        <v/>
      </c>
      <c r="AC45" s="72" t="str">
        <f>'42'!$F$32</f>
        <v/>
      </c>
      <c r="AD45" s="93">
        <f>'42'!$F$33</f>
        <v>4.28</v>
      </c>
    </row>
    <row r="46" spans="1:30" x14ac:dyDescent="0.2">
      <c r="A46" s="92" t="s">
        <v>1052</v>
      </c>
      <c r="B46" s="72" t="str">
        <f>'43'!$F$5</f>
        <v/>
      </c>
      <c r="C46" s="72">
        <f>'43'!$F$6</f>
        <v>7.7</v>
      </c>
      <c r="D46" s="72">
        <f>'43'!$F$7</f>
        <v>8.68</v>
      </c>
      <c r="E46" s="72">
        <f>'43'!$F$8</f>
        <v>13.29</v>
      </c>
      <c r="F46" s="72" t="str">
        <f>'43'!$F$9</f>
        <v/>
      </c>
      <c r="G46" s="72">
        <f>'43'!$F$10</f>
        <v>17.53</v>
      </c>
      <c r="H46" s="72">
        <f>'43'!$F$11</f>
        <v>7.94</v>
      </c>
      <c r="I46" s="72">
        <f>'43'!$F$12</f>
        <v>8.73</v>
      </c>
      <c r="J46" s="72">
        <f>'43'!$F$13</f>
        <v>8.3800000000000008</v>
      </c>
      <c r="K46" s="72">
        <f>'43'!$F$14</f>
        <v>19.28</v>
      </c>
      <c r="L46" s="72">
        <f>'43'!$F$15</f>
        <v>8.51</v>
      </c>
      <c r="M46" s="72">
        <f>'43'!$F$16</f>
        <v>6.92</v>
      </c>
      <c r="N46" s="72">
        <f>'43'!$F$17</f>
        <v>7.16</v>
      </c>
      <c r="O46" s="72">
        <f>'43'!$F$18</f>
        <v>11.7</v>
      </c>
      <c r="P46" s="72" t="str">
        <f>'43'!$F$19</f>
        <v/>
      </c>
      <c r="Q46" s="72">
        <f>'43'!$F$20</f>
        <v>10.95</v>
      </c>
      <c r="R46" s="72">
        <f>'43'!$F$21</f>
        <v>16.170000000000002</v>
      </c>
      <c r="S46" s="72">
        <f>'43'!$F$22</f>
        <v>6.17</v>
      </c>
      <c r="T46" s="72">
        <f>'43'!$F$23</f>
        <v>7.62</v>
      </c>
      <c r="U46" s="72">
        <f>'43'!$F$24</f>
        <v>5.36</v>
      </c>
      <c r="V46" s="72">
        <f>'43'!$F$25</f>
        <v>15.36</v>
      </c>
      <c r="W46" s="72">
        <f>'43'!$F$26</f>
        <v>7.82</v>
      </c>
      <c r="X46" s="72">
        <f>'43'!$F$27</f>
        <v>12.03</v>
      </c>
      <c r="Y46" s="72">
        <f>'43'!$F$28</f>
        <v>11.47</v>
      </c>
      <c r="Z46" s="72">
        <f>'43'!$F$29</f>
        <v>7.19</v>
      </c>
      <c r="AA46" s="72">
        <f>'43'!$F$30</f>
        <v>7.45</v>
      </c>
      <c r="AB46" s="72" t="str">
        <f>'43'!$F$31</f>
        <v/>
      </c>
      <c r="AC46" s="72" t="str">
        <f>'43'!$F$32</f>
        <v/>
      </c>
      <c r="AD46" s="93">
        <f>'43'!$F$33</f>
        <v>8.33</v>
      </c>
    </row>
    <row r="47" spans="1:30" x14ac:dyDescent="0.2">
      <c r="A47" s="92" t="s">
        <v>1063</v>
      </c>
      <c r="B47" s="72">
        <f>'44'!$F$5</f>
        <v>6.17</v>
      </c>
      <c r="C47" s="72">
        <f>'44'!$F$6</f>
        <v>5.12</v>
      </c>
      <c r="D47" s="72">
        <f>'44'!$F$7</f>
        <v>5.36</v>
      </c>
      <c r="E47" s="72">
        <f>'44'!$F$8</f>
        <v>6.4</v>
      </c>
      <c r="F47" s="72" t="str">
        <f>'44'!$F$9</f>
        <v/>
      </c>
      <c r="G47" s="72">
        <f>'44'!$F$10</f>
        <v>6.53</v>
      </c>
      <c r="H47" s="72">
        <f>'44'!$F$11</f>
        <v>3.88</v>
      </c>
      <c r="I47" s="72">
        <f>'44'!$F$12</f>
        <v>3.98</v>
      </c>
      <c r="J47" s="72">
        <f>'44'!$F$13</f>
        <v>4.03</v>
      </c>
      <c r="K47" s="72" t="str">
        <f>'44'!$F$14</f>
        <v/>
      </c>
      <c r="L47" s="72">
        <f>'44'!$F$15</f>
        <v>3.34</v>
      </c>
      <c r="M47" s="72">
        <f>'44'!$F$16</f>
        <v>5.18</v>
      </c>
      <c r="N47" s="72">
        <f>'44'!$F$17</f>
        <v>5.35</v>
      </c>
      <c r="O47" s="72">
        <f>'44'!$F$18</f>
        <v>7.05</v>
      </c>
      <c r="P47" s="72" t="str">
        <f>'44'!$F$19</f>
        <v/>
      </c>
      <c r="Q47" s="72">
        <f>'44'!$F$20</f>
        <v>3.69</v>
      </c>
      <c r="R47" s="72" t="str">
        <f>'44'!$F$21</f>
        <v/>
      </c>
      <c r="S47" s="72">
        <f>'44'!$F$22</f>
        <v>5.52</v>
      </c>
      <c r="T47" s="72">
        <f>'44'!$F$23</f>
        <v>5.0599999999999996</v>
      </c>
      <c r="U47" s="72">
        <f>'44'!$F$24</f>
        <v>3.82</v>
      </c>
      <c r="V47" s="72">
        <f>'44'!$F$25</f>
        <v>8.98</v>
      </c>
      <c r="W47" s="72" t="str">
        <f>'44'!$F$26</f>
        <v/>
      </c>
      <c r="X47" s="72">
        <f>'44'!$F$27</f>
        <v>6.25</v>
      </c>
      <c r="Y47" s="72">
        <f>'44'!$F$28</f>
        <v>4.25</v>
      </c>
      <c r="Z47" s="72">
        <f>'44'!$F$29</f>
        <v>4.88</v>
      </c>
      <c r="AA47" s="72">
        <f>'44'!$F$30</f>
        <v>6.3</v>
      </c>
      <c r="AB47" s="72" t="str">
        <f>'44'!$F$31</f>
        <v/>
      </c>
      <c r="AC47" s="72" t="str">
        <f>'44'!$F$32</f>
        <v/>
      </c>
      <c r="AD47" s="93">
        <f>'44'!$F$33</f>
        <v>4.97</v>
      </c>
    </row>
    <row r="48" spans="1:30" x14ac:dyDescent="0.2">
      <c r="A48" s="92" t="s">
        <v>1028</v>
      </c>
      <c r="B48" s="72">
        <f>'45'!$F$5</f>
        <v>2.99</v>
      </c>
      <c r="C48" s="72">
        <f>'45'!$F$6</f>
        <v>10.050000000000001</v>
      </c>
      <c r="D48" s="72">
        <f>'45'!$F$7</f>
        <v>5.5</v>
      </c>
      <c r="E48" s="72">
        <f>'45'!$F$8</f>
        <v>4.24</v>
      </c>
      <c r="F48" s="72" t="str">
        <f>'45'!$F$9</f>
        <v/>
      </c>
      <c r="G48" s="72">
        <f>'45'!$F$10</f>
        <v>8.6199999999999992</v>
      </c>
      <c r="H48" s="72">
        <f>'45'!$F$11</f>
        <v>9.73</v>
      </c>
      <c r="I48" s="72">
        <f>'45'!$F$12</f>
        <v>4.09</v>
      </c>
      <c r="J48" s="72">
        <f>'45'!$F$13</f>
        <v>4.5199999999999996</v>
      </c>
      <c r="K48" s="72">
        <f>'45'!$F$14</f>
        <v>2.63</v>
      </c>
      <c r="L48" s="72">
        <f>'45'!$F$15</f>
        <v>4.6900000000000004</v>
      </c>
      <c r="M48" s="72">
        <f>'45'!$F$16</f>
        <v>4.82</v>
      </c>
      <c r="N48" s="72">
        <f>'45'!$F$17</f>
        <v>6.31</v>
      </c>
      <c r="O48" s="72">
        <f>'45'!$F$18</f>
        <v>9.7799999999999994</v>
      </c>
      <c r="P48" s="72">
        <f>'45'!$F$19</f>
        <v>11.05</v>
      </c>
      <c r="Q48" s="72">
        <f>'45'!$F$20</f>
        <v>6.12</v>
      </c>
      <c r="R48" s="72">
        <f>'45'!$F$21</f>
        <v>9.6</v>
      </c>
      <c r="S48" s="72">
        <f>'45'!$F$22</f>
        <v>6.61</v>
      </c>
      <c r="T48" s="72">
        <f>'45'!$F$23</f>
        <v>4.8600000000000003</v>
      </c>
      <c r="U48" s="72">
        <f>'45'!$F$24</f>
        <v>7.51</v>
      </c>
      <c r="V48" s="72">
        <f>'45'!$F$25</f>
        <v>23.29</v>
      </c>
      <c r="W48" s="72">
        <f>'45'!$F$26</f>
        <v>2.63</v>
      </c>
      <c r="X48" s="72">
        <f>'45'!$F$27</f>
        <v>8.69</v>
      </c>
      <c r="Y48" s="72">
        <f>'45'!$F$28</f>
        <v>4.6100000000000003</v>
      </c>
      <c r="Z48" s="72">
        <f>'45'!$F$29</f>
        <v>4.97</v>
      </c>
      <c r="AA48" s="72">
        <f>'45'!$F$30</f>
        <v>7.64</v>
      </c>
      <c r="AB48" s="72" t="str">
        <f>'45'!$F$31</f>
        <v/>
      </c>
      <c r="AC48" s="72" t="str">
        <f>'45'!$F$32</f>
        <v/>
      </c>
      <c r="AD48" s="93">
        <f>'45'!$F$33</f>
        <v>5.9</v>
      </c>
    </row>
    <row r="49" spans="1:30" x14ac:dyDescent="0.2">
      <c r="A49" s="92" t="s">
        <v>1053</v>
      </c>
      <c r="B49" s="72">
        <f>'46'!$F$5</f>
        <v>5.07</v>
      </c>
      <c r="C49" s="72">
        <f>'46'!$F$6</f>
        <v>9.24</v>
      </c>
      <c r="D49" s="72">
        <f>'46'!$F$7</f>
        <v>6.01</v>
      </c>
      <c r="E49" s="72">
        <f>'46'!$F$8</f>
        <v>8.1300000000000008</v>
      </c>
      <c r="F49" s="72">
        <f>'46'!$F$9</f>
        <v>5.05</v>
      </c>
      <c r="G49" s="72">
        <f>'46'!$F$10</f>
        <v>3.65</v>
      </c>
      <c r="H49" s="72">
        <f>'46'!$F$11</f>
        <v>6.11</v>
      </c>
      <c r="I49" s="72" t="str">
        <f>'46'!$F$12</f>
        <v/>
      </c>
      <c r="J49" s="72">
        <f>'46'!$F$13</f>
        <v>4.8</v>
      </c>
      <c r="K49" s="72" t="str">
        <f>'46'!$F$14</f>
        <v/>
      </c>
      <c r="L49" s="72">
        <f>'46'!$F$15</f>
        <v>5.59</v>
      </c>
      <c r="M49" s="72">
        <f>'46'!$F$16</f>
        <v>5.78</v>
      </c>
      <c r="N49" s="72">
        <f>'46'!$F$17</f>
        <v>5.46</v>
      </c>
      <c r="O49" s="72">
        <f>'46'!$F$18</f>
        <v>6.49</v>
      </c>
      <c r="P49" s="72" t="str">
        <f>'46'!$F$19</f>
        <v/>
      </c>
      <c r="Q49" s="72">
        <f>'46'!$F$20</f>
        <v>4.8499999999999996</v>
      </c>
      <c r="R49" s="72" t="str">
        <f>'46'!$F$21</f>
        <v/>
      </c>
      <c r="S49" s="72">
        <f>'46'!$F$22</f>
        <v>5.52</v>
      </c>
      <c r="T49" s="72">
        <f>'46'!$F$23</f>
        <v>5.69</v>
      </c>
      <c r="U49" s="72">
        <f>'46'!$F$24</f>
        <v>10.67</v>
      </c>
      <c r="V49" s="72" t="str">
        <f>'46'!$F$25</f>
        <v/>
      </c>
      <c r="W49" s="72">
        <f>'46'!$F$26</f>
        <v>3.55</v>
      </c>
      <c r="X49" s="72">
        <f>'46'!$F$27</f>
        <v>6.25</v>
      </c>
      <c r="Y49" s="72">
        <f>'46'!$F$28</f>
        <v>6.03</v>
      </c>
      <c r="Z49" s="72">
        <f>'46'!$F$29</f>
        <v>5.03</v>
      </c>
      <c r="AA49" s="72">
        <f>'46'!$F$30</f>
        <v>6.12</v>
      </c>
      <c r="AB49" s="72" t="str">
        <f>'46'!$F$31</f>
        <v/>
      </c>
      <c r="AC49" s="72" t="str">
        <f>'46'!$F$32</f>
        <v/>
      </c>
      <c r="AD49" s="93">
        <f>'46'!$F$33</f>
        <v>5.82</v>
      </c>
    </row>
    <row r="50" spans="1:30" x14ac:dyDescent="0.2">
      <c r="A50" s="92" t="s">
        <v>1054</v>
      </c>
      <c r="B50" s="72">
        <f>'47'!$F$5</f>
        <v>3.57</v>
      </c>
      <c r="C50" s="72">
        <f>'47'!$F$6</f>
        <v>6.31</v>
      </c>
      <c r="D50" s="72">
        <f>'47'!$F$7</f>
        <v>6.96</v>
      </c>
      <c r="E50" s="72">
        <f>'47'!$F$8</f>
        <v>6.21</v>
      </c>
      <c r="F50" s="72" t="str">
        <f>'47'!$F$9</f>
        <v/>
      </c>
      <c r="G50" s="72">
        <f>'47'!$F$10</f>
        <v>6.82</v>
      </c>
      <c r="H50" s="72">
        <f>'47'!$F$11</f>
        <v>7.04</v>
      </c>
      <c r="I50" s="72">
        <f>'47'!$F$12</f>
        <v>9.4700000000000006</v>
      </c>
      <c r="J50" s="72">
        <f>'47'!$F$13</f>
        <v>3.88</v>
      </c>
      <c r="K50" s="72" t="str">
        <f>'47'!$F$14</f>
        <v/>
      </c>
      <c r="L50" s="72">
        <f>'47'!$F$15</f>
        <v>5.25</v>
      </c>
      <c r="M50" s="72">
        <f>'47'!$F$16</f>
        <v>6.39</v>
      </c>
      <c r="N50" s="72">
        <f>'47'!$F$17</f>
        <v>7.16</v>
      </c>
      <c r="O50" s="72">
        <f>'47'!$F$18</f>
        <v>11.98</v>
      </c>
      <c r="P50" s="72" t="str">
        <f>'47'!$F$19</f>
        <v/>
      </c>
      <c r="Q50" s="72">
        <f>'47'!$F$20</f>
        <v>5.45</v>
      </c>
      <c r="R50" s="72">
        <f>'47'!$F$21</f>
        <v>11.12</v>
      </c>
      <c r="S50" s="72">
        <f>'47'!$F$22</f>
        <v>6.68</v>
      </c>
      <c r="T50" s="72">
        <f>'47'!$F$23</f>
        <v>6.45</v>
      </c>
      <c r="U50" s="72" t="str">
        <f>'47'!$F$24</f>
        <v/>
      </c>
      <c r="V50" s="72">
        <f>'47'!$F$25</f>
        <v>26.9</v>
      </c>
      <c r="W50" s="72" t="str">
        <f>'47'!$F$26</f>
        <v/>
      </c>
      <c r="X50" s="72">
        <f>'47'!$F$27</f>
        <v>7.4</v>
      </c>
      <c r="Y50" s="72">
        <f>'47'!$F$28</f>
        <v>6.33</v>
      </c>
      <c r="Z50" s="72">
        <f>'47'!$F$29</f>
        <v>5.75</v>
      </c>
      <c r="AA50" s="72">
        <f>'47'!$F$30</f>
        <v>9.67</v>
      </c>
      <c r="AB50" s="72" t="str">
        <f>'47'!$F$31</f>
        <v/>
      </c>
      <c r="AC50" s="72" t="str">
        <f>'47'!$F$32</f>
        <v/>
      </c>
      <c r="AD50" s="93">
        <f>'47'!$F$33</f>
        <v>6.77</v>
      </c>
    </row>
    <row r="51" spans="1:30" x14ac:dyDescent="0.2">
      <c r="A51" s="92" t="s">
        <v>1055</v>
      </c>
      <c r="B51" s="72">
        <f>'48'!$F$5</f>
        <v>10.25</v>
      </c>
      <c r="C51" s="72">
        <f>'48'!$F$6</f>
        <v>7.51</v>
      </c>
      <c r="D51" s="72">
        <f>'48'!$F$7</f>
        <v>4.3899999999999997</v>
      </c>
      <c r="E51" s="72">
        <f>'48'!$F$8</f>
        <v>5.71</v>
      </c>
      <c r="F51" s="72" t="str">
        <f>'48'!$F$9</f>
        <v/>
      </c>
      <c r="G51" s="72">
        <f>'48'!$F$10</f>
        <v>2.12</v>
      </c>
      <c r="H51" s="72">
        <f>'48'!$F$11</f>
        <v>5.46</v>
      </c>
      <c r="I51" s="72">
        <f>'48'!$F$12</f>
        <v>4.79</v>
      </c>
      <c r="J51" s="72">
        <f>'48'!$F$13</f>
        <v>5.73</v>
      </c>
      <c r="K51" s="72" t="str">
        <f>'48'!$F$14</f>
        <v/>
      </c>
      <c r="L51" s="72">
        <f>'48'!$F$15</f>
        <v>6.44</v>
      </c>
      <c r="M51" s="72">
        <f>'48'!$F$16</f>
        <v>4.78</v>
      </c>
      <c r="N51" s="72">
        <f>'48'!$F$17</f>
        <v>5.17</v>
      </c>
      <c r="O51" s="72">
        <f>'48'!$F$18</f>
        <v>7.98</v>
      </c>
      <c r="P51" s="72" t="str">
        <f>'48'!$F$19</f>
        <v/>
      </c>
      <c r="Q51" s="72">
        <f>'48'!$F$20</f>
        <v>3.47</v>
      </c>
      <c r="R51" s="72">
        <f>'48'!$F$21</f>
        <v>7.9</v>
      </c>
      <c r="S51" s="72">
        <f>'48'!$F$22</f>
        <v>5.88</v>
      </c>
      <c r="T51" s="72">
        <f>'48'!$F$23</f>
        <v>3.7</v>
      </c>
      <c r="U51" s="72" t="str">
        <f>'48'!$F$24</f>
        <v/>
      </c>
      <c r="V51" s="72">
        <f>'48'!$F$25</f>
        <v>8.58</v>
      </c>
      <c r="W51" s="72">
        <f>'48'!$F$26</f>
        <v>4.79</v>
      </c>
      <c r="X51" s="72">
        <f>'48'!$F$27</f>
        <v>7.24</v>
      </c>
      <c r="Y51" s="72">
        <f>'48'!$F$28</f>
        <v>6.79</v>
      </c>
      <c r="Z51" s="72">
        <f>'48'!$F$29</f>
        <v>4.58</v>
      </c>
      <c r="AA51" s="72">
        <f>'48'!$F$30</f>
        <v>6.89</v>
      </c>
      <c r="AB51" s="72" t="str">
        <f>'48'!$F$31</f>
        <v/>
      </c>
      <c r="AC51" s="72" t="str">
        <f>'48'!$F$32</f>
        <v/>
      </c>
      <c r="AD51" s="93">
        <f>'48'!$F$33</f>
        <v>5.15</v>
      </c>
    </row>
    <row r="52" spans="1:30" x14ac:dyDescent="0.2">
      <c r="A52" s="92" t="s">
        <v>1056</v>
      </c>
      <c r="B52" s="72">
        <f>'49'!$F$5</f>
        <v>9.4700000000000006</v>
      </c>
      <c r="C52" s="72">
        <f>'49'!$F$6</f>
        <v>7.82</v>
      </c>
      <c r="D52" s="72">
        <f>'49'!$F$7</f>
        <v>9.4700000000000006</v>
      </c>
      <c r="E52" s="72">
        <f>'49'!$F$8</f>
        <v>8.1199999999999992</v>
      </c>
      <c r="F52" s="72" t="str">
        <f>'49'!$F$9</f>
        <v/>
      </c>
      <c r="G52" s="72">
        <f>'49'!$F$10</f>
        <v>15.02</v>
      </c>
      <c r="H52" s="72">
        <f>'49'!$F$11</f>
        <v>8.39</v>
      </c>
      <c r="I52" s="72" t="str">
        <f>'49'!$F$12</f>
        <v/>
      </c>
      <c r="J52" s="72">
        <f>'49'!$F$13</f>
        <v>5.94</v>
      </c>
      <c r="K52" s="72" t="str">
        <f>'49'!$F$14</f>
        <v/>
      </c>
      <c r="L52" s="72">
        <f>'49'!$F$15</f>
        <v>7.9</v>
      </c>
      <c r="M52" s="72">
        <f>'49'!$F$16</f>
        <v>7.26</v>
      </c>
      <c r="N52" s="72">
        <f>'49'!$F$17</f>
        <v>12.78</v>
      </c>
      <c r="O52" s="72" t="str">
        <f>'49'!$F$18</f>
        <v/>
      </c>
      <c r="P52" s="72" t="str">
        <f>'49'!$F$19</f>
        <v/>
      </c>
      <c r="Q52" s="72">
        <f>'49'!$F$20</f>
        <v>11.57</v>
      </c>
      <c r="R52" s="72" t="str">
        <f>'49'!$F$21</f>
        <v/>
      </c>
      <c r="S52" s="72">
        <f>'49'!$F$22</f>
        <v>7.27</v>
      </c>
      <c r="T52" s="72">
        <f>'49'!$F$23</f>
        <v>7.26</v>
      </c>
      <c r="U52" s="72">
        <f>'49'!$F$24</f>
        <v>8.49</v>
      </c>
      <c r="V52" s="72">
        <f>'49'!$F$25</f>
        <v>6.04</v>
      </c>
      <c r="W52" s="72" t="str">
        <f>'49'!$F$26</f>
        <v/>
      </c>
      <c r="X52" s="72">
        <f>'49'!$F$27</f>
        <v>13.53</v>
      </c>
      <c r="Y52" s="72">
        <f>'49'!$F$28</f>
        <v>23.7</v>
      </c>
      <c r="Z52" s="72">
        <f>'49'!$F$29</f>
        <v>7.07</v>
      </c>
      <c r="AA52" s="72">
        <f>'49'!$F$30</f>
        <v>9.16</v>
      </c>
      <c r="AB52" s="72" t="str">
        <f>'49'!$F$31</f>
        <v/>
      </c>
      <c r="AC52" s="72" t="str">
        <f>'49'!$F$32</f>
        <v/>
      </c>
      <c r="AD52" s="93">
        <f>'49'!$F$33</f>
        <v>8.3800000000000008</v>
      </c>
    </row>
    <row r="53" spans="1:30" x14ac:dyDescent="0.2">
      <c r="A53" s="92" t="s">
        <v>1064</v>
      </c>
      <c r="B53" s="72">
        <f>'50'!$F$5</f>
        <v>9.5500000000000007</v>
      </c>
      <c r="C53" s="72">
        <f>'50'!$F$6</f>
        <v>9.61</v>
      </c>
      <c r="D53" s="72">
        <f>'50'!$F$7</f>
        <v>6.28</v>
      </c>
      <c r="E53" s="72">
        <f>'50'!$F$8</f>
        <v>5.74</v>
      </c>
      <c r="F53" s="72" t="str">
        <f>'50'!$F$9</f>
        <v/>
      </c>
      <c r="G53" s="72">
        <f>'50'!$F$10</f>
        <v>7.42</v>
      </c>
      <c r="H53" s="72">
        <f>'50'!$F$11</f>
        <v>8.3699999999999992</v>
      </c>
      <c r="I53" s="72" t="str">
        <f>'50'!$F$12</f>
        <v/>
      </c>
      <c r="J53" s="72">
        <f>'50'!$F$13</f>
        <v>6.5</v>
      </c>
      <c r="K53" s="72" t="str">
        <f>'50'!$F$14</f>
        <v/>
      </c>
      <c r="L53" s="72">
        <f>'50'!$F$15</f>
        <v>9.1999999999999993</v>
      </c>
      <c r="M53" s="72">
        <f>'50'!$F$16</f>
        <v>6.82</v>
      </c>
      <c r="N53" s="72">
        <f>'50'!$F$17</f>
        <v>7.12</v>
      </c>
      <c r="O53" s="72">
        <f>'50'!$F$18</f>
        <v>9.89</v>
      </c>
      <c r="P53" s="72">
        <f>'50'!$F$19</f>
        <v>12.24</v>
      </c>
      <c r="Q53" s="72">
        <f>'50'!$F$20</f>
        <v>7.25</v>
      </c>
      <c r="R53" s="72" t="str">
        <f>'50'!$F$21</f>
        <v/>
      </c>
      <c r="S53" s="72">
        <f>'50'!$F$22</f>
        <v>8.5299999999999994</v>
      </c>
      <c r="T53" s="72">
        <f>'50'!$F$23</f>
        <v>5.32</v>
      </c>
      <c r="U53" s="72">
        <f>'50'!$F$24</f>
        <v>8.86</v>
      </c>
      <c r="V53" s="72" t="str">
        <f>'50'!$F$25</f>
        <v/>
      </c>
      <c r="W53" s="72">
        <f>'50'!$F$26</f>
        <v>15.24</v>
      </c>
      <c r="X53" s="72">
        <f>'50'!$F$27</f>
        <v>5.95</v>
      </c>
      <c r="Y53" s="72">
        <f>'50'!$F$28</f>
        <v>7.94</v>
      </c>
      <c r="Z53" s="72">
        <f>'50'!$F$29</f>
        <v>5.51</v>
      </c>
      <c r="AA53" s="72">
        <f>'50'!$F$30</f>
        <v>7.98</v>
      </c>
      <c r="AB53" s="72" t="str">
        <f>'50'!$F$31</f>
        <v/>
      </c>
      <c r="AC53" s="72" t="str">
        <f>'50'!$F$32</f>
        <v/>
      </c>
      <c r="AD53" s="93">
        <f>'50'!$F$33</f>
        <v>6.73</v>
      </c>
    </row>
    <row r="54" spans="1:30" x14ac:dyDescent="0.2">
      <c r="A54" s="90" t="s">
        <v>937</v>
      </c>
      <c r="B54" s="72">
        <f>'51'!$F$5</f>
        <v>10.34</v>
      </c>
      <c r="C54" s="72">
        <f>'51'!$F$6</f>
        <v>6.64</v>
      </c>
      <c r="D54" s="72">
        <f>'51'!$F$7</f>
        <v>6.72</v>
      </c>
      <c r="E54" s="72">
        <f>'51'!$F$8</f>
        <v>5.2</v>
      </c>
      <c r="F54" s="72" t="str">
        <f>'51'!$F$9</f>
        <v/>
      </c>
      <c r="G54" s="72">
        <f>'51'!$F$10</f>
        <v>5.49</v>
      </c>
      <c r="H54" s="72">
        <f>'51'!$F$11</f>
        <v>8.01</v>
      </c>
      <c r="I54" s="72">
        <f>'51'!$F$12</f>
        <v>8.2100000000000009</v>
      </c>
      <c r="J54" s="72">
        <f>'51'!$F$13</f>
        <v>14.65</v>
      </c>
      <c r="K54" s="72" t="str">
        <f>'51'!$F$14</f>
        <v/>
      </c>
      <c r="L54" s="72">
        <f>'51'!$F$15</f>
        <v>6.46</v>
      </c>
      <c r="M54" s="72">
        <f>'51'!$F$16</f>
        <v>5.49</v>
      </c>
      <c r="N54" s="72">
        <f>'51'!$F$17</f>
        <v>4.96</v>
      </c>
      <c r="O54" s="72">
        <f>'51'!$F$18</f>
        <v>6.49</v>
      </c>
      <c r="P54" s="72">
        <f>'51'!$F$19</f>
        <v>9.1199999999999992</v>
      </c>
      <c r="Q54" s="72">
        <f>'51'!$F$20</f>
        <v>7.73</v>
      </c>
      <c r="R54" s="72" t="str">
        <f>'51'!$F$21</f>
        <v/>
      </c>
      <c r="S54" s="72" t="str">
        <f>'51'!$F$22</f>
        <v/>
      </c>
      <c r="T54" s="72">
        <f>'51'!$F$23</f>
        <v>6.11</v>
      </c>
      <c r="U54" s="72">
        <f>'51'!$F$24</f>
        <v>6.64</v>
      </c>
      <c r="V54" s="72">
        <f>'51'!$F$25</f>
        <v>8</v>
      </c>
      <c r="W54" s="72">
        <f>'51'!$F$26</f>
        <v>8.06</v>
      </c>
      <c r="X54" s="72" t="str">
        <f>'51'!$F$27</f>
        <v/>
      </c>
      <c r="Y54" s="72">
        <f>'51'!$F$28</f>
        <v>5.86</v>
      </c>
      <c r="Z54" s="72">
        <f>'51'!$F$29</f>
        <v>5.31</v>
      </c>
      <c r="AA54" s="72">
        <f>'51'!$F$30</f>
        <v>6.31</v>
      </c>
      <c r="AB54" s="72" t="str">
        <f>'51'!$F$31</f>
        <v/>
      </c>
      <c r="AC54" s="72" t="str">
        <f>'51'!$F$32</f>
        <v/>
      </c>
      <c r="AD54" s="93">
        <f>'51'!$F$33</f>
        <v>6.54</v>
      </c>
    </row>
    <row r="55" spans="1:30" x14ac:dyDescent="0.2">
      <c r="A55" s="90" t="s">
        <v>938</v>
      </c>
      <c r="B55" s="72" t="str">
        <f>'52'!$F$5</f>
        <v/>
      </c>
      <c r="C55" s="72">
        <f>'52'!$F$6</f>
        <v>7.95</v>
      </c>
      <c r="D55" s="72">
        <f>'52'!$F$7</f>
        <v>6.62</v>
      </c>
      <c r="E55" s="72">
        <f>'52'!$F$8</f>
        <v>5.81</v>
      </c>
      <c r="F55" s="72" t="str">
        <f>'52'!$F$9</f>
        <v/>
      </c>
      <c r="G55" s="72">
        <f>'52'!$F$10</f>
        <v>6.93</v>
      </c>
      <c r="H55" s="72">
        <f>'52'!$F$11</f>
        <v>6.67</v>
      </c>
      <c r="I55" s="72">
        <f>'52'!$F$12</f>
        <v>7.09</v>
      </c>
      <c r="J55" s="72" t="str">
        <f>'52'!$F$13</f>
        <v/>
      </c>
      <c r="K55" s="72" t="str">
        <f>'52'!$F$14</f>
        <v/>
      </c>
      <c r="L55" s="72">
        <f>'52'!$F$15</f>
        <v>6.66</v>
      </c>
      <c r="M55" s="72">
        <f>'52'!$F$16</f>
        <v>5.52</v>
      </c>
      <c r="N55" s="72">
        <f>'52'!$F$17</f>
        <v>3.43</v>
      </c>
      <c r="O55" s="72">
        <f>'52'!$F$18</f>
        <v>4.38</v>
      </c>
      <c r="P55" s="72" t="str">
        <f>'52'!$F$19</f>
        <v/>
      </c>
      <c r="Q55" s="72">
        <f>'52'!$F$20</f>
        <v>6.47</v>
      </c>
      <c r="R55" s="72" t="str">
        <f>'52'!$F$21</f>
        <v/>
      </c>
      <c r="S55" s="72">
        <f>'52'!$F$22</f>
        <v>5.16</v>
      </c>
      <c r="T55" s="72">
        <f>'52'!$F$23</f>
        <v>10.51</v>
      </c>
      <c r="U55" s="72">
        <f>'52'!$F$24</f>
        <v>5.92</v>
      </c>
      <c r="V55" s="72">
        <f>'52'!$F$25</f>
        <v>6.99</v>
      </c>
      <c r="W55" s="72">
        <f>'52'!$F$26</f>
        <v>9.39</v>
      </c>
      <c r="X55" s="72" t="str">
        <f>'52'!$F$27</f>
        <v/>
      </c>
      <c r="Y55" s="72">
        <f>'52'!$F$28</f>
        <v>4.08</v>
      </c>
      <c r="Z55" s="72">
        <f>'52'!$F$29</f>
        <v>6.31</v>
      </c>
      <c r="AA55" s="72">
        <f>'52'!$F$30</f>
        <v>7.03</v>
      </c>
      <c r="AB55" s="72" t="str">
        <f>'52'!$F$31</f>
        <v/>
      </c>
      <c r="AC55" s="72" t="str">
        <f>'52'!$F$32</f>
        <v/>
      </c>
      <c r="AD55" s="93">
        <f>'52'!$F$33</f>
        <v>6.35</v>
      </c>
    </row>
    <row r="56" spans="1:30" x14ac:dyDescent="0.2">
      <c r="A56" s="90" t="s">
        <v>939</v>
      </c>
      <c r="B56" s="72">
        <f>'53'!$F$5</f>
        <v>8.4700000000000006</v>
      </c>
      <c r="C56" s="72">
        <f>'53'!$F$6</f>
        <v>8.4700000000000006</v>
      </c>
      <c r="D56" s="72">
        <f>'53'!$F$7</f>
        <v>10.47</v>
      </c>
      <c r="E56" s="72">
        <f>'53'!$F$8</f>
        <v>9.0500000000000007</v>
      </c>
      <c r="F56" s="72" t="str">
        <f>'53'!$F$9</f>
        <v/>
      </c>
      <c r="G56" s="72">
        <f>'53'!$F$10</f>
        <v>8.4700000000000006</v>
      </c>
      <c r="H56" s="72">
        <f>'53'!$F$11</f>
        <v>9.0500000000000007</v>
      </c>
      <c r="I56" s="72">
        <f>'53'!$F$12</f>
        <v>8.4700000000000006</v>
      </c>
      <c r="J56" s="72" t="str">
        <f>'53'!$F$13</f>
        <v/>
      </c>
      <c r="K56" s="72" t="str">
        <f>'53'!$F$14</f>
        <v/>
      </c>
      <c r="L56" s="72">
        <f>'53'!$F$15</f>
        <v>9.6199999999999992</v>
      </c>
      <c r="M56" s="72">
        <f>'53'!$F$16</f>
        <v>8.36</v>
      </c>
      <c r="N56" s="72" t="str">
        <f>'53'!$F$17</f>
        <v/>
      </c>
      <c r="O56" s="72" t="str">
        <f>'53'!$F$18</f>
        <v/>
      </c>
      <c r="P56" s="72" t="str">
        <f>'53'!$F$19</f>
        <v/>
      </c>
      <c r="Q56" s="72" t="str">
        <f>'53'!$F$20</f>
        <v/>
      </c>
      <c r="R56" s="72" t="str">
        <f>'53'!$F$21</f>
        <v/>
      </c>
      <c r="S56" s="72" t="str">
        <f>'53'!$F$22</f>
        <v/>
      </c>
      <c r="T56" s="72">
        <f>'53'!$F$23</f>
        <v>8.36</v>
      </c>
      <c r="U56" s="72">
        <f>'53'!$F$24</f>
        <v>10.83</v>
      </c>
      <c r="V56" s="72">
        <f>'53'!$F$25</f>
        <v>11.05</v>
      </c>
      <c r="W56" s="72">
        <f>'53'!$F$26</f>
        <v>9.0500000000000007</v>
      </c>
      <c r="X56" s="72" t="str">
        <f>'53'!$F$27</f>
        <v/>
      </c>
      <c r="Y56" s="72">
        <f>'53'!$F$28</f>
        <v>9.0500000000000007</v>
      </c>
      <c r="Z56" s="72">
        <f>'53'!$F$29</f>
        <v>6.21</v>
      </c>
      <c r="AA56" s="72">
        <f>'53'!$F$30</f>
        <v>9.0500000000000007</v>
      </c>
      <c r="AB56" s="72" t="str">
        <f>'53'!$F$31</f>
        <v/>
      </c>
      <c r="AC56" s="72" t="str">
        <f>'53'!$F$32</f>
        <v/>
      </c>
      <c r="AD56" s="93">
        <f>'53'!$F$33</f>
        <v>9.11</v>
      </c>
    </row>
    <row r="57" spans="1:30" x14ac:dyDescent="0.2">
      <c r="A57" s="90" t="s">
        <v>940</v>
      </c>
      <c r="B57" s="72">
        <f>'54'!$F$5</f>
        <v>6.52</v>
      </c>
      <c r="C57" s="72">
        <f>'54'!$F$6</f>
        <v>6.35</v>
      </c>
      <c r="D57" s="72">
        <f>'54'!$F$7</f>
        <v>7.06</v>
      </c>
      <c r="E57" s="72">
        <f>'54'!$F$8</f>
        <v>3.39</v>
      </c>
      <c r="F57" s="72">
        <f>'54'!$F$9</f>
        <v>16.649999999999999</v>
      </c>
      <c r="G57" s="72">
        <f>'54'!$F$10</f>
        <v>7.24</v>
      </c>
      <c r="H57" s="72">
        <f>'54'!$F$11</f>
        <v>7.8</v>
      </c>
      <c r="I57" s="72">
        <f>'54'!$F$12</f>
        <v>5.58</v>
      </c>
      <c r="J57" s="72">
        <f>'54'!$F$13</f>
        <v>7.5</v>
      </c>
      <c r="K57" s="72">
        <f>'54'!$F$14</f>
        <v>10.1</v>
      </c>
      <c r="L57" s="72">
        <f>'54'!$F$15</f>
        <v>9.2200000000000006</v>
      </c>
      <c r="M57" s="72">
        <f>'54'!$F$16</f>
        <v>6.11</v>
      </c>
      <c r="N57" s="72">
        <f>'54'!$F$17</f>
        <v>3.86</v>
      </c>
      <c r="O57" s="72">
        <f>'54'!$F$18</f>
        <v>5.71</v>
      </c>
      <c r="P57" s="72" t="str">
        <f>'54'!$F$19</f>
        <v/>
      </c>
      <c r="Q57" s="72">
        <f>'54'!$F$20</f>
        <v>10.01</v>
      </c>
      <c r="R57" s="72" t="str">
        <f>'54'!$F$21</f>
        <v/>
      </c>
      <c r="S57" s="72" t="str">
        <f>'54'!$F$22</f>
        <v/>
      </c>
      <c r="T57" s="72">
        <f>'54'!$F$23</f>
        <v>6.28</v>
      </c>
      <c r="U57" s="72">
        <f>'54'!$F$24</f>
        <v>6.21</v>
      </c>
      <c r="V57" s="72">
        <f>'54'!$F$25</f>
        <v>7.52</v>
      </c>
      <c r="W57" s="72">
        <f>'54'!$F$26</f>
        <v>6.22</v>
      </c>
      <c r="X57" s="72" t="str">
        <f>'54'!$F$27</f>
        <v/>
      </c>
      <c r="Y57" s="72">
        <f>'54'!$F$28</f>
        <v>3.89</v>
      </c>
      <c r="Z57" s="72">
        <f>'54'!$F$29</f>
        <v>6.34</v>
      </c>
      <c r="AA57" s="72">
        <f>'54'!$F$30</f>
        <v>7.25</v>
      </c>
      <c r="AB57" s="72" t="str">
        <f>'54'!$F$31</f>
        <v/>
      </c>
      <c r="AC57" s="72" t="str">
        <f>'54'!$F$32</f>
        <v/>
      </c>
      <c r="AD57" s="93">
        <f>'54'!$F$33</f>
        <v>7.05</v>
      </c>
    </row>
    <row r="58" spans="1:30" x14ac:dyDescent="0.2">
      <c r="A58" s="90" t="s">
        <v>941</v>
      </c>
      <c r="B58" s="72" t="str">
        <f>'55'!$F$5</f>
        <v/>
      </c>
      <c r="C58" s="72">
        <f>'55'!$F$6</f>
        <v>10.53</v>
      </c>
      <c r="D58" s="72">
        <f>'55'!$F$7</f>
        <v>10.53</v>
      </c>
      <c r="E58" s="72">
        <f>'55'!$F$8</f>
        <v>10.53</v>
      </c>
      <c r="F58" s="72" t="str">
        <f>'55'!$F$9</f>
        <v/>
      </c>
      <c r="G58" s="72" t="str">
        <f>'55'!$F$10</f>
        <v/>
      </c>
      <c r="H58" s="72">
        <f>'55'!$F$11</f>
        <v>10.53</v>
      </c>
      <c r="I58" s="72">
        <f>'55'!$F$12</f>
        <v>10.53</v>
      </c>
      <c r="J58" s="72">
        <f>'55'!$F$13</f>
        <v>10.53</v>
      </c>
      <c r="K58" s="72" t="str">
        <f>'55'!$F$14</f>
        <v/>
      </c>
      <c r="L58" s="72">
        <f>'55'!$F$15</f>
        <v>10.53</v>
      </c>
      <c r="M58" s="72">
        <f>'55'!$F$16</f>
        <v>10.53</v>
      </c>
      <c r="N58" s="72" t="str">
        <f>'55'!$F$17</f>
        <v/>
      </c>
      <c r="O58" s="72" t="str">
        <f>'55'!$F$18</f>
        <v/>
      </c>
      <c r="P58" s="72">
        <f>'55'!$F$19</f>
        <v>10.53</v>
      </c>
      <c r="Q58" s="72">
        <f>'55'!$F$20</f>
        <v>10.53</v>
      </c>
      <c r="R58" s="72">
        <f>'55'!$F$21</f>
        <v>10.53</v>
      </c>
      <c r="S58" s="72" t="str">
        <f>'55'!$F$22</f>
        <v/>
      </c>
      <c r="T58" s="72">
        <f>'55'!$F$23</f>
        <v>10.53</v>
      </c>
      <c r="U58" s="72">
        <f>'55'!$F$24</f>
        <v>10.53</v>
      </c>
      <c r="V58" s="72">
        <f>'55'!$F$25</f>
        <v>10.53</v>
      </c>
      <c r="W58" s="72">
        <f>'55'!$F$26</f>
        <v>10.53</v>
      </c>
      <c r="X58" s="72" t="str">
        <f>'55'!$F$27</f>
        <v/>
      </c>
      <c r="Y58" s="72">
        <f>'55'!$F$28</f>
        <v>10.53</v>
      </c>
      <c r="Z58" s="72">
        <f>'55'!$F$29</f>
        <v>10.53</v>
      </c>
      <c r="AA58" s="72">
        <f>'55'!$F$30</f>
        <v>10.53</v>
      </c>
      <c r="AB58" s="72" t="str">
        <f>'55'!$F$31</f>
        <v/>
      </c>
      <c r="AC58" s="72" t="str">
        <f>'55'!$F$32</f>
        <v/>
      </c>
      <c r="AD58" s="93">
        <f>'55'!$F$33</f>
        <v>10.53</v>
      </c>
    </row>
    <row r="59" spans="1:30" x14ac:dyDescent="0.2">
      <c r="A59" s="90" t="s">
        <v>942</v>
      </c>
      <c r="B59" s="72">
        <f>'56'!$F$5</f>
        <v>7.54</v>
      </c>
      <c r="C59" s="72" t="str">
        <f>'56'!$F$6</f>
        <v/>
      </c>
      <c r="D59" s="72">
        <f>'56'!$F$7</f>
        <v>7.54</v>
      </c>
      <c r="E59" s="72">
        <f>'56'!$F$8</f>
        <v>7.54</v>
      </c>
      <c r="F59" s="72" t="str">
        <f>'56'!$F$9</f>
        <v/>
      </c>
      <c r="G59" s="72">
        <f>'56'!$F$10</f>
        <v>7.54</v>
      </c>
      <c r="H59" s="72">
        <f>'56'!$F$11</f>
        <v>7.54</v>
      </c>
      <c r="I59" s="72" t="str">
        <f>'56'!$F$12</f>
        <v/>
      </c>
      <c r="J59" s="72">
        <f>'56'!$F$13</f>
        <v>7.54</v>
      </c>
      <c r="K59" s="72" t="str">
        <f>'56'!$F$14</f>
        <v/>
      </c>
      <c r="L59" s="72">
        <f>'56'!$F$15</f>
        <v>7.54</v>
      </c>
      <c r="M59" s="72">
        <f>'56'!$F$16</f>
        <v>7.54</v>
      </c>
      <c r="N59" s="72">
        <f>'56'!$F$17</f>
        <v>7.54</v>
      </c>
      <c r="O59" s="72">
        <f>'56'!$F$18</f>
        <v>7.54</v>
      </c>
      <c r="P59" s="72" t="str">
        <f>'56'!$F$19</f>
        <v/>
      </c>
      <c r="Q59" s="72">
        <f>'56'!$F$20</f>
        <v>7.54</v>
      </c>
      <c r="R59" s="72" t="str">
        <f>'56'!$F$21</f>
        <v/>
      </c>
      <c r="S59" s="72">
        <f>'56'!$F$22</f>
        <v>7.54</v>
      </c>
      <c r="T59" s="72">
        <f>'56'!$F$23</f>
        <v>7.54</v>
      </c>
      <c r="U59" s="72" t="str">
        <f>'56'!$F$24</f>
        <v/>
      </c>
      <c r="V59" s="72" t="str">
        <f>'56'!$F$25</f>
        <v/>
      </c>
      <c r="W59" s="72" t="str">
        <f>'56'!$F$26</f>
        <v/>
      </c>
      <c r="X59" s="72">
        <f>'56'!$F$27</f>
        <v>7.54</v>
      </c>
      <c r="Y59" s="72">
        <f>'56'!$F$28</f>
        <v>7.54</v>
      </c>
      <c r="Z59" s="72">
        <f>'56'!$F$29</f>
        <v>7.54</v>
      </c>
      <c r="AA59" s="72">
        <f>'56'!$F$30</f>
        <v>7.54</v>
      </c>
      <c r="AB59" s="72" t="str">
        <f>'56'!$F$31</f>
        <v/>
      </c>
      <c r="AC59" s="72" t="str">
        <f>'56'!$F$32</f>
        <v/>
      </c>
      <c r="AD59" s="93">
        <f>'56'!$F$33</f>
        <v>7.54</v>
      </c>
    </row>
    <row r="60" spans="1:30" ht="15" thickBot="1" x14ac:dyDescent="0.25">
      <c r="A60" s="71" t="s">
        <v>943</v>
      </c>
      <c r="B60" s="69" t="str">
        <f>'57'!$F$5</f>
        <v/>
      </c>
      <c r="C60" s="69" t="str">
        <f>'57'!$F$6</f>
        <v/>
      </c>
      <c r="D60" s="69">
        <f>'57'!$F$7</f>
        <v>206.17</v>
      </c>
      <c r="E60" s="69">
        <f>'57'!$F$8</f>
        <v>206.17</v>
      </c>
      <c r="F60" s="69" t="str">
        <f>'57'!$F$9</f>
        <v/>
      </c>
      <c r="G60" s="69">
        <f>'57'!$F$10</f>
        <v>206.18</v>
      </c>
      <c r="H60" s="69">
        <f>'57'!$F$11</f>
        <v>206.17</v>
      </c>
      <c r="I60" s="69" t="str">
        <f>'57'!$F$12</f>
        <v/>
      </c>
      <c r="J60" s="69">
        <f>'57'!$F$13</f>
        <v>206.17</v>
      </c>
      <c r="K60" s="69" t="str">
        <f>'57'!$F$14</f>
        <v/>
      </c>
      <c r="L60" s="69">
        <f>'57'!$F$15</f>
        <v>206.17</v>
      </c>
      <c r="M60" s="69">
        <f>'57'!$F$16</f>
        <v>206.17</v>
      </c>
      <c r="N60" s="69">
        <f>'57'!$F$17</f>
        <v>206.17</v>
      </c>
      <c r="O60" s="69" t="str">
        <f>'57'!$F$18</f>
        <v/>
      </c>
      <c r="P60" s="69">
        <f>'57'!$F$19</f>
        <v>206.17</v>
      </c>
      <c r="Q60" s="69">
        <f>'57'!$F$20</f>
        <v>206.17</v>
      </c>
      <c r="R60" s="69" t="str">
        <f>'57'!$F$21</f>
        <v/>
      </c>
      <c r="S60" s="69">
        <f>'57'!$F$22</f>
        <v>206.17</v>
      </c>
      <c r="T60" s="69">
        <f>'57'!$F$23</f>
        <v>206.17</v>
      </c>
      <c r="U60" s="69">
        <f>'57'!$F$24</f>
        <v>206.17</v>
      </c>
      <c r="V60" s="69" t="str">
        <f>'57'!$F$25</f>
        <v/>
      </c>
      <c r="W60" s="69" t="str">
        <f>'57'!$F$26</f>
        <v/>
      </c>
      <c r="X60" s="69">
        <f>'57'!$F$27</f>
        <v>206.16</v>
      </c>
      <c r="Y60" s="69">
        <f>'57'!$F$28</f>
        <v>206.17</v>
      </c>
      <c r="Z60" s="69">
        <f>'57'!$F$29</f>
        <v>206.17</v>
      </c>
      <c r="AA60" s="69">
        <f>'57'!$F$30</f>
        <v>206.17</v>
      </c>
      <c r="AB60" s="69" t="str">
        <f>'57'!$F$31</f>
        <v/>
      </c>
      <c r="AC60" s="69" t="str">
        <f>'57'!$F$32</f>
        <v/>
      </c>
      <c r="AD60" s="70">
        <f>'57'!$F$33</f>
        <v>206.17</v>
      </c>
    </row>
    <row r="61" spans="1:30" s="66" customFormat="1" x14ac:dyDescent="0.2">
      <c r="A61" s="88" t="s">
        <v>35</v>
      </c>
      <c r="B61" s="118">
        <f>Summary!$F$5</f>
        <v>7.58</v>
      </c>
      <c r="C61" s="118">
        <f>Summary!$F$6</f>
        <v>7.27</v>
      </c>
      <c r="D61" s="118">
        <f>Summary!$F$7</f>
        <v>6.0399999999999991</v>
      </c>
      <c r="E61" s="118">
        <f>Summary!$F$8</f>
        <v>6.4599999999999991</v>
      </c>
      <c r="F61" s="118">
        <f>Summary!$F$9</f>
        <v>11.03</v>
      </c>
      <c r="G61" s="118">
        <f>Summary!$F$10</f>
        <v>7.26</v>
      </c>
      <c r="H61" s="118">
        <f>Summary!$F$11</f>
        <v>6.92</v>
      </c>
      <c r="I61" s="118">
        <f>Summary!$F$12</f>
        <v>6.75</v>
      </c>
      <c r="J61" s="118">
        <f>Summary!$F$13</f>
        <v>5.51</v>
      </c>
      <c r="K61" s="118">
        <f>Summary!$F$14</f>
        <v>8.5399999999999991</v>
      </c>
      <c r="L61" s="118">
        <f>Summary!$F$15</f>
        <v>6.8899999999999988</v>
      </c>
      <c r="M61" s="118">
        <f>Summary!$F$16</f>
        <v>5.9399999999999995</v>
      </c>
      <c r="N61" s="118">
        <f>Summary!$F$17</f>
        <v>6.06</v>
      </c>
      <c r="O61" s="118">
        <f>Summary!$F$18</f>
        <v>9.8099999999999987</v>
      </c>
      <c r="P61" s="118">
        <f>Summary!$F$19</f>
        <v>12.22</v>
      </c>
      <c r="Q61" s="118">
        <f>Summary!$F$20</f>
        <v>6.5499999999999989</v>
      </c>
      <c r="R61" s="118">
        <f>Summary!$F$21</f>
        <v>11.94</v>
      </c>
      <c r="S61" s="118">
        <f>Summary!$F$22</f>
        <v>6.66</v>
      </c>
      <c r="T61" s="118">
        <f>Summary!$F$23</f>
        <v>5.5499999999999989</v>
      </c>
      <c r="U61" s="118">
        <f>Summary!$F$24</f>
        <v>7.6199999999999992</v>
      </c>
      <c r="V61" s="118">
        <f>Summary!$F$25</f>
        <v>8.76</v>
      </c>
      <c r="W61" s="118">
        <f>Summary!$F$26</f>
        <v>8.36</v>
      </c>
      <c r="X61" s="118">
        <f>Summary!$F$27</f>
        <v>7.32</v>
      </c>
      <c r="Y61" s="118">
        <f>Summary!$F$28</f>
        <v>6.34</v>
      </c>
      <c r="Z61" s="118">
        <f>Summary!$F$29</f>
        <v>5.3199999999999994</v>
      </c>
      <c r="AA61" s="118">
        <f>Summary!$F$30</f>
        <v>7.5</v>
      </c>
      <c r="AB61" s="118"/>
      <c r="AC61" s="118"/>
      <c r="AD61" s="119">
        <f>Summary!$F$33</f>
        <v>6.43</v>
      </c>
    </row>
    <row r="62" spans="1:30" s="66" customFormat="1" x14ac:dyDescent="0.2">
      <c r="A62" s="95" t="s">
        <v>947</v>
      </c>
      <c r="B62" s="18">
        <f>AVERAGE(B$4:B$60)</f>
        <v>8.2813043478260884</v>
      </c>
      <c r="C62" s="18">
        <f t="shared" ref="C62:AD62" si="0">AVERAGE(C$4:C$60)</f>
        <v>9.4360377358490553</v>
      </c>
      <c r="D62" s="18">
        <f t="shared" si="0"/>
        <v>9.9208771929824557</v>
      </c>
      <c r="E62" s="18">
        <f t="shared" si="0"/>
        <v>10.234736842105262</v>
      </c>
      <c r="F62" s="18">
        <f t="shared" si="0"/>
        <v>12.332500000000001</v>
      </c>
      <c r="G62" s="18">
        <f t="shared" si="0"/>
        <v>14.449259259259259</v>
      </c>
      <c r="H62" s="18">
        <f t="shared" si="0"/>
        <v>11.189649122807019</v>
      </c>
      <c r="I62" s="18">
        <f t="shared" si="0"/>
        <v>19.246153846153849</v>
      </c>
      <c r="J62" s="18">
        <f t="shared" si="0"/>
        <v>10.277407407407406</v>
      </c>
      <c r="K62" s="18">
        <f t="shared" si="0"/>
        <v>18.719473684210524</v>
      </c>
      <c r="L62" s="18">
        <f t="shared" si="0"/>
        <v>11.483461538461537</v>
      </c>
      <c r="M62" s="18">
        <f t="shared" si="0"/>
        <v>9.8514035087719272</v>
      </c>
      <c r="N62" s="18">
        <f t="shared" si="0"/>
        <v>10.102181818181821</v>
      </c>
      <c r="O62" s="18">
        <f t="shared" si="0"/>
        <v>11.644255319148936</v>
      </c>
      <c r="P62" s="18">
        <f t="shared" si="0"/>
        <v>26.674666666666667</v>
      </c>
      <c r="Q62" s="18">
        <f t="shared" si="0"/>
        <v>10.95607142857143</v>
      </c>
      <c r="R62" s="18">
        <f t="shared" si="0"/>
        <v>12.514999999999997</v>
      </c>
      <c r="S62" s="18">
        <f t="shared" si="0"/>
        <v>11.272448979591838</v>
      </c>
      <c r="T62" s="18">
        <f t="shared" si="0"/>
        <v>9.5571929824561384</v>
      </c>
      <c r="U62" s="18">
        <f t="shared" si="0"/>
        <v>12.505454545454542</v>
      </c>
      <c r="V62" s="18">
        <f t="shared" si="0"/>
        <v>11.202249999999999</v>
      </c>
      <c r="W62" s="18">
        <f t="shared" si="0"/>
        <v>38.174571428571426</v>
      </c>
      <c r="X62" s="18">
        <f t="shared" si="0"/>
        <v>12.272115384615383</v>
      </c>
      <c r="Y62" s="18">
        <f t="shared" si="0"/>
        <v>10.919107142857143</v>
      </c>
      <c r="Z62" s="18">
        <f t="shared" si="0"/>
        <v>9.256491228070173</v>
      </c>
      <c r="AA62" s="18">
        <f t="shared" si="0"/>
        <v>11.362982456140349</v>
      </c>
      <c r="AB62" s="18"/>
      <c r="AC62" s="18"/>
      <c r="AD62" s="21">
        <f t="shared" si="0"/>
        <v>10.29017543859649</v>
      </c>
    </row>
    <row r="63" spans="1:30" s="66" customFormat="1" x14ac:dyDescent="0.2">
      <c r="A63" s="95" t="s">
        <v>948</v>
      </c>
      <c r="B63" s="18">
        <f>MAX(B$4:B$60)</f>
        <v>19.05</v>
      </c>
      <c r="C63" s="18">
        <f t="shared" ref="C63:AD63" si="1">MAX(C$4:C$60)</f>
        <v>67.2</v>
      </c>
      <c r="D63" s="18">
        <f t="shared" si="1"/>
        <v>206.17</v>
      </c>
      <c r="E63" s="18">
        <f t="shared" si="1"/>
        <v>206.17</v>
      </c>
      <c r="F63" s="18">
        <f t="shared" si="1"/>
        <v>23.22</v>
      </c>
      <c r="G63" s="18">
        <f t="shared" si="1"/>
        <v>206.18</v>
      </c>
      <c r="H63" s="18">
        <f t="shared" si="1"/>
        <v>206.17</v>
      </c>
      <c r="I63" s="18">
        <f t="shared" si="1"/>
        <v>395.86</v>
      </c>
      <c r="J63" s="18">
        <f t="shared" si="1"/>
        <v>206.17</v>
      </c>
      <c r="K63" s="18">
        <f t="shared" si="1"/>
        <v>130.63999999999999</v>
      </c>
      <c r="L63" s="18">
        <f t="shared" si="1"/>
        <v>206.17</v>
      </c>
      <c r="M63" s="18">
        <f t="shared" si="1"/>
        <v>206.17</v>
      </c>
      <c r="N63" s="18">
        <f t="shared" si="1"/>
        <v>206.17</v>
      </c>
      <c r="O63" s="18">
        <f t="shared" si="1"/>
        <v>101.28</v>
      </c>
      <c r="P63" s="18">
        <f t="shared" si="1"/>
        <v>206.17</v>
      </c>
      <c r="Q63" s="18">
        <f t="shared" si="1"/>
        <v>206.17</v>
      </c>
      <c r="R63" s="18">
        <f t="shared" si="1"/>
        <v>20.05</v>
      </c>
      <c r="S63" s="18">
        <f t="shared" si="1"/>
        <v>206.17</v>
      </c>
      <c r="T63" s="18">
        <f t="shared" si="1"/>
        <v>206.17</v>
      </c>
      <c r="U63" s="18">
        <f t="shared" si="1"/>
        <v>206.17</v>
      </c>
      <c r="V63" s="18">
        <f t="shared" si="1"/>
        <v>29.73</v>
      </c>
      <c r="W63" s="18">
        <f t="shared" si="1"/>
        <v>922.32</v>
      </c>
      <c r="X63" s="18">
        <f t="shared" si="1"/>
        <v>206.16</v>
      </c>
      <c r="Y63" s="18">
        <f t="shared" si="1"/>
        <v>206.17</v>
      </c>
      <c r="Z63" s="18">
        <f t="shared" si="1"/>
        <v>206.17</v>
      </c>
      <c r="AA63" s="18">
        <f t="shared" si="1"/>
        <v>206.17</v>
      </c>
      <c r="AB63" s="18"/>
      <c r="AC63" s="18"/>
      <c r="AD63" s="21">
        <f t="shared" si="1"/>
        <v>206.17</v>
      </c>
    </row>
    <row r="64" spans="1:30" s="66" customFormat="1" x14ac:dyDescent="0.2">
      <c r="A64" s="95" t="s">
        <v>949</v>
      </c>
      <c r="B64" s="18">
        <f>MIN(B$4:B$60)</f>
        <v>2.99</v>
      </c>
      <c r="C64" s="18">
        <f t="shared" ref="C64:AD64" si="2">MIN(C$4:C$60)</f>
        <v>2.65</v>
      </c>
      <c r="D64" s="18">
        <f t="shared" si="2"/>
        <v>3.49</v>
      </c>
      <c r="E64" s="18">
        <f t="shared" si="2"/>
        <v>2.71</v>
      </c>
      <c r="F64" s="18">
        <f t="shared" si="2"/>
        <v>5.05</v>
      </c>
      <c r="G64" s="18">
        <f t="shared" si="2"/>
        <v>2.12</v>
      </c>
      <c r="H64" s="18">
        <f t="shared" si="2"/>
        <v>3.77</v>
      </c>
      <c r="I64" s="18">
        <f t="shared" si="2"/>
        <v>3.31</v>
      </c>
      <c r="J64" s="18">
        <f t="shared" si="2"/>
        <v>2.87</v>
      </c>
      <c r="K64" s="18">
        <f t="shared" si="2"/>
        <v>2.63</v>
      </c>
      <c r="L64" s="18">
        <f t="shared" si="2"/>
        <v>3.34</v>
      </c>
      <c r="M64" s="18">
        <f t="shared" si="2"/>
        <v>3.83</v>
      </c>
      <c r="N64" s="18">
        <f t="shared" si="2"/>
        <v>3.43</v>
      </c>
      <c r="O64" s="18">
        <f t="shared" si="2"/>
        <v>3.31</v>
      </c>
      <c r="P64" s="18">
        <f t="shared" si="2"/>
        <v>4.17</v>
      </c>
      <c r="Q64" s="18">
        <f t="shared" si="2"/>
        <v>3.47</v>
      </c>
      <c r="R64" s="18">
        <f t="shared" si="2"/>
        <v>5.57</v>
      </c>
      <c r="S64" s="18">
        <f t="shared" si="2"/>
        <v>3.85</v>
      </c>
      <c r="T64" s="18">
        <f t="shared" si="2"/>
        <v>3.51</v>
      </c>
      <c r="U64" s="18">
        <f t="shared" si="2"/>
        <v>2.66</v>
      </c>
      <c r="V64" s="18">
        <f t="shared" si="2"/>
        <v>2.14</v>
      </c>
      <c r="W64" s="18">
        <f t="shared" si="2"/>
        <v>2.63</v>
      </c>
      <c r="X64" s="18">
        <f t="shared" si="2"/>
        <v>2.48</v>
      </c>
      <c r="Y64" s="18">
        <f t="shared" si="2"/>
        <v>3.76</v>
      </c>
      <c r="Z64" s="18">
        <f t="shared" si="2"/>
        <v>3.25</v>
      </c>
      <c r="AA64" s="18">
        <f t="shared" si="2"/>
        <v>3.66</v>
      </c>
      <c r="AB64" s="18"/>
      <c r="AC64" s="18"/>
      <c r="AD64" s="21">
        <f t="shared" si="2"/>
        <v>4.28</v>
      </c>
    </row>
    <row r="65" spans="1:30" s="66" customFormat="1" ht="15" thickBot="1" x14ac:dyDescent="0.25">
      <c r="A65" s="89" t="s">
        <v>950</v>
      </c>
      <c r="B65" s="64">
        <f>MEDIAN(B$4:B$60)</f>
        <v>8.2399999999999984</v>
      </c>
      <c r="C65" s="64">
        <f t="shared" ref="C65:AD65" si="3">MEDIAN(C$4:C$60)</f>
        <v>7.7</v>
      </c>
      <c r="D65" s="64">
        <f t="shared" si="3"/>
        <v>6.36</v>
      </c>
      <c r="E65" s="64">
        <f t="shared" si="3"/>
        <v>6.58</v>
      </c>
      <c r="F65" s="64">
        <f t="shared" si="3"/>
        <v>13.7</v>
      </c>
      <c r="G65" s="64">
        <f t="shared" si="3"/>
        <v>7.84</v>
      </c>
      <c r="H65" s="64">
        <f t="shared" si="3"/>
        <v>7.66</v>
      </c>
      <c r="I65" s="64">
        <f t="shared" si="3"/>
        <v>6.92</v>
      </c>
      <c r="J65" s="64">
        <f t="shared" si="3"/>
        <v>5.9850000000000003</v>
      </c>
      <c r="K65" s="64">
        <f t="shared" si="3"/>
        <v>7.76</v>
      </c>
      <c r="L65" s="64">
        <f t="shared" si="3"/>
        <v>7.1950000000000003</v>
      </c>
      <c r="M65" s="64">
        <f t="shared" si="3"/>
        <v>6.33</v>
      </c>
      <c r="N65" s="64">
        <f t="shared" si="3"/>
        <v>6.33</v>
      </c>
      <c r="O65" s="64">
        <f t="shared" si="3"/>
        <v>10.01</v>
      </c>
      <c r="P65" s="64">
        <f t="shared" si="3"/>
        <v>12.5</v>
      </c>
      <c r="Q65" s="64">
        <f t="shared" si="3"/>
        <v>7.2200000000000006</v>
      </c>
      <c r="R65" s="64">
        <f t="shared" si="3"/>
        <v>11.59</v>
      </c>
      <c r="S65" s="64">
        <f t="shared" si="3"/>
        <v>7.17</v>
      </c>
      <c r="T65" s="64">
        <f t="shared" si="3"/>
        <v>6.01</v>
      </c>
      <c r="U65" s="64">
        <f t="shared" si="3"/>
        <v>8.02</v>
      </c>
      <c r="V65" s="64">
        <f t="shared" si="3"/>
        <v>9.3650000000000002</v>
      </c>
      <c r="W65" s="64">
        <f t="shared" si="3"/>
        <v>8.06</v>
      </c>
      <c r="X65" s="64">
        <f t="shared" si="3"/>
        <v>7.7750000000000004</v>
      </c>
      <c r="Y65" s="64">
        <f t="shared" si="3"/>
        <v>6.4700000000000006</v>
      </c>
      <c r="Z65" s="64">
        <f t="shared" si="3"/>
        <v>5.75</v>
      </c>
      <c r="AA65" s="64">
        <f t="shared" si="3"/>
        <v>7.73</v>
      </c>
      <c r="AB65" s="64"/>
      <c r="AC65" s="64"/>
      <c r="AD65" s="25">
        <f t="shared" si="3"/>
        <v>6.72</v>
      </c>
    </row>
    <row r="66" spans="1:30" ht="15" thickBot="1" x14ac:dyDescent="0.25">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5" customHeight="1" x14ac:dyDescent="0.2">
      <c r="B67" s="200" t="s">
        <v>945</v>
      </c>
      <c r="C67" s="201"/>
      <c r="D67" s="201"/>
      <c r="E67" s="201"/>
      <c r="F67" s="201"/>
      <c r="G67" s="201"/>
      <c r="H67" s="201"/>
      <c r="I67" s="201"/>
      <c r="J67" s="201"/>
      <c r="K67" s="202"/>
      <c r="L67" s="200" t="s">
        <v>945</v>
      </c>
      <c r="M67" s="201"/>
      <c r="N67" s="201"/>
      <c r="O67" s="201"/>
      <c r="P67" s="201"/>
      <c r="Q67" s="201"/>
      <c r="R67" s="201"/>
      <c r="S67" s="201"/>
      <c r="T67" s="201"/>
      <c r="U67" s="202"/>
      <c r="V67" s="200" t="s">
        <v>945</v>
      </c>
      <c r="W67" s="201"/>
      <c r="X67" s="201"/>
      <c r="Y67" s="201"/>
      <c r="Z67" s="201"/>
      <c r="AA67" s="201"/>
      <c r="AB67" s="201"/>
      <c r="AC67" s="201"/>
      <c r="AD67" s="202"/>
    </row>
    <row r="68" spans="1:30" x14ac:dyDescent="0.2">
      <c r="B68" s="203" t="s">
        <v>954</v>
      </c>
      <c r="C68" s="204"/>
      <c r="D68" s="204"/>
      <c r="E68" s="204"/>
      <c r="F68" s="204"/>
      <c r="G68" s="204"/>
      <c r="H68" s="204"/>
      <c r="I68" s="204"/>
      <c r="J68" s="204"/>
      <c r="K68" s="205"/>
      <c r="L68" s="203" t="s">
        <v>990</v>
      </c>
      <c r="M68" s="204"/>
      <c r="N68" s="204"/>
      <c r="O68" s="204"/>
      <c r="P68" s="204"/>
      <c r="Q68" s="204"/>
      <c r="R68" s="204"/>
      <c r="S68" s="204"/>
      <c r="T68" s="204"/>
      <c r="U68" s="205"/>
      <c r="V68" s="203" t="s">
        <v>973</v>
      </c>
      <c r="W68" s="204"/>
      <c r="X68" s="204"/>
      <c r="Y68" s="204"/>
      <c r="Z68" s="204"/>
      <c r="AA68" s="204"/>
      <c r="AB68" s="204"/>
      <c r="AC68" s="204"/>
      <c r="AD68" s="205"/>
    </row>
    <row r="69" spans="1:30" x14ac:dyDescent="0.2">
      <c r="B69" s="203" t="s">
        <v>955</v>
      </c>
      <c r="C69" s="204"/>
      <c r="D69" s="204"/>
      <c r="E69" s="204"/>
      <c r="F69" s="204"/>
      <c r="G69" s="204"/>
      <c r="H69" s="204"/>
      <c r="I69" s="204"/>
      <c r="J69" s="204"/>
      <c r="K69" s="205"/>
      <c r="L69" s="203" t="s">
        <v>964</v>
      </c>
      <c r="M69" s="204"/>
      <c r="N69" s="204"/>
      <c r="O69" s="204"/>
      <c r="P69" s="204"/>
      <c r="Q69" s="204"/>
      <c r="R69" s="204"/>
      <c r="S69" s="204"/>
      <c r="T69" s="204"/>
      <c r="U69" s="205"/>
      <c r="V69" s="203" t="s">
        <v>974</v>
      </c>
      <c r="W69" s="204"/>
      <c r="X69" s="204"/>
      <c r="Y69" s="204"/>
      <c r="Z69" s="204"/>
      <c r="AA69" s="204"/>
      <c r="AB69" s="204"/>
      <c r="AC69" s="204"/>
      <c r="AD69" s="205"/>
    </row>
    <row r="70" spans="1:30" x14ac:dyDescent="0.2">
      <c r="B70" s="203" t="s">
        <v>957</v>
      </c>
      <c r="C70" s="204"/>
      <c r="D70" s="204"/>
      <c r="E70" s="204"/>
      <c r="F70" s="204"/>
      <c r="G70" s="204"/>
      <c r="H70" s="204"/>
      <c r="I70" s="204"/>
      <c r="J70" s="204"/>
      <c r="K70" s="205"/>
      <c r="L70" s="203" t="s">
        <v>965</v>
      </c>
      <c r="M70" s="204"/>
      <c r="N70" s="204"/>
      <c r="O70" s="204"/>
      <c r="P70" s="204"/>
      <c r="Q70" s="204"/>
      <c r="R70" s="204"/>
      <c r="S70" s="204"/>
      <c r="T70" s="204"/>
      <c r="U70" s="205"/>
      <c r="V70" s="203" t="s">
        <v>975</v>
      </c>
      <c r="W70" s="204"/>
      <c r="X70" s="204"/>
      <c r="Y70" s="204"/>
      <c r="Z70" s="204"/>
      <c r="AA70" s="204"/>
      <c r="AB70" s="204"/>
      <c r="AC70" s="204"/>
      <c r="AD70" s="205"/>
    </row>
    <row r="71" spans="1:30" x14ac:dyDescent="0.2">
      <c r="B71" s="203" t="s">
        <v>956</v>
      </c>
      <c r="C71" s="204"/>
      <c r="D71" s="204"/>
      <c r="E71" s="204"/>
      <c r="F71" s="204"/>
      <c r="G71" s="204"/>
      <c r="H71" s="204"/>
      <c r="I71" s="204"/>
      <c r="J71" s="204"/>
      <c r="K71" s="205"/>
      <c r="L71" s="203" t="s">
        <v>966</v>
      </c>
      <c r="M71" s="204"/>
      <c r="N71" s="204"/>
      <c r="O71" s="204"/>
      <c r="P71" s="204"/>
      <c r="Q71" s="204"/>
      <c r="R71" s="204"/>
      <c r="S71" s="204"/>
      <c r="T71" s="204"/>
      <c r="U71" s="205"/>
      <c r="V71" s="203" t="s">
        <v>976</v>
      </c>
      <c r="W71" s="204"/>
      <c r="X71" s="204"/>
      <c r="Y71" s="204"/>
      <c r="Z71" s="204"/>
      <c r="AA71" s="204"/>
      <c r="AB71" s="204"/>
      <c r="AC71" s="204"/>
      <c r="AD71" s="205"/>
    </row>
    <row r="72" spans="1:30" x14ac:dyDescent="0.2">
      <c r="B72" s="203" t="s">
        <v>958</v>
      </c>
      <c r="C72" s="204"/>
      <c r="D72" s="204"/>
      <c r="E72" s="204"/>
      <c r="F72" s="204"/>
      <c r="G72" s="204"/>
      <c r="H72" s="204"/>
      <c r="I72" s="204"/>
      <c r="J72" s="204"/>
      <c r="K72" s="205"/>
      <c r="L72" s="203" t="s">
        <v>967</v>
      </c>
      <c r="M72" s="204"/>
      <c r="N72" s="204"/>
      <c r="O72" s="204"/>
      <c r="P72" s="204"/>
      <c r="Q72" s="204"/>
      <c r="R72" s="204"/>
      <c r="S72" s="204"/>
      <c r="T72" s="204"/>
      <c r="U72" s="205"/>
      <c r="V72" s="203" t="s">
        <v>977</v>
      </c>
      <c r="W72" s="204"/>
      <c r="X72" s="204"/>
      <c r="Y72" s="204"/>
      <c r="Z72" s="204"/>
      <c r="AA72" s="204"/>
      <c r="AB72" s="204"/>
      <c r="AC72" s="204"/>
      <c r="AD72" s="205"/>
    </row>
    <row r="73" spans="1:30" x14ac:dyDescent="0.2">
      <c r="B73" s="203" t="s">
        <v>959</v>
      </c>
      <c r="C73" s="204"/>
      <c r="D73" s="204"/>
      <c r="E73" s="204"/>
      <c r="F73" s="204"/>
      <c r="G73" s="204"/>
      <c r="H73" s="204"/>
      <c r="I73" s="204"/>
      <c r="J73" s="204"/>
      <c r="K73" s="205"/>
      <c r="L73" s="203" t="s">
        <v>968</v>
      </c>
      <c r="M73" s="204"/>
      <c r="N73" s="204"/>
      <c r="O73" s="204"/>
      <c r="P73" s="204"/>
      <c r="Q73" s="204"/>
      <c r="R73" s="204"/>
      <c r="S73" s="204"/>
      <c r="T73" s="204"/>
      <c r="U73" s="205"/>
      <c r="V73" s="203" t="s">
        <v>978</v>
      </c>
      <c r="W73" s="204"/>
      <c r="X73" s="204"/>
      <c r="Y73" s="204"/>
      <c r="Z73" s="204"/>
      <c r="AA73" s="204"/>
      <c r="AB73" s="204"/>
      <c r="AC73" s="204"/>
      <c r="AD73" s="205"/>
    </row>
    <row r="74" spans="1:30" x14ac:dyDescent="0.2">
      <c r="B74" s="203" t="s">
        <v>960</v>
      </c>
      <c r="C74" s="204"/>
      <c r="D74" s="204"/>
      <c r="E74" s="204"/>
      <c r="F74" s="204"/>
      <c r="G74" s="204"/>
      <c r="H74" s="204"/>
      <c r="I74" s="204"/>
      <c r="J74" s="204"/>
      <c r="K74" s="205"/>
      <c r="L74" s="203" t="s">
        <v>969</v>
      </c>
      <c r="M74" s="204"/>
      <c r="N74" s="204"/>
      <c r="O74" s="204"/>
      <c r="P74" s="204"/>
      <c r="Q74" s="204"/>
      <c r="R74" s="204"/>
      <c r="S74" s="204"/>
      <c r="T74" s="204"/>
      <c r="U74" s="205"/>
      <c r="V74" s="197"/>
      <c r="W74" s="198"/>
      <c r="X74" s="198"/>
      <c r="Y74" s="198"/>
      <c r="Z74" s="198"/>
      <c r="AA74" s="198"/>
      <c r="AB74" s="198"/>
      <c r="AC74" s="198"/>
      <c r="AD74" s="199"/>
    </row>
    <row r="75" spans="1:30" x14ac:dyDescent="0.2">
      <c r="B75" s="203" t="s">
        <v>961</v>
      </c>
      <c r="C75" s="204"/>
      <c r="D75" s="204"/>
      <c r="E75" s="204"/>
      <c r="F75" s="204"/>
      <c r="G75" s="204"/>
      <c r="H75" s="204"/>
      <c r="I75" s="204"/>
      <c r="J75" s="204"/>
      <c r="K75" s="205"/>
      <c r="L75" s="203" t="s">
        <v>970</v>
      </c>
      <c r="M75" s="204"/>
      <c r="N75" s="204"/>
      <c r="O75" s="204"/>
      <c r="P75" s="204"/>
      <c r="Q75" s="204"/>
      <c r="R75" s="204"/>
      <c r="S75" s="204"/>
      <c r="T75" s="204"/>
      <c r="U75" s="205"/>
      <c r="V75" s="203" t="s">
        <v>979</v>
      </c>
      <c r="W75" s="204"/>
      <c r="X75" s="204"/>
      <c r="Y75" s="204"/>
      <c r="Z75" s="204"/>
      <c r="AA75" s="204"/>
      <c r="AB75" s="204"/>
      <c r="AC75" s="204"/>
      <c r="AD75" s="205"/>
    </row>
    <row r="76" spans="1:30" x14ac:dyDescent="0.2">
      <c r="B76" s="203" t="s">
        <v>962</v>
      </c>
      <c r="C76" s="204"/>
      <c r="D76" s="204"/>
      <c r="E76" s="204"/>
      <c r="F76" s="204"/>
      <c r="G76" s="204"/>
      <c r="H76" s="204"/>
      <c r="I76" s="204"/>
      <c r="J76" s="204"/>
      <c r="K76" s="205"/>
      <c r="L76" s="203" t="s">
        <v>971</v>
      </c>
      <c r="M76" s="204"/>
      <c r="N76" s="204"/>
      <c r="O76" s="204"/>
      <c r="P76" s="204"/>
      <c r="Q76" s="204"/>
      <c r="R76" s="204"/>
      <c r="S76" s="204"/>
      <c r="T76" s="204"/>
      <c r="U76" s="205"/>
      <c r="V76" s="203" t="s">
        <v>980</v>
      </c>
      <c r="W76" s="204"/>
      <c r="X76" s="204"/>
      <c r="Y76" s="204"/>
      <c r="Z76" s="204"/>
      <c r="AA76" s="204"/>
      <c r="AB76" s="204"/>
      <c r="AC76" s="204"/>
      <c r="AD76" s="205"/>
    </row>
    <row r="77" spans="1:30" ht="15" thickBot="1" x14ac:dyDescent="0.25">
      <c r="B77" s="194" t="s">
        <v>963</v>
      </c>
      <c r="C77" s="195"/>
      <c r="D77" s="195"/>
      <c r="E77" s="195"/>
      <c r="F77" s="195"/>
      <c r="G77" s="195"/>
      <c r="H77" s="195"/>
      <c r="I77" s="195"/>
      <c r="J77" s="195"/>
      <c r="K77" s="196"/>
      <c r="L77" s="194" t="s">
        <v>972</v>
      </c>
      <c r="M77" s="195"/>
      <c r="N77" s="195"/>
      <c r="O77" s="195"/>
      <c r="P77" s="195"/>
      <c r="Q77" s="195"/>
      <c r="R77" s="195"/>
      <c r="S77" s="195"/>
      <c r="T77" s="195"/>
      <c r="U77" s="196"/>
      <c r="V77" s="194" t="s">
        <v>981</v>
      </c>
      <c r="W77" s="195"/>
      <c r="X77" s="195"/>
      <c r="Y77" s="195"/>
      <c r="Z77" s="195"/>
      <c r="AA77" s="195"/>
      <c r="AB77" s="195"/>
      <c r="AC77" s="195"/>
      <c r="AD77" s="196"/>
    </row>
    <row r="95" s="66" customFormat="1" x14ac:dyDescent="0.2"/>
    <row r="96" s="66" customFormat="1" x14ac:dyDescent="0.2"/>
  </sheetData>
  <mergeCells count="33">
    <mergeCell ref="B67:K67"/>
    <mergeCell ref="B73:K73"/>
    <mergeCell ref="B74:K74"/>
    <mergeCell ref="B75:K75"/>
    <mergeCell ref="B76:K76"/>
    <mergeCell ref="B77:K77"/>
    <mergeCell ref="B68:K68"/>
    <mergeCell ref="B69:K69"/>
    <mergeCell ref="B70:K70"/>
    <mergeCell ref="B71:K71"/>
    <mergeCell ref="B72:K72"/>
    <mergeCell ref="V73:AD73"/>
    <mergeCell ref="V75:AD75"/>
    <mergeCell ref="V76:AD76"/>
    <mergeCell ref="V68:AD68"/>
    <mergeCell ref="V69:AD69"/>
    <mergeCell ref="V70:AD70"/>
    <mergeCell ref="V77:AD77"/>
    <mergeCell ref="V74:AD74"/>
    <mergeCell ref="V67:AD67"/>
    <mergeCell ref="L67:U67"/>
    <mergeCell ref="L68:U68"/>
    <mergeCell ref="L69:U69"/>
    <mergeCell ref="L70:U70"/>
    <mergeCell ref="L71:U71"/>
    <mergeCell ref="L72:U72"/>
    <mergeCell ref="L73:U73"/>
    <mergeCell ref="L74:U74"/>
    <mergeCell ref="L75:U75"/>
    <mergeCell ref="L76:U76"/>
    <mergeCell ref="L77:U77"/>
    <mergeCell ref="V71:AD71"/>
    <mergeCell ref="V72:AD72"/>
  </mergeCells>
  <conditionalFormatting sqref="B4:AC60">
    <cfRule type="top10" dxfId="1" priority="1" rank="10"/>
  </conditionalFormatting>
  <pageMargins left="0.25" right="0.25"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90"/>
  <sheetViews>
    <sheetView showGridLines="0" zoomScale="70" zoomScaleNormal="70" workbookViewId="0">
      <pane xSplit="1" ySplit="6" topLeftCell="B7" activePane="bottomRight" state="frozen"/>
      <selection pane="topRight"/>
      <selection pane="bottomLeft"/>
      <selection pane="bottomRight"/>
    </sheetView>
  </sheetViews>
  <sheetFormatPr defaultRowHeight="14.25" x14ac:dyDescent="0.2"/>
  <cols>
    <col min="1" max="1" width="27.140625" style="66" customWidth="1"/>
    <col min="2" max="2" width="14.5703125" style="66" bestFit="1" customWidth="1"/>
    <col min="3" max="3" width="17.7109375" style="66" bestFit="1" customWidth="1"/>
    <col min="4" max="4" width="13.140625" style="66" bestFit="1" customWidth="1"/>
    <col min="5" max="5" width="15.7109375" style="66" bestFit="1" customWidth="1"/>
    <col min="6" max="6" width="11.42578125" style="66" bestFit="1" customWidth="1"/>
    <col min="7" max="7" width="15.7109375" style="66" bestFit="1" customWidth="1"/>
    <col min="8" max="8" width="11.42578125" style="66" bestFit="1" customWidth="1"/>
    <col min="9" max="9" width="15.7109375" style="66" bestFit="1" customWidth="1"/>
    <col min="10" max="10" width="11.42578125" style="66" bestFit="1" customWidth="1"/>
    <col min="11" max="11" width="15.7109375" style="66" bestFit="1" customWidth="1"/>
    <col min="12" max="12" width="11.42578125" style="66" bestFit="1" customWidth="1"/>
    <col min="13" max="13" width="15.7109375" style="66" bestFit="1" customWidth="1"/>
    <col min="14" max="14" width="11.42578125" style="66" bestFit="1" customWidth="1"/>
    <col min="15" max="15" width="14.85546875" style="66" bestFit="1" customWidth="1"/>
    <col min="16" max="16" width="11.42578125" style="66" bestFit="1" customWidth="1"/>
    <col min="17" max="17" width="15.7109375" style="66" bestFit="1" customWidth="1"/>
    <col min="18" max="18" width="11.42578125" style="66" bestFit="1" customWidth="1"/>
    <col min="19" max="19" width="14.85546875" style="66" bestFit="1" customWidth="1"/>
    <col min="20" max="20" width="11.42578125" style="66" bestFit="1" customWidth="1"/>
    <col min="21" max="21" width="14.5703125" style="66" bestFit="1" customWidth="1"/>
    <col min="22" max="22" width="11.42578125" style="66" bestFit="1" customWidth="1"/>
    <col min="23" max="23" width="13.140625" style="66" customWidth="1"/>
    <col min="24" max="24" width="13.140625" style="66" hidden="1" customWidth="1"/>
    <col min="25" max="25" width="13.140625" style="66" customWidth="1"/>
    <col min="26" max="26" width="9.140625" style="66"/>
    <col min="27" max="27" width="17.85546875" style="66" bestFit="1" customWidth="1"/>
    <col min="28" max="30" width="9.140625" style="66"/>
    <col min="31" max="31" width="17.85546875" style="66" bestFit="1" customWidth="1"/>
    <col min="32" max="16384" width="9.140625" style="66"/>
  </cols>
  <sheetData>
    <row r="1" spans="1:24" x14ac:dyDescent="0.2">
      <c r="A1" s="38" t="str">
        <f>Summary!A1</f>
        <v>Community and Technical Colleges, Report of Fundable Operating Expenses, Fiscal Year (FY) 2002</v>
      </c>
      <c r="B1" s="38"/>
      <c r="D1" s="38"/>
      <c r="E1" s="38"/>
      <c r="F1" s="38"/>
      <c r="G1" s="38"/>
      <c r="I1" s="38"/>
      <c r="J1" s="39"/>
      <c r="K1" s="38"/>
    </row>
    <row r="2" spans="1:24" x14ac:dyDescent="0.2">
      <c r="A2" s="68" t="s">
        <v>1017</v>
      </c>
      <c r="B2" s="68"/>
      <c r="X2" s="87" t="s">
        <v>945</v>
      </c>
    </row>
    <row r="3" spans="1:24" x14ac:dyDescent="0.2">
      <c r="A3" s="3">
        <v>1</v>
      </c>
      <c r="X3" s="74" t="s">
        <v>0</v>
      </c>
    </row>
    <row r="4" spans="1:24" ht="15" thickBot="1" x14ac:dyDescent="0.25">
      <c r="X4" s="74" t="s">
        <v>1</v>
      </c>
    </row>
    <row r="5" spans="1:24" s="82" customFormat="1" ht="56.25" customHeight="1" x14ac:dyDescent="0.2">
      <c r="A5" s="45" t="s">
        <v>944</v>
      </c>
      <c r="B5" s="207" t="s">
        <v>27</v>
      </c>
      <c r="C5" s="191" t="s">
        <v>35</v>
      </c>
      <c r="D5" s="192"/>
      <c r="E5" s="191" t="s">
        <v>459</v>
      </c>
      <c r="F5" s="192"/>
      <c r="G5" s="191" t="s">
        <v>1078</v>
      </c>
      <c r="H5" s="192"/>
      <c r="I5" s="191" t="s">
        <v>30</v>
      </c>
      <c r="J5" s="192"/>
      <c r="K5" s="191" t="s">
        <v>31</v>
      </c>
      <c r="L5" s="192"/>
      <c r="M5" s="191" t="s">
        <v>460</v>
      </c>
      <c r="N5" s="192"/>
      <c r="O5" s="191" t="s">
        <v>1079</v>
      </c>
      <c r="P5" s="192"/>
      <c r="Q5" s="191" t="s">
        <v>1080</v>
      </c>
      <c r="R5" s="192"/>
      <c r="S5" s="191" t="s">
        <v>34</v>
      </c>
      <c r="T5" s="192"/>
      <c r="U5" s="191" t="s">
        <v>29</v>
      </c>
      <c r="V5" s="206"/>
      <c r="X5" s="74" t="s">
        <v>2</v>
      </c>
    </row>
    <row r="6" spans="1:24" s="82" customFormat="1" x14ac:dyDescent="0.2">
      <c r="A6" s="120"/>
      <c r="B6" s="208"/>
      <c r="C6" s="140" t="s">
        <v>462</v>
      </c>
      <c r="D6" s="140" t="s">
        <v>1068</v>
      </c>
      <c r="E6" s="140" t="s">
        <v>462</v>
      </c>
      <c r="F6" s="140" t="s">
        <v>1068</v>
      </c>
      <c r="G6" s="140" t="s">
        <v>462</v>
      </c>
      <c r="H6" s="140" t="s">
        <v>1068</v>
      </c>
      <c r="I6" s="140" t="s">
        <v>462</v>
      </c>
      <c r="J6" s="140" t="s">
        <v>1068</v>
      </c>
      <c r="K6" s="140" t="s">
        <v>462</v>
      </c>
      <c r="L6" s="140" t="s">
        <v>1068</v>
      </c>
      <c r="M6" s="140" t="s">
        <v>462</v>
      </c>
      <c r="N6" s="140" t="s">
        <v>1068</v>
      </c>
      <c r="O6" s="140" t="s">
        <v>462</v>
      </c>
      <c r="P6" s="140" t="s">
        <v>1068</v>
      </c>
      <c r="Q6" s="140" t="s">
        <v>462</v>
      </c>
      <c r="R6" s="140" t="s">
        <v>1068</v>
      </c>
      <c r="S6" s="140" t="s">
        <v>462</v>
      </c>
      <c r="T6" s="140" t="s">
        <v>1068</v>
      </c>
      <c r="U6" s="140" t="s">
        <v>462</v>
      </c>
      <c r="V6" s="124" t="s">
        <v>1068</v>
      </c>
      <c r="X6" s="74" t="s">
        <v>3</v>
      </c>
    </row>
    <row r="7" spans="1:24" x14ac:dyDescent="0.2">
      <c r="A7" s="92" t="s">
        <v>1065</v>
      </c>
      <c r="B7" s="83">
        <f ca="1">OFFSET('1'!$D$4,$A$3,0)</f>
        <v>50000</v>
      </c>
      <c r="C7" s="81">
        <f ca="1">OFFSET('1'!$E$4,$A$3,0)</f>
        <v>418621.67104669113</v>
      </c>
      <c r="D7" s="122">
        <f ca="1">OFFSET('1'!$F$4,$A$3,0)</f>
        <v>8.3699999999999992</v>
      </c>
      <c r="E7" s="81">
        <f ca="1">OFFSET('1'!$E$66,$A$3,0)</f>
        <v>184365</v>
      </c>
      <c r="F7" s="122">
        <f ca="1">OFFSET('1'!$F$66,$A$3,0)</f>
        <v>3.69</v>
      </c>
      <c r="G7" s="81">
        <f ca="1">IFERROR('1'!$F$100*'Discipline Analysis'!$B7,"")</f>
        <v>16500</v>
      </c>
      <c r="H7" s="122">
        <f>'1'!$F$100</f>
        <v>0.33</v>
      </c>
      <c r="I7" s="81">
        <f ca="1">IFERROR('1'!$F$98*'Discipline Analysis'!$B7,"")</f>
        <v>59500</v>
      </c>
      <c r="J7" s="122">
        <f>'1'!$F$98</f>
        <v>1.19</v>
      </c>
      <c r="K7" s="81">
        <f ca="1">IFERROR('1'!$F$99*'Discipline Analysis'!$B7,"")</f>
        <v>41500</v>
      </c>
      <c r="L7" s="122">
        <f>'1'!$F$99</f>
        <v>0.83</v>
      </c>
      <c r="M7" s="81">
        <f ca="1">OFFSET('1'!$E$35,$A$3,0)</f>
        <v>60163</v>
      </c>
      <c r="N7" s="122">
        <f ca="1">OFFSET('1'!$F$35,$A$3,0)</f>
        <v>1.2</v>
      </c>
      <c r="O7" s="81">
        <f ca="1">IFERROR('1'!$F$101*'Discipline Analysis'!$B7,"")</f>
        <v>20500</v>
      </c>
      <c r="P7" s="122">
        <f>'1'!$F$101</f>
        <v>0.41</v>
      </c>
      <c r="Q7" s="81">
        <f ca="1">IFERROR('1'!$F$102*'Discipline Analysis'!$B7,"")</f>
        <v>500</v>
      </c>
      <c r="R7" s="122">
        <f>'1'!$F$102</f>
        <v>0.01</v>
      </c>
      <c r="S7" s="81">
        <f ca="1">IFERROR('1'!$F$103*'Discipline Analysis'!$B7,"")</f>
        <v>0</v>
      </c>
      <c r="T7" s="122">
        <f>'1'!$F$103</f>
        <v>0</v>
      </c>
      <c r="U7" s="79">
        <f ca="1">IFERROR('1'!$F$104*'Discipline Analysis'!$B7,"")</f>
        <v>36000</v>
      </c>
      <c r="V7" s="125">
        <f>'1'!$F$104</f>
        <v>0.72</v>
      </c>
      <c r="X7" s="74" t="s">
        <v>4</v>
      </c>
    </row>
    <row r="8" spans="1:24" x14ac:dyDescent="0.2">
      <c r="A8" s="92" t="s">
        <v>1019</v>
      </c>
      <c r="B8" s="83">
        <f ca="1">OFFSET('2'!$D$4,$A$3,0)</f>
        <v>32496</v>
      </c>
      <c r="C8" s="75">
        <f ca="1">OFFSET('2'!$E$4,$A$3,0)</f>
        <v>144199.3389403529</v>
      </c>
      <c r="D8" s="121">
        <f ca="1">OFFSET('2'!$F$4,$A$3,0)</f>
        <v>4.4400000000000004</v>
      </c>
      <c r="E8" s="75">
        <f ca="1">OFFSET('2'!$E$66,$A$3,0)</f>
        <v>47514</v>
      </c>
      <c r="F8" s="121">
        <f ca="1">OFFSET('2'!$F$66,$A$3,0)</f>
        <v>1.46</v>
      </c>
      <c r="G8" s="75">
        <f ca="1">IFERROR('2'!$F$100*'Discipline Analysis'!$B8,"")</f>
        <v>7474.08</v>
      </c>
      <c r="H8" s="121">
        <f>'2'!$F$100</f>
        <v>0.23</v>
      </c>
      <c r="I8" s="75">
        <f ca="1">IFERROR('2'!$F$98*'Discipline Analysis'!$B8,"")</f>
        <v>35420.639999999999</v>
      </c>
      <c r="J8" s="121">
        <f>'2'!$F$98</f>
        <v>1.0900000000000001</v>
      </c>
      <c r="K8" s="75">
        <f ca="1">IFERROR('2'!$F$99*'Discipline Analysis'!$B8,"")</f>
        <v>20472.48</v>
      </c>
      <c r="L8" s="121">
        <f>'2'!$F$99</f>
        <v>0.63</v>
      </c>
      <c r="M8" s="75">
        <f ca="1">OFFSET('2'!$E$35,$A$3,0)</f>
        <v>11676</v>
      </c>
      <c r="N8" s="121">
        <f ca="1">OFFSET('2'!$F$35,$A$3,0)</f>
        <v>0.36</v>
      </c>
      <c r="O8" s="75">
        <f ca="1">IFERROR('2'!$F$101*'Discipline Analysis'!$B8,"")</f>
        <v>12023.52</v>
      </c>
      <c r="P8" s="121">
        <f>'2'!$F$101</f>
        <v>0.37</v>
      </c>
      <c r="Q8" s="75" t="str">
        <f ca="1">IFERROR('2'!$F$102*'Discipline Analysis'!$B8,"")</f>
        <v/>
      </c>
      <c r="R8" s="121" t="str">
        <f>'2'!$F$102</f>
        <v/>
      </c>
      <c r="S8" s="75" t="str">
        <f ca="1">IFERROR('2'!$F$103*'Discipline Analysis'!$B8,"")</f>
        <v/>
      </c>
      <c r="T8" s="121" t="str">
        <f>'2'!$F$103</f>
        <v/>
      </c>
      <c r="U8" s="75">
        <f ca="1">IFERROR('2'!$F$104*'Discipline Analysis'!$B8,"")</f>
        <v>9423.84</v>
      </c>
      <c r="V8" s="126">
        <f>'2'!$F$104</f>
        <v>0.28999999999999998</v>
      </c>
      <c r="X8" s="74" t="s">
        <v>5</v>
      </c>
    </row>
    <row r="9" spans="1:24" x14ac:dyDescent="0.2">
      <c r="A9" s="92" t="s">
        <v>1029</v>
      </c>
      <c r="B9" s="83">
        <f ca="1">OFFSET('3'!$D$4,$A$3,0)</f>
        <v>9207</v>
      </c>
      <c r="C9" s="75">
        <f ca="1">OFFSET('3'!$E$4,$A$3,0)</f>
        <v>63356.537767127513</v>
      </c>
      <c r="D9" s="121">
        <f ca="1">OFFSET('3'!$F$4,$A$3,0)</f>
        <v>6.88</v>
      </c>
      <c r="E9" s="75">
        <f ca="1">OFFSET('3'!$E$66,$A$3,0)</f>
        <v>25824</v>
      </c>
      <c r="F9" s="121">
        <f ca="1">OFFSET('3'!$F$66,$A$3,0)</f>
        <v>2.8</v>
      </c>
      <c r="G9" s="75">
        <f ca="1">IFERROR('3'!$F$100*'Discipline Analysis'!$B9,"")</f>
        <v>2393.8200000000002</v>
      </c>
      <c r="H9" s="121">
        <f>'3'!$F$100</f>
        <v>0.26</v>
      </c>
      <c r="I9" s="75">
        <f ca="1">IFERROR('3'!$F$98*'Discipline Analysis'!$B9,"")</f>
        <v>14178.78</v>
      </c>
      <c r="J9" s="121">
        <f>'3'!$F$98</f>
        <v>1.54</v>
      </c>
      <c r="K9" s="75">
        <f ca="1">IFERROR('3'!$F$99*'Discipline Analysis'!$B9,"")</f>
        <v>5616.2699999999995</v>
      </c>
      <c r="L9" s="121">
        <f>'3'!$F$99</f>
        <v>0.61</v>
      </c>
      <c r="M9" s="75">
        <f ca="1">OFFSET('3'!$E$35,$A$3,0)</f>
        <v>6975</v>
      </c>
      <c r="N9" s="121">
        <f ca="1">OFFSET('3'!$F$35,$A$3,0)</f>
        <v>0.76</v>
      </c>
      <c r="O9" s="75">
        <f ca="1">IFERROR('3'!$F$101*'Discipline Analysis'!$B9,"")</f>
        <v>2762.1</v>
      </c>
      <c r="P9" s="121">
        <f>'3'!$F$101</f>
        <v>0.3</v>
      </c>
      <c r="Q9" s="75">
        <f ca="1">IFERROR('3'!$F$102*'Discipline Analysis'!$B9,"")</f>
        <v>736.56000000000006</v>
      </c>
      <c r="R9" s="121">
        <f>'3'!$F$102</f>
        <v>0.08</v>
      </c>
      <c r="S9" s="75" t="str">
        <f ca="1">IFERROR('3'!$F$103*'Discipline Analysis'!$B9,"")</f>
        <v/>
      </c>
      <c r="T9" s="121" t="str">
        <f>'3'!$F$103</f>
        <v/>
      </c>
      <c r="U9" s="75">
        <f ca="1">IFERROR('3'!$F$104*'Discipline Analysis'!$B9,"")</f>
        <v>4879.71</v>
      </c>
      <c r="V9" s="126">
        <f>'3'!$F$104</f>
        <v>0.53</v>
      </c>
      <c r="X9" s="74" t="s">
        <v>6</v>
      </c>
    </row>
    <row r="10" spans="1:24" x14ac:dyDescent="0.2">
      <c r="A10" s="92" t="s">
        <v>1030</v>
      </c>
      <c r="B10" s="83">
        <f ca="1">OFFSET('4'!$D$4,$A$3,0)</f>
        <v>4863</v>
      </c>
      <c r="C10" s="75">
        <f ca="1">OFFSET('4'!$E$4,$A$3,0)</f>
        <v>17509.445430825312</v>
      </c>
      <c r="D10" s="121">
        <f ca="1">OFFSET('4'!$F$4,$A$3,0)</f>
        <v>3.6</v>
      </c>
      <c r="E10" s="75">
        <f ca="1">OFFSET('4'!$E$66,$A$3,0)</f>
        <v>7118</v>
      </c>
      <c r="F10" s="121">
        <f ca="1">OFFSET('4'!$F$66,$A$3,0)</f>
        <v>1.46</v>
      </c>
      <c r="G10" s="75">
        <f ca="1">IFERROR('4'!$F$100*'Discipline Analysis'!$B10,"")</f>
        <v>778.08</v>
      </c>
      <c r="H10" s="121">
        <f>'4'!$F$100</f>
        <v>0.16</v>
      </c>
      <c r="I10" s="75">
        <f ca="1">IFERROR('4'!$F$98*'Discipline Analysis'!$B10,"")</f>
        <v>2966.43</v>
      </c>
      <c r="J10" s="121">
        <f>'4'!$F$98</f>
        <v>0.61</v>
      </c>
      <c r="K10" s="75">
        <f ca="1">IFERROR('4'!$F$99*'Discipline Analysis'!$B10,"")</f>
        <v>1556.16</v>
      </c>
      <c r="L10" s="121">
        <f>'4'!$F$99</f>
        <v>0.32</v>
      </c>
      <c r="M10" s="75">
        <f ca="1">OFFSET('4'!$E$35,$A$3,0)</f>
        <v>1452</v>
      </c>
      <c r="N10" s="121">
        <f ca="1">OFFSET('4'!$F$35,$A$3,0)</f>
        <v>0.3</v>
      </c>
      <c r="O10" s="75">
        <f ca="1">IFERROR('4'!$F$101*'Discipline Analysis'!$B10,"")</f>
        <v>2917.7999999999997</v>
      </c>
      <c r="P10" s="121">
        <f>'4'!$F$101</f>
        <v>0.6</v>
      </c>
      <c r="Q10" s="75" t="str">
        <f ca="1">IFERROR('4'!$F$102*'Discipline Analysis'!$B10,"")</f>
        <v/>
      </c>
      <c r="R10" s="121" t="str">
        <f>'4'!$F$102</f>
        <v/>
      </c>
      <c r="S10" s="75" t="str">
        <f ca="1">IFERROR('4'!$F$103*'Discipline Analysis'!$B10,"")</f>
        <v/>
      </c>
      <c r="T10" s="121" t="str">
        <f>'4'!$F$103</f>
        <v/>
      </c>
      <c r="U10" s="75">
        <f ca="1">IFERROR('4'!$F$104*'Discipline Analysis'!$B10,"")</f>
        <v>729.44999999999993</v>
      </c>
      <c r="V10" s="126">
        <f>'4'!$F$104</f>
        <v>0.15</v>
      </c>
      <c r="X10" s="74" t="s">
        <v>7</v>
      </c>
    </row>
    <row r="11" spans="1:24" x14ac:dyDescent="0.2">
      <c r="A11" s="92" t="s">
        <v>1020</v>
      </c>
      <c r="B11" s="83">
        <f ca="1">OFFSET('5'!$D$4,$A$3,0)</f>
        <v>76208</v>
      </c>
      <c r="C11" s="75">
        <f ca="1">OFFSET('5'!$E$4,$A$3,0)</f>
        <v>279566.17265885818</v>
      </c>
      <c r="D11" s="121">
        <f ca="1">OFFSET('5'!$F$4,$A$3,0)</f>
        <v>3.67</v>
      </c>
      <c r="E11" s="75">
        <f ca="1">OFFSET('5'!$E$66,$A$3,0)</f>
        <v>0</v>
      </c>
      <c r="F11" s="121" t="str">
        <f ca="1">OFFSET('5'!$F$66,$A$3,0)</f>
        <v/>
      </c>
      <c r="G11" s="75">
        <f ca="1">IFERROR('5'!$F$100*'Discipline Analysis'!$B11,"")</f>
        <v>18289.919999999998</v>
      </c>
      <c r="H11" s="121">
        <f>'5'!$F$100</f>
        <v>0.24</v>
      </c>
      <c r="I11" s="75">
        <f ca="1">IFERROR('5'!$F$98*'Discipline Analysis'!$B11,"")</f>
        <v>114312</v>
      </c>
      <c r="J11" s="121">
        <f>'5'!$F$98</f>
        <v>1.5</v>
      </c>
      <c r="K11" s="75">
        <f ca="1">IFERROR('5'!$F$99*'Discipline Analysis'!$B11,"")</f>
        <v>52583.519999999997</v>
      </c>
      <c r="L11" s="121">
        <f>'5'!$F$99</f>
        <v>0.69</v>
      </c>
      <c r="M11" s="75">
        <f ca="1">OFFSET('5'!$E$35,$A$3,0)</f>
        <v>0</v>
      </c>
      <c r="N11" s="121" t="str">
        <f ca="1">OFFSET('5'!$F$35,$A$3,0)</f>
        <v/>
      </c>
      <c r="O11" s="75">
        <f ca="1">IFERROR('5'!$F$101*'Discipline Analysis'!$B11,"")</f>
        <v>71635.51999999999</v>
      </c>
      <c r="P11" s="121">
        <f>'5'!$F$101</f>
        <v>0.94</v>
      </c>
      <c r="Q11" s="75" t="str">
        <f ca="1">IFERROR('5'!$F$102*'Discipline Analysis'!$B11,"")</f>
        <v/>
      </c>
      <c r="R11" s="121" t="str">
        <f>'5'!$F$102</f>
        <v/>
      </c>
      <c r="S11" s="75" t="str">
        <f ca="1">IFERROR('5'!$F$103*'Discipline Analysis'!$B11,"")</f>
        <v/>
      </c>
      <c r="T11" s="121" t="str">
        <f>'5'!$F$103</f>
        <v/>
      </c>
      <c r="U11" s="75">
        <f ca="1">IFERROR('5'!$F$104*'Discipline Analysis'!$B11,"")</f>
        <v>22862.399999999998</v>
      </c>
      <c r="V11" s="126">
        <f>'5'!$F$104</f>
        <v>0.3</v>
      </c>
      <c r="X11" s="74" t="s">
        <v>8</v>
      </c>
    </row>
    <row r="12" spans="1:24" x14ac:dyDescent="0.2">
      <c r="A12" s="92" t="s">
        <v>1031</v>
      </c>
      <c r="B12" s="83">
        <f ca="1">OFFSET('6'!$D$4,$A$3,0)</f>
        <v>29568</v>
      </c>
      <c r="C12" s="75">
        <f ca="1">OFFSET('6'!$E$4,$A$3,0)</f>
        <v>284201.55767627509</v>
      </c>
      <c r="D12" s="121">
        <f ca="1">OFFSET('6'!$F$4,$A$3,0)</f>
        <v>9.61</v>
      </c>
      <c r="E12" s="75">
        <f ca="1">OFFSET('6'!$E$66,$A$3,0)</f>
        <v>146667</v>
      </c>
      <c r="F12" s="121">
        <f ca="1">OFFSET('6'!$F$66,$A$3,0)</f>
        <v>4.96</v>
      </c>
      <c r="G12" s="75">
        <f ca="1">IFERROR('6'!$F$100*'Discipline Analysis'!$B12,"")</f>
        <v>5913.6</v>
      </c>
      <c r="H12" s="121">
        <f>'6'!$F$100</f>
        <v>0.2</v>
      </c>
      <c r="I12" s="75">
        <f ca="1">IFERROR('6'!$F$98*'Discipline Analysis'!$B12,"")</f>
        <v>31046.400000000001</v>
      </c>
      <c r="J12" s="121">
        <f>'6'!$F$98</f>
        <v>1.05</v>
      </c>
      <c r="K12" s="75">
        <f ca="1">IFERROR('6'!$F$99*'Discipline Analysis'!$B12,"")</f>
        <v>15671.04</v>
      </c>
      <c r="L12" s="121">
        <f>'6'!$F$99</f>
        <v>0.53</v>
      </c>
      <c r="M12" s="75">
        <f ca="1">OFFSET('6'!$E$35,$A$3,0)</f>
        <v>59107</v>
      </c>
      <c r="N12" s="121">
        <f ca="1">OFFSET('6'!$F$35,$A$3,0)</f>
        <v>2</v>
      </c>
      <c r="O12" s="75">
        <f ca="1">IFERROR('6'!$F$101*'Discipline Analysis'!$B12,"")</f>
        <v>11235.84</v>
      </c>
      <c r="P12" s="121">
        <f>'6'!$F$101</f>
        <v>0.38</v>
      </c>
      <c r="Q12" s="75" t="str">
        <f ca="1">IFERROR('6'!$F$102*'Discipline Analysis'!$B12,"")</f>
        <v/>
      </c>
      <c r="R12" s="121" t="str">
        <f>'6'!$F$102</f>
        <v/>
      </c>
      <c r="S12" s="75" t="str">
        <f ca="1">IFERROR('6'!$F$103*'Discipline Analysis'!$B12,"")</f>
        <v/>
      </c>
      <c r="T12" s="121" t="str">
        <f>'6'!$F$103</f>
        <v/>
      </c>
      <c r="U12" s="75">
        <f ca="1">IFERROR('6'!$F$104*'Discipline Analysis'!$B12,"")</f>
        <v>14488.32</v>
      </c>
      <c r="V12" s="126">
        <f>'6'!$F$104</f>
        <v>0.49</v>
      </c>
      <c r="X12" s="74" t="s">
        <v>9</v>
      </c>
    </row>
    <row r="13" spans="1:24" x14ac:dyDescent="0.2">
      <c r="A13" s="92" t="s">
        <v>1032</v>
      </c>
      <c r="B13" s="83">
        <f ca="1">OFFSET('7'!$D$4,$A$3,0)</f>
        <v>0</v>
      </c>
      <c r="C13" s="75">
        <f ca="1">OFFSET('7'!$E$4,$A$3,0)</f>
        <v>0</v>
      </c>
      <c r="D13" s="121" t="str">
        <f ca="1">OFFSET('7'!$F$4,$A$3,0)</f>
        <v/>
      </c>
      <c r="E13" s="75">
        <f ca="1">OFFSET('7'!$E$66,$A$3,0)</f>
        <v>0</v>
      </c>
      <c r="F13" s="121" t="str">
        <f ca="1">OFFSET('7'!$F$66,$A$3,0)</f>
        <v/>
      </c>
      <c r="G13" s="75">
        <f ca="1">IFERROR('7'!$F$100*'Discipline Analysis'!$B13,"")</f>
        <v>0</v>
      </c>
      <c r="H13" s="121">
        <f>'7'!$F$100</f>
        <v>0.3</v>
      </c>
      <c r="I13" s="75">
        <f ca="1">IFERROR('7'!$F$98*'Discipline Analysis'!$B13,"")</f>
        <v>0</v>
      </c>
      <c r="J13" s="121">
        <f>'7'!$F$98</f>
        <v>1.57</v>
      </c>
      <c r="K13" s="75">
        <f ca="1">IFERROR('7'!$F$99*'Discipline Analysis'!$B13,"")</f>
        <v>0</v>
      </c>
      <c r="L13" s="121">
        <f>'7'!$F$99</f>
        <v>0.68</v>
      </c>
      <c r="M13" s="75">
        <f ca="1">OFFSET('7'!$E$35,$A$3,0)</f>
        <v>0</v>
      </c>
      <c r="N13" s="121" t="str">
        <f ca="1">OFFSET('7'!$F$35,$A$3,0)</f>
        <v/>
      </c>
      <c r="O13" s="75">
        <f ca="1">IFERROR('7'!$F$101*'Discipline Analysis'!$B13,"")</f>
        <v>0</v>
      </c>
      <c r="P13" s="121">
        <f>'7'!$F$101</f>
        <v>0.62</v>
      </c>
      <c r="Q13" s="75" t="str">
        <f ca="1">IFERROR('7'!$F$102*'Discipline Analysis'!$B13,"")</f>
        <v/>
      </c>
      <c r="R13" s="121" t="str">
        <f>'7'!$F$102</f>
        <v/>
      </c>
      <c r="S13" s="75" t="str">
        <f ca="1">IFERROR('7'!$F$103*'Discipline Analysis'!$B13,"")</f>
        <v/>
      </c>
      <c r="T13" s="121" t="str">
        <f>'7'!$F$103</f>
        <v/>
      </c>
      <c r="U13" s="75">
        <f ca="1">IFERROR('7'!$F$104*'Discipline Analysis'!$B13,"")</f>
        <v>0</v>
      </c>
      <c r="V13" s="126">
        <f>'7'!$F$104</f>
        <v>0.2</v>
      </c>
      <c r="X13" s="74" t="s">
        <v>10</v>
      </c>
    </row>
    <row r="14" spans="1:24" x14ac:dyDescent="0.2">
      <c r="A14" s="92" t="s">
        <v>1066</v>
      </c>
      <c r="B14" s="83">
        <f ca="1">OFFSET('8'!$D$4,$A$3,0)</f>
        <v>34952</v>
      </c>
      <c r="C14" s="75">
        <f ca="1">OFFSET('8'!$E$4,$A$3,0)</f>
        <v>166638.55180555696</v>
      </c>
      <c r="D14" s="121">
        <f ca="1">OFFSET('8'!$F$4,$A$3,0)</f>
        <v>4.7699999999999996</v>
      </c>
      <c r="E14" s="75">
        <f ca="1">OFFSET('8'!$E$66,$A$3,0)</f>
        <v>63112</v>
      </c>
      <c r="F14" s="121">
        <f ca="1">OFFSET('8'!$F$66,$A$3,0)</f>
        <v>1.81</v>
      </c>
      <c r="G14" s="75">
        <f ca="1">IFERROR('8'!$F$100*'Discipline Analysis'!$B14,"")</f>
        <v>4543.76</v>
      </c>
      <c r="H14" s="121">
        <f>'8'!$F$100</f>
        <v>0.13</v>
      </c>
      <c r="I14" s="75">
        <f ca="1">IFERROR('8'!$F$98*'Discipline Analysis'!$B14,"")</f>
        <v>27612.080000000002</v>
      </c>
      <c r="J14" s="121">
        <f>'8'!$F$98</f>
        <v>0.79</v>
      </c>
      <c r="K14" s="75">
        <f ca="1">IFERROR('8'!$F$99*'Discipline Analysis'!$B14,"")</f>
        <v>13281.76</v>
      </c>
      <c r="L14" s="121">
        <f>'8'!$F$99</f>
        <v>0.38</v>
      </c>
      <c r="M14" s="75">
        <f ca="1">OFFSET('8'!$E$35,$A$3,0)</f>
        <v>33929</v>
      </c>
      <c r="N14" s="121">
        <f ca="1">OFFSET('8'!$F$35,$A$3,0)</f>
        <v>0.97</v>
      </c>
      <c r="O14" s="75">
        <f ca="1">IFERROR('8'!$F$101*'Discipline Analysis'!$B14,"")</f>
        <v>4543.76</v>
      </c>
      <c r="P14" s="121">
        <f>'8'!$F$101</f>
        <v>0.13</v>
      </c>
      <c r="Q14" s="75">
        <f ca="1">IFERROR('8'!$F$102*'Discipline Analysis'!$B14,"")</f>
        <v>1048.56</v>
      </c>
      <c r="R14" s="121">
        <f>'8'!$F$102</f>
        <v>0.03</v>
      </c>
      <c r="S14" s="75" t="str">
        <f ca="1">IFERROR('8'!$F$103*'Discipline Analysis'!$B14,"")</f>
        <v/>
      </c>
      <c r="T14" s="121" t="str">
        <f>'8'!$F$103</f>
        <v/>
      </c>
      <c r="U14" s="75">
        <f ca="1">IFERROR('8'!$F$104*'Discipline Analysis'!$B14,"")</f>
        <v>17825.52</v>
      </c>
      <c r="V14" s="126">
        <f>'8'!$F$104</f>
        <v>0.51</v>
      </c>
      <c r="X14" s="74" t="s">
        <v>11</v>
      </c>
    </row>
    <row r="15" spans="1:24" x14ac:dyDescent="0.2">
      <c r="A15" s="92" t="s">
        <v>1023</v>
      </c>
      <c r="B15" s="83">
        <f ca="1">OFFSET('9'!$D$4,$A$3,0)</f>
        <v>8080</v>
      </c>
      <c r="C15" s="75">
        <f ca="1">OFFSET('9'!$E$4,$A$3,0)</f>
        <v>71877.120282390868</v>
      </c>
      <c r="D15" s="121">
        <f ca="1">OFFSET('9'!$F$4,$A$3,0)</f>
        <v>8.9</v>
      </c>
      <c r="E15" s="75">
        <f ca="1">OFFSET('9'!$E$66,$A$3,0)</f>
        <v>50682</v>
      </c>
      <c r="F15" s="121">
        <f ca="1">OFFSET('9'!$F$66,$A$3,0)</f>
        <v>6.27</v>
      </c>
      <c r="G15" s="75">
        <f ca="1">IFERROR('9'!$F$100*'Discipline Analysis'!$B15,"")</f>
        <v>1212</v>
      </c>
      <c r="H15" s="121">
        <f>'9'!$F$100</f>
        <v>0.15</v>
      </c>
      <c r="I15" s="75">
        <f ca="1">IFERROR('9'!$F$98*'Discipline Analysis'!$B15,"")</f>
        <v>5979.2</v>
      </c>
      <c r="J15" s="121">
        <f>'9'!$F$98</f>
        <v>0.74</v>
      </c>
      <c r="K15" s="75">
        <f ca="1">IFERROR('9'!$F$99*'Discipline Analysis'!$B15,"")</f>
        <v>5979.2</v>
      </c>
      <c r="L15" s="121">
        <f>'9'!$F$99</f>
        <v>0.74</v>
      </c>
      <c r="M15" s="75">
        <f ca="1">OFFSET('9'!$E$35,$A$3,0)</f>
        <v>6050</v>
      </c>
      <c r="N15" s="121">
        <f ca="1">OFFSET('9'!$F$35,$A$3,0)</f>
        <v>0.75</v>
      </c>
      <c r="O15" s="75">
        <f ca="1">IFERROR('9'!$F$101*'Discipline Analysis'!$B15,"")</f>
        <v>1373.6000000000001</v>
      </c>
      <c r="P15" s="121">
        <f>'9'!$F$101</f>
        <v>0.17</v>
      </c>
      <c r="Q15" s="75" t="str">
        <f ca="1">IFERROR('9'!$F$102*'Discipline Analysis'!$B15,"")</f>
        <v/>
      </c>
      <c r="R15" s="121" t="str">
        <f>'9'!$F$102</f>
        <v/>
      </c>
      <c r="S15" s="75" t="str">
        <f ca="1">IFERROR('9'!$F$103*'Discipline Analysis'!$B15,"")</f>
        <v/>
      </c>
      <c r="T15" s="121" t="str">
        <f>'9'!$F$103</f>
        <v/>
      </c>
      <c r="U15" s="75">
        <f ca="1">IFERROR('9'!$F$104*'Discipline Analysis'!$B15,"")</f>
        <v>565.6</v>
      </c>
      <c r="V15" s="126">
        <f>'9'!$F$104</f>
        <v>7.0000000000000007E-2</v>
      </c>
      <c r="X15" s="74" t="s">
        <v>12</v>
      </c>
    </row>
    <row r="16" spans="1:24" x14ac:dyDescent="0.2">
      <c r="A16" s="92" t="s">
        <v>1033</v>
      </c>
      <c r="B16" s="83">
        <f ca="1">OFFSET('10'!$D$4,$A$3,0)</f>
        <v>41760</v>
      </c>
      <c r="C16" s="75">
        <f ca="1">OFFSET('10'!$E$4,$A$3,0)</f>
        <v>475945.51452688943</v>
      </c>
      <c r="D16" s="121">
        <f ca="1">OFFSET('10'!$F$4,$A$3,0)</f>
        <v>11.4</v>
      </c>
      <c r="E16" s="75">
        <f ca="1">OFFSET('10'!$E$66,$A$3,0)</f>
        <v>191208</v>
      </c>
      <c r="F16" s="121">
        <f ca="1">OFFSET('10'!$F$66,$A$3,0)</f>
        <v>4.58</v>
      </c>
      <c r="G16" s="75">
        <f ca="1">IFERROR('10'!$F$100*'Discipline Analysis'!$B16,"")</f>
        <v>10857.6</v>
      </c>
      <c r="H16" s="121">
        <f>'10'!$F$100</f>
        <v>0.26</v>
      </c>
      <c r="I16" s="75">
        <f ca="1">IFERROR('10'!$F$98*'Discipline Analysis'!$B16,"")</f>
        <v>103147.20000000001</v>
      </c>
      <c r="J16" s="121">
        <f>'10'!$F$98</f>
        <v>2.4700000000000002</v>
      </c>
      <c r="K16" s="75">
        <f ca="1">IFERROR('10'!$F$99*'Discipline Analysis'!$B16,"")</f>
        <v>30067.199999999997</v>
      </c>
      <c r="L16" s="121">
        <f>'10'!$F$99</f>
        <v>0.72</v>
      </c>
      <c r="M16" s="75">
        <f ca="1">OFFSET('10'!$E$35,$A$3,0)</f>
        <v>114086</v>
      </c>
      <c r="N16" s="121">
        <f ca="1">OFFSET('10'!$F$35,$A$3,0)</f>
        <v>2.73</v>
      </c>
      <c r="O16" s="75">
        <f ca="1">IFERROR('10'!$F$101*'Discipline Analysis'!$B16,"")</f>
        <v>17539.2</v>
      </c>
      <c r="P16" s="121">
        <f>'10'!$F$101</f>
        <v>0.42</v>
      </c>
      <c r="Q16" s="75" t="str">
        <f ca="1">IFERROR('10'!$F$102*'Discipline Analysis'!$B16,"")</f>
        <v/>
      </c>
      <c r="R16" s="121" t="str">
        <f>'10'!$F$102</f>
        <v/>
      </c>
      <c r="S16" s="75" t="str">
        <f ca="1">IFERROR('10'!$F$103*'Discipline Analysis'!$B16,"")</f>
        <v/>
      </c>
      <c r="T16" s="121" t="str">
        <f>'10'!$F$103</f>
        <v/>
      </c>
      <c r="U16" s="75">
        <f ca="1">IFERROR('10'!$F$104*'Discipline Analysis'!$B16,"")</f>
        <v>9187.2000000000007</v>
      </c>
      <c r="V16" s="126">
        <f>'10'!$F$104</f>
        <v>0.22</v>
      </c>
      <c r="X16" s="74" t="s">
        <v>464</v>
      </c>
    </row>
    <row r="17" spans="1:24" x14ac:dyDescent="0.2">
      <c r="A17" s="92" t="s">
        <v>1034</v>
      </c>
      <c r="B17" s="83">
        <f ca="1">OFFSET('11'!$D$4,$A$3,0)</f>
        <v>32345</v>
      </c>
      <c r="C17" s="75">
        <f ca="1">OFFSET('11'!$E$4,$A$3,0)</f>
        <v>191627.57737598164</v>
      </c>
      <c r="D17" s="121">
        <f ca="1">OFFSET('11'!$F$4,$A$3,0)</f>
        <v>5.92</v>
      </c>
      <c r="E17" s="75">
        <f ca="1">OFFSET('11'!$E$66,$A$3,0)</f>
        <v>75513</v>
      </c>
      <c r="F17" s="121">
        <f ca="1">OFFSET('11'!$F$66,$A$3,0)</f>
        <v>2.33</v>
      </c>
      <c r="G17" s="75">
        <f ca="1">IFERROR('11'!$F$100*'Discipline Analysis'!$B17,"")</f>
        <v>10350.4</v>
      </c>
      <c r="H17" s="130">
        <f>'11'!$F$100</f>
        <v>0.32</v>
      </c>
      <c r="I17" s="75">
        <f ca="1">IFERROR('11'!$F$98*'Discipline Analysis'!$B17,"")</f>
        <v>36873.299999999996</v>
      </c>
      <c r="J17" s="121">
        <f>'11'!$F$98</f>
        <v>1.1399999999999999</v>
      </c>
      <c r="K17" s="75">
        <f ca="1">IFERROR('11'!$F$99*'Discipline Analysis'!$B17,"")</f>
        <v>37520.199999999997</v>
      </c>
      <c r="L17" s="121">
        <f>'11'!$F$99</f>
        <v>1.1599999999999999</v>
      </c>
      <c r="M17" s="75">
        <f ca="1">OFFSET('11'!$E$35,$A$3,0)</f>
        <v>9090</v>
      </c>
      <c r="N17" s="121">
        <f ca="1">OFFSET('11'!$F$35,$A$3,0)</f>
        <v>0.28000000000000003</v>
      </c>
      <c r="O17" s="75">
        <f ca="1">IFERROR('11'!$F$101*'Discipline Analysis'!$B17,"")</f>
        <v>13584.9</v>
      </c>
      <c r="P17" s="121">
        <f>'11'!$F$101</f>
        <v>0.42</v>
      </c>
      <c r="Q17" s="75" t="str">
        <f ca="1">IFERROR('11'!$F$102*'Discipline Analysis'!$B17,"")</f>
        <v/>
      </c>
      <c r="R17" s="121" t="str">
        <f>'11'!$F$102</f>
        <v/>
      </c>
      <c r="S17" s="75" t="str">
        <f ca="1">IFERROR('11'!$F$103*'Discipline Analysis'!$B17,"")</f>
        <v/>
      </c>
      <c r="T17" s="121" t="str">
        <f>'11'!$F$103</f>
        <v/>
      </c>
      <c r="U17" s="75">
        <f ca="1">IFERROR('11'!$F$104*'Discipline Analysis'!$B17,"")</f>
        <v>9056.6</v>
      </c>
      <c r="V17" s="126">
        <f>'11'!$F$104</f>
        <v>0.28000000000000003</v>
      </c>
      <c r="X17" s="74" t="s">
        <v>13</v>
      </c>
    </row>
    <row r="18" spans="1:24" x14ac:dyDescent="0.2">
      <c r="A18" s="92" t="s">
        <v>936</v>
      </c>
      <c r="B18" s="83">
        <f ca="1">OFFSET('12'!$D$4,$A$3,0)</f>
        <v>10464</v>
      </c>
      <c r="C18" s="75">
        <f ca="1">OFFSET('12'!$E$4,$A$3,0)</f>
        <v>126714.31662870159</v>
      </c>
      <c r="D18" s="121">
        <f ca="1">OFFSET('12'!$F$4,$A$3,0)</f>
        <v>12.11</v>
      </c>
      <c r="E18" s="75">
        <f ca="1">OFFSET('12'!$E$66,$A$3,0)</f>
        <v>46940</v>
      </c>
      <c r="F18" s="121">
        <f ca="1">OFFSET('12'!$F$66,$A$3,0)</f>
        <v>4.49</v>
      </c>
      <c r="G18" s="75">
        <f ca="1">IFERROR('12'!$F$100*'Discipline Analysis'!$B18,"")</f>
        <v>4499.5199999999995</v>
      </c>
      <c r="H18" s="121">
        <f>'12'!$F$100</f>
        <v>0.43</v>
      </c>
      <c r="I18" s="75">
        <f ca="1">IFERROR('12'!$F$98*'Discipline Analysis'!$B18,"")</f>
        <v>27729.599999999999</v>
      </c>
      <c r="J18" s="121">
        <f>'12'!$F$98</f>
        <v>2.65</v>
      </c>
      <c r="K18" s="75">
        <f ca="1">IFERROR('12'!$F$99*'Discipline Analysis'!$B18,"")</f>
        <v>10568.64</v>
      </c>
      <c r="L18" s="121">
        <f>'12'!$F$99</f>
        <v>1.01</v>
      </c>
      <c r="M18" s="75">
        <f ca="1">OFFSET('12'!$E$35,$A$3,0)</f>
        <v>23867</v>
      </c>
      <c r="N18" s="121">
        <f ca="1">OFFSET('12'!$F$35,$A$3,0)</f>
        <v>2.2799999999999998</v>
      </c>
      <c r="O18" s="75">
        <f ca="1">IFERROR('12'!$F$101*'Discipline Analysis'!$B18,"")</f>
        <v>2197.44</v>
      </c>
      <c r="P18" s="121">
        <f>'12'!$F$101</f>
        <v>0.21</v>
      </c>
      <c r="Q18" s="75" t="str">
        <f ca="1">IFERROR('12'!$F$102*'Discipline Analysis'!$B18,"")</f>
        <v/>
      </c>
      <c r="R18" s="121" t="str">
        <f>'12'!$F$102</f>
        <v/>
      </c>
      <c r="S18" s="75" t="str">
        <f ca="1">IFERROR('12'!$F$103*'Discipline Analysis'!$B18,"")</f>
        <v/>
      </c>
      <c r="T18" s="121" t="str">
        <f>'12'!$F$103</f>
        <v/>
      </c>
      <c r="U18" s="75">
        <f ca="1">IFERROR('12'!$F$104*'Discipline Analysis'!$B18,"")</f>
        <v>10882.56</v>
      </c>
      <c r="V18" s="126">
        <f>'12'!$F$104</f>
        <v>1.04</v>
      </c>
      <c r="X18" s="74" t="s">
        <v>14</v>
      </c>
    </row>
    <row r="19" spans="1:24" x14ac:dyDescent="0.2">
      <c r="A19" s="92" t="s">
        <v>1057</v>
      </c>
      <c r="B19" s="83">
        <f ca="1">OFFSET('13'!$D$4,$A$3,0)</f>
        <v>26038</v>
      </c>
      <c r="C19" s="75">
        <f ca="1">OFFSET('13'!$E$4,$A$3,0)</f>
        <v>160574.83320389985</v>
      </c>
      <c r="D19" s="121">
        <f ca="1">OFFSET('13'!$F$4,$A$3,0)</f>
        <v>6.17</v>
      </c>
      <c r="E19" s="75">
        <f ca="1">OFFSET('13'!$E$66,$A$3,0)</f>
        <v>60208</v>
      </c>
      <c r="F19" s="121">
        <f ca="1">OFFSET('13'!$F$66,$A$3,0)</f>
        <v>2.31</v>
      </c>
      <c r="G19" s="75">
        <f ca="1">IFERROR('13'!$F$100*'Discipline Analysis'!$B19,"")</f>
        <v>11717.1</v>
      </c>
      <c r="H19" s="121">
        <f>'13'!$F$100</f>
        <v>0.45</v>
      </c>
      <c r="I19" s="75">
        <f ca="1">IFERROR('13'!$F$98*'Discipline Analysis'!$B19,"")</f>
        <v>35411.68</v>
      </c>
      <c r="J19" s="121">
        <f>'13'!$F$98</f>
        <v>1.36</v>
      </c>
      <c r="K19" s="75">
        <f ca="1">IFERROR('13'!$F$99*'Discipline Analysis'!$B19,"")</f>
        <v>17445.460000000003</v>
      </c>
      <c r="L19" s="121">
        <f>'13'!$F$99</f>
        <v>0.67</v>
      </c>
      <c r="M19" s="75">
        <f ca="1">OFFSET('13'!$E$35,$A$3,0)</f>
        <v>20203</v>
      </c>
      <c r="N19" s="121">
        <f ca="1">OFFSET('13'!$F$35,$A$3,0)</f>
        <v>0.78</v>
      </c>
      <c r="O19" s="75">
        <f ca="1">IFERROR('13'!$F$101*'Discipline Analysis'!$B19,"")</f>
        <v>10675.58</v>
      </c>
      <c r="P19" s="121">
        <f>'13'!$F$101</f>
        <v>0.41</v>
      </c>
      <c r="Q19" s="75" t="str">
        <f ca="1">IFERROR('13'!$F$102*'Discipline Analysis'!$B19,"")</f>
        <v/>
      </c>
      <c r="R19" s="121" t="str">
        <f>'13'!$F$102</f>
        <v/>
      </c>
      <c r="S19" s="75" t="str">
        <f ca="1">IFERROR('13'!$F$103*'Discipline Analysis'!$B19,"")</f>
        <v/>
      </c>
      <c r="T19" s="121" t="str">
        <f>'13'!$F$103</f>
        <v/>
      </c>
      <c r="U19" s="75">
        <f ca="1">IFERROR('13'!$F$104*'Discipline Analysis'!$B19,"")</f>
        <v>4947.22</v>
      </c>
      <c r="V19" s="126">
        <f>'13'!$F$104</f>
        <v>0.19</v>
      </c>
      <c r="X19" s="74" t="s">
        <v>15</v>
      </c>
    </row>
    <row r="20" spans="1:24" x14ac:dyDescent="0.2">
      <c r="A20" s="92" t="s">
        <v>1058</v>
      </c>
      <c r="B20" s="83">
        <f ca="1">OFFSET('14'!$D$4,$A$3,0)</f>
        <v>88780</v>
      </c>
      <c r="C20" s="75">
        <f ca="1">OFFSET('14'!$E$4,$A$3,0)</f>
        <v>1459648.3599864733</v>
      </c>
      <c r="D20" s="121">
        <f ca="1">OFFSET('14'!$F$4,$A$3,0)</f>
        <v>16.440000000000001</v>
      </c>
      <c r="E20" s="75">
        <f ca="1">OFFSET('14'!$E$66,$A$3,0)</f>
        <v>548881</v>
      </c>
      <c r="F20" s="121">
        <f ca="1">OFFSET('14'!$F$66,$A$3,0)</f>
        <v>6.18</v>
      </c>
      <c r="G20" s="75">
        <f ca="1">IFERROR('14'!$F$100*'Discipline Analysis'!$B20,"")</f>
        <v>26634</v>
      </c>
      <c r="H20" s="121">
        <f>'14'!$F$100</f>
        <v>0.3</v>
      </c>
      <c r="I20" s="75">
        <f ca="1">IFERROR('14'!$F$98*'Discipline Analysis'!$B20,"")</f>
        <v>167794.19999999998</v>
      </c>
      <c r="J20" s="121">
        <f>'14'!$F$98</f>
        <v>1.89</v>
      </c>
      <c r="K20" s="75">
        <f ca="1">IFERROR('14'!$F$99*'Discipline Analysis'!$B20,"")</f>
        <v>63921.599999999999</v>
      </c>
      <c r="L20" s="121">
        <f>'14'!$F$99</f>
        <v>0.72</v>
      </c>
      <c r="M20" s="75">
        <f ca="1">OFFSET('14'!$E$35,$A$3,0)</f>
        <v>601319</v>
      </c>
      <c r="N20" s="121">
        <f ca="1">OFFSET('14'!$F$35,$A$3,0)</f>
        <v>6.77</v>
      </c>
      <c r="O20" s="75">
        <f ca="1">IFERROR('14'!$F$101*'Discipline Analysis'!$B20,"")</f>
        <v>22195</v>
      </c>
      <c r="P20" s="121">
        <f>'14'!$F$101</f>
        <v>0.25</v>
      </c>
      <c r="Q20" s="75">
        <f ca="1">IFERROR('14'!$F$102*'Discipline Analysis'!$B20,"")</f>
        <v>2663.4</v>
      </c>
      <c r="R20" s="121">
        <f>'14'!$F$102</f>
        <v>0.03</v>
      </c>
      <c r="S20" s="75" t="str">
        <f ca="1">IFERROR('14'!$F$103*'Discipline Analysis'!$B20,"")</f>
        <v/>
      </c>
      <c r="T20" s="121" t="str">
        <f>'14'!$F$103</f>
        <v/>
      </c>
      <c r="U20" s="75">
        <f ca="1">IFERROR('14'!$F$104*'Discipline Analysis'!$B20,"")</f>
        <v>26634</v>
      </c>
      <c r="V20" s="126">
        <f>'14'!$F$104</f>
        <v>0.3</v>
      </c>
      <c r="X20" s="74" t="s">
        <v>16</v>
      </c>
    </row>
    <row r="21" spans="1:24" x14ac:dyDescent="0.2">
      <c r="A21" s="92" t="s">
        <v>1035</v>
      </c>
      <c r="B21" s="83">
        <f ca="1">OFFSET('15'!$D$4,$A$3,0)</f>
        <v>0</v>
      </c>
      <c r="C21" s="75">
        <f ca="1">OFFSET('15'!$E$4,$A$3,0)</f>
        <v>0</v>
      </c>
      <c r="D21" s="121" t="str">
        <f ca="1">OFFSET('15'!$F$4,$A$3,0)</f>
        <v/>
      </c>
      <c r="E21" s="75">
        <f ca="1">OFFSET('15'!$E$66,$A$3,0)</f>
        <v>0</v>
      </c>
      <c r="F21" s="121" t="str">
        <f ca="1">OFFSET('15'!$F$66,$A$3,0)</f>
        <v/>
      </c>
      <c r="G21" s="75">
        <f ca="1">IFERROR('15'!$F$100*'Discipline Analysis'!$B21,"")</f>
        <v>0</v>
      </c>
      <c r="H21" s="121">
        <f>'15'!$F$100</f>
        <v>0.49</v>
      </c>
      <c r="I21" s="75">
        <f ca="1">IFERROR('15'!$F$98*'Discipline Analysis'!$B21,"")</f>
        <v>0</v>
      </c>
      <c r="J21" s="121">
        <f>'15'!$F$98</f>
        <v>1.49</v>
      </c>
      <c r="K21" s="75">
        <f ca="1">IFERROR('15'!$F$99*'Discipline Analysis'!$B21,"")</f>
        <v>0</v>
      </c>
      <c r="L21" s="121">
        <f>'15'!$F$99</f>
        <v>0.78</v>
      </c>
      <c r="M21" s="75">
        <f ca="1">OFFSET('15'!$E$35,$A$3,0)</f>
        <v>0</v>
      </c>
      <c r="N21" s="121" t="str">
        <f ca="1">OFFSET('15'!$F$35,$A$3,0)</f>
        <v/>
      </c>
      <c r="O21" s="75">
        <f ca="1">IFERROR('15'!$F$101*'Discipline Analysis'!$B21,"")</f>
        <v>0</v>
      </c>
      <c r="P21" s="121">
        <f>'15'!$F$101</f>
        <v>0.54</v>
      </c>
      <c r="Q21" s="75" t="str">
        <f ca="1">IFERROR('15'!$F$102*'Discipline Analysis'!$B21,"")</f>
        <v/>
      </c>
      <c r="R21" s="121" t="str">
        <f>'15'!$F$102</f>
        <v/>
      </c>
      <c r="S21" s="75" t="str">
        <f ca="1">IFERROR('15'!$F$103*'Discipline Analysis'!$B21,"")</f>
        <v/>
      </c>
      <c r="T21" s="121" t="str">
        <f>'15'!$F$103</f>
        <v/>
      </c>
      <c r="U21" s="75">
        <f ca="1">IFERROR('15'!$F$104*'Discipline Analysis'!$B21,"")</f>
        <v>0</v>
      </c>
      <c r="V21" s="126">
        <f>'15'!$F$104</f>
        <v>0.84</v>
      </c>
      <c r="X21" s="74" t="s">
        <v>17</v>
      </c>
    </row>
    <row r="22" spans="1:24" x14ac:dyDescent="0.2">
      <c r="A22" s="91" t="s">
        <v>1059</v>
      </c>
      <c r="B22" s="83">
        <f ca="1">OFFSET('16'!$D$4,$A$3,0)</f>
        <v>0</v>
      </c>
      <c r="C22" s="75">
        <f ca="1">OFFSET('16'!$E$4,$A$3,0)</f>
        <v>0</v>
      </c>
      <c r="D22" s="121" t="str">
        <f ca="1">OFFSET('16'!$F$4,$A$3,0)</f>
        <v/>
      </c>
      <c r="E22" s="75">
        <f ca="1">OFFSET('16'!$E$66,$A$3,0)</f>
        <v>0</v>
      </c>
      <c r="F22" s="121" t="str">
        <f ca="1">OFFSET('16'!$F$66,$A$3,0)</f>
        <v/>
      </c>
      <c r="G22" s="75">
        <f ca="1">IFERROR('16'!$F$100*'Discipline Analysis'!$B22,"")</f>
        <v>0</v>
      </c>
      <c r="H22" s="121">
        <f>'16'!$F$100</f>
        <v>0.26</v>
      </c>
      <c r="I22" s="75">
        <f ca="1">IFERROR('16'!$F$98*'Discipline Analysis'!$B22,"")</f>
        <v>0</v>
      </c>
      <c r="J22" s="121">
        <f>'16'!$F$98</f>
        <v>1.62</v>
      </c>
      <c r="K22" s="75">
        <f ca="1">IFERROR('16'!$F$99*'Discipline Analysis'!$B22,"")</f>
        <v>0</v>
      </c>
      <c r="L22" s="121">
        <f>'16'!$F$99</f>
        <v>0.71</v>
      </c>
      <c r="M22" s="75">
        <f ca="1">OFFSET('16'!$E$35,$A$3,0)</f>
        <v>0</v>
      </c>
      <c r="N22" s="121" t="str">
        <f ca="1">OFFSET('16'!$F$35,$A$3,0)</f>
        <v/>
      </c>
      <c r="O22" s="75">
        <f ca="1">IFERROR('16'!$F$101*'Discipline Analysis'!$B22,"")</f>
        <v>0</v>
      </c>
      <c r="P22" s="121">
        <f>'16'!$F$101</f>
        <v>0.79</v>
      </c>
      <c r="Q22" s="75">
        <f ca="1">IFERROR('16'!$F$102*'Discipline Analysis'!$B22,"")</f>
        <v>0</v>
      </c>
      <c r="R22" s="121">
        <f>'16'!$F$102</f>
        <v>0.02</v>
      </c>
      <c r="S22" s="75" t="str">
        <f ca="1">IFERROR('16'!$F$103*'Discipline Analysis'!$B22,"")</f>
        <v/>
      </c>
      <c r="T22" s="121" t="str">
        <f>'16'!$F$103</f>
        <v/>
      </c>
      <c r="U22" s="75">
        <f ca="1">IFERROR('16'!$F$104*'Discipline Analysis'!$B22,"")</f>
        <v>0</v>
      </c>
      <c r="V22" s="126">
        <f>'16'!$F$104</f>
        <v>0.38</v>
      </c>
      <c r="X22" s="74" t="s">
        <v>18</v>
      </c>
    </row>
    <row r="23" spans="1:24" x14ac:dyDescent="0.2">
      <c r="A23" s="92" t="s">
        <v>1036</v>
      </c>
      <c r="B23" s="83">
        <f ca="1">OFFSET('17'!$D$4,$A$3,0)</f>
        <v>24848</v>
      </c>
      <c r="C23" s="75">
        <f ca="1">OFFSET('17'!$E$4,$A$3,0)</f>
        <v>192456.2880821742</v>
      </c>
      <c r="D23" s="121">
        <f ca="1">OFFSET('17'!$F$4,$A$3,0)</f>
        <v>7.75</v>
      </c>
      <c r="E23" s="75">
        <f ca="1">OFFSET('17'!$E$66,$A$3,0)</f>
        <v>96894</v>
      </c>
      <c r="F23" s="121">
        <f ca="1">OFFSET('17'!$F$66,$A$3,0)</f>
        <v>3.9</v>
      </c>
      <c r="G23" s="75">
        <f ca="1">IFERROR('17'!$F$100*'Discipline Analysis'!$B23,"")</f>
        <v>4721.12</v>
      </c>
      <c r="H23" s="121">
        <f>'17'!$F$100</f>
        <v>0.19</v>
      </c>
      <c r="I23" s="75">
        <f ca="1">IFERROR('17'!$F$98*'Discipline Analysis'!$B23,"")</f>
        <v>35284.159999999996</v>
      </c>
      <c r="J23" s="121">
        <f>'17'!$F$98</f>
        <v>1.42</v>
      </c>
      <c r="K23" s="75">
        <f ca="1">IFERROR('17'!$F$99*'Discipline Analysis'!$B23,"")</f>
        <v>13417.92</v>
      </c>
      <c r="L23" s="121">
        <f>'17'!$F$99</f>
        <v>0.54</v>
      </c>
      <c r="M23" s="75">
        <f ca="1">OFFSET('17'!$E$35,$A$3,0)</f>
        <v>21124</v>
      </c>
      <c r="N23" s="121">
        <f ca="1">OFFSET('17'!$F$35,$A$3,0)</f>
        <v>0.85</v>
      </c>
      <c r="O23" s="75">
        <f ca="1">IFERROR('17'!$F$101*'Discipline Analysis'!$B23,"")</f>
        <v>13914.880000000001</v>
      </c>
      <c r="P23" s="121">
        <f>'17'!$F$101</f>
        <v>0.56000000000000005</v>
      </c>
      <c r="Q23" s="75" t="str">
        <f ca="1">IFERROR('17'!$F$102*'Discipline Analysis'!$B23,"")</f>
        <v/>
      </c>
      <c r="R23" s="121" t="str">
        <f>'17'!$F$102</f>
        <v/>
      </c>
      <c r="S23" s="75" t="str">
        <f ca="1">IFERROR('17'!$F$103*'Discipline Analysis'!$B23,"")</f>
        <v/>
      </c>
      <c r="T23" s="121" t="str">
        <f>'17'!$F$103</f>
        <v/>
      </c>
      <c r="U23" s="75">
        <f ca="1">IFERROR('17'!$F$104*'Discipline Analysis'!$B23,"")</f>
        <v>6957.4400000000005</v>
      </c>
      <c r="V23" s="126">
        <f>'17'!$F$104</f>
        <v>0.28000000000000003</v>
      </c>
      <c r="X23" s="74" t="s">
        <v>461</v>
      </c>
    </row>
    <row r="24" spans="1:24" x14ac:dyDescent="0.2">
      <c r="A24" s="92" t="s">
        <v>1037</v>
      </c>
      <c r="B24" s="83">
        <f ca="1">OFFSET('18'!$D$4,$A$3,0)</f>
        <v>0</v>
      </c>
      <c r="C24" s="75">
        <f ca="1">OFFSET('18'!$E$4,$A$3,0)</f>
        <v>0</v>
      </c>
      <c r="D24" s="121" t="str">
        <f ca="1">OFFSET('18'!$F$4,$A$3,0)</f>
        <v/>
      </c>
      <c r="E24" s="75">
        <f ca="1">OFFSET('18'!$E$66,$A$3,0)</f>
        <v>0</v>
      </c>
      <c r="F24" s="121" t="str">
        <f ca="1">OFFSET('18'!$F$66,$A$3,0)</f>
        <v/>
      </c>
      <c r="G24" s="75">
        <f ca="1">IFERROR('18'!$F$100*'Discipline Analysis'!$B24,"")</f>
        <v>0</v>
      </c>
      <c r="H24" s="121">
        <f>'18'!$F$100</f>
        <v>0.27</v>
      </c>
      <c r="I24" s="75">
        <f ca="1">IFERROR('18'!$F$98*'Discipline Analysis'!$B24,"")</f>
        <v>0</v>
      </c>
      <c r="J24" s="121">
        <f>'18'!$F$98</f>
        <v>2.1800000000000002</v>
      </c>
      <c r="K24" s="75">
        <f ca="1">IFERROR('18'!$F$99*'Discipline Analysis'!$B24,"")</f>
        <v>0</v>
      </c>
      <c r="L24" s="121">
        <f>'18'!$F$99</f>
        <v>0.5</v>
      </c>
      <c r="M24" s="75">
        <f ca="1">OFFSET('18'!$E$35,$A$3,0)</f>
        <v>0</v>
      </c>
      <c r="N24" s="121" t="str">
        <f ca="1">OFFSET('18'!$F$35,$A$3,0)</f>
        <v/>
      </c>
      <c r="O24" s="75">
        <f ca="1">IFERROR('18'!$F$101*'Discipline Analysis'!$B24,"")</f>
        <v>0</v>
      </c>
      <c r="P24" s="121">
        <f>'18'!$F$101</f>
        <v>0.95</v>
      </c>
      <c r="Q24" s="75" t="str">
        <f ca="1">IFERROR('18'!$F$102*'Discipline Analysis'!$B24,"")</f>
        <v/>
      </c>
      <c r="R24" s="121" t="str">
        <f>'18'!$F$102</f>
        <v/>
      </c>
      <c r="S24" s="75" t="str">
        <f ca="1">IFERROR('18'!$F$103*'Discipline Analysis'!$B24,"")</f>
        <v/>
      </c>
      <c r="T24" s="121" t="str">
        <f>'18'!$F$103</f>
        <v/>
      </c>
      <c r="U24" s="75">
        <f ca="1">IFERROR('18'!$F$104*'Discipline Analysis'!$B24,"")</f>
        <v>0</v>
      </c>
      <c r="V24" s="126">
        <f>'18'!$F$104</f>
        <v>0.71</v>
      </c>
      <c r="X24" s="74" t="s">
        <v>19</v>
      </c>
    </row>
    <row r="25" spans="1:24" x14ac:dyDescent="0.2">
      <c r="A25" s="92" t="s">
        <v>1067</v>
      </c>
      <c r="B25" s="83">
        <f ca="1">OFFSET('19'!$D$4,$A$3,0)</f>
        <v>19988</v>
      </c>
      <c r="C25" s="75">
        <f ca="1">OFFSET('19'!$E$4,$A$3,0)</f>
        <v>116087.70352989517</v>
      </c>
      <c r="D25" s="121">
        <f ca="1">OFFSET('19'!$F$4,$A$3,0)</f>
        <v>5.81</v>
      </c>
      <c r="E25" s="75">
        <f ca="1">OFFSET('19'!$E$66,$A$3,0)</f>
        <v>59013</v>
      </c>
      <c r="F25" s="121">
        <f ca="1">OFFSET('19'!$F$66,$A$3,0)</f>
        <v>2.95</v>
      </c>
      <c r="G25" s="75">
        <f ca="1">IFERROR('19'!$F$100*'Discipline Analysis'!$B25,"")</f>
        <v>2998.2</v>
      </c>
      <c r="H25" s="121">
        <f>'19'!$F$100</f>
        <v>0.15</v>
      </c>
      <c r="I25" s="75">
        <f ca="1">IFERROR('19'!$F$98*'Discipline Analysis'!$B25,"")</f>
        <v>17389.560000000001</v>
      </c>
      <c r="J25" s="121">
        <f>'19'!$F$98</f>
        <v>0.87</v>
      </c>
      <c r="K25" s="75">
        <f ca="1">IFERROR('19'!$F$99*'Discipline Analysis'!$B25,"")</f>
        <v>9794.119999999999</v>
      </c>
      <c r="L25" s="121">
        <f>'19'!$F$99</f>
        <v>0.49</v>
      </c>
      <c r="M25" s="75">
        <f ca="1">OFFSET('19'!$E$35,$A$3,0)</f>
        <v>12729</v>
      </c>
      <c r="N25" s="121">
        <f ca="1">OFFSET('19'!$F$35,$A$3,0)</f>
        <v>0.64</v>
      </c>
      <c r="O25" s="75">
        <f ca="1">IFERROR('19'!$F$101*'Discipline Analysis'!$B25,"")</f>
        <v>4597.24</v>
      </c>
      <c r="P25" s="121">
        <f>'19'!$F$101</f>
        <v>0.23</v>
      </c>
      <c r="Q25" s="75">
        <f ca="1">IFERROR('19'!$F$102*'Discipline Analysis'!$B25,"")</f>
        <v>399.76</v>
      </c>
      <c r="R25" s="121">
        <f>'19'!$F$102</f>
        <v>0.02</v>
      </c>
      <c r="S25" s="75" t="str">
        <f ca="1">IFERROR('19'!$F$103*'Discipline Analysis'!$B25,"")</f>
        <v/>
      </c>
      <c r="T25" s="121" t="str">
        <f>'19'!$F$103</f>
        <v/>
      </c>
      <c r="U25" s="75">
        <f ca="1">IFERROR('19'!$F$104*'Discipline Analysis'!$B25,"")</f>
        <v>8994.6</v>
      </c>
      <c r="V25" s="126">
        <f>'19'!$F$104</f>
        <v>0.45</v>
      </c>
      <c r="X25" s="74" t="s">
        <v>20</v>
      </c>
    </row>
    <row r="26" spans="1:24" x14ac:dyDescent="0.2">
      <c r="A26" s="92" t="s">
        <v>1038</v>
      </c>
      <c r="B26" s="83">
        <f ca="1">OFFSET('20'!$D$4,$A$3,0)</f>
        <v>9712</v>
      </c>
      <c r="C26" s="75">
        <f ca="1">OFFSET('20'!$E$4,$A$3,0)</f>
        <v>75283.909713216301</v>
      </c>
      <c r="D26" s="121">
        <f ca="1">OFFSET('20'!$F$4,$A$3,0)</f>
        <v>7.75</v>
      </c>
      <c r="E26" s="75">
        <f ca="1">OFFSET('20'!$E$66,$A$3,0)</f>
        <v>45347</v>
      </c>
      <c r="F26" s="121">
        <f ca="1">OFFSET('20'!$F$66,$A$3,0)</f>
        <v>4.67</v>
      </c>
      <c r="G26" s="75">
        <f ca="1">IFERROR('20'!$F$100*'Discipline Analysis'!$B26,"")</f>
        <v>4079.04</v>
      </c>
      <c r="H26" s="121">
        <f>'20'!$F$100</f>
        <v>0.42</v>
      </c>
      <c r="I26" s="75">
        <f ca="1">IFERROR('20'!$F$98*'Discipline Analysis'!$B26,"")</f>
        <v>8740.8000000000011</v>
      </c>
      <c r="J26" s="121">
        <f>'20'!$F$98</f>
        <v>0.9</v>
      </c>
      <c r="K26" s="75">
        <f ca="1">IFERROR('20'!$F$99*'Discipline Analysis'!$B26,"")</f>
        <v>5438.72</v>
      </c>
      <c r="L26" s="121">
        <f>'20'!$F$99</f>
        <v>0.56000000000000005</v>
      </c>
      <c r="M26" s="75">
        <f ca="1">OFFSET('20'!$E$35,$A$3,0)</f>
        <v>8617</v>
      </c>
      <c r="N26" s="121">
        <f ca="1">OFFSET('20'!$F$35,$A$3,0)</f>
        <v>0.89</v>
      </c>
      <c r="O26" s="75">
        <f ca="1">IFERROR('20'!$F$101*'Discipline Analysis'!$B26,"")</f>
        <v>2428</v>
      </c>
      <c r="P26" s="121">
        <f>'20'!$F$101</f>
        <v>0.25</v>
      </c>
      <c r="Q26" s="75" t="str">
        <f ca="1">IFERROR('20'!$F$102*'Discipline Analysis'!$B26,"")</f>
        <v/>
      </c>
      <c r="R26" s="121" t="str">
        <f>'20'!$F$102</f>
        <v/>
      </c>
      <c r="S26" s="75" t="str">
        <f ca="1">IFERROR('20'!$F$103*'Discipline Analysis'!$B26,"")</f>
        <v/>
      </c>
      <c r="T26" s="121" t="str">
        <f>'20'!$F$103</f>
        <v/>
      </c>
      <c r="U26" s="75">
        <f ca="1">IFERROR('20'!$F$104*'Discipline Analysis'!$B26,"")</f>
        <v>679.84</v>
      </c>
      <c r="V26" s="126">
        <f>'20'!$F$104</f>
        <v>7.0000000000000007E-2</v>
      </c>
      <c r="X26" s="74" t="s">
        <v>21</v>
      </c>
    </row>
    <row r="27" spans="1:24" x14ac:dyDescent="0.2">
      <c r="A27" s="92" t="s">
        <v>1060</v>
      </c>
      <c r="B27" s="83">
        <f ca="1">OFFSET('21'!$D$4,$A$3,0)</f>
        <v>89936</v>
      </c>
      <c r="C27" s="75">
        <f ca="1">OFFSET('21'!$E$4,$A$3,0)</f>
        <v>870246.23125029798</v>
      </c>
      <c r="D27" s="121">
        <f ca="1">OFFSET('21'!$F$4,$A$3,0)</f>
        <v>9.68</v>
      </c>
      <c r="E27" s="75">
        <f ca="1">OFFSET('21'!$E$66,$A$3,0)</f>
        <v>249057</v>
      </c>
      <c r="F27" s="121">
        <f ca="1">OFFSET('21'!$F$66,$A$3,0)</f>
        <v>2.77</v>
      </c>
      <c r="G27" s="75">
        <f ca="1">IFERROR('21'!$F$100*'Discipline Analysis'!$B27,"")</f>
        <v>20685.280000000002</v>
      </c>
      <c r="H27" s="121">
        <f>'21'!$F$100</f>
        <v>0.23</v>
      </c>
      <c r="I27" s="75">
        <f ca="1">IFERROR('21'!$F$98*'Discipline Analysis'!$B27,"")</f>
        <v>169079.67999999999</v>
      </c>
      <c r="J27" s="121">
        <f>'21'!$F$98</f>
        <v>1.88</v>
      </c>
      <c r="K27" s="75">
        <f ca="1">IFERROR('21'!$F$99*'Discipline Analysis'!$B27,"")</f>
        <v>98030.24</v>
      </c>
      <c r="L27" s="121">
        <f>'21'!$F$99</f>
        <v>1.0900000000000001</v>
      </c>
      <c r="M27" s="75">
        <f ca="1">OFFSET('21'!$E$35,$A$3,0)</f>
        <v>240888</v>
      </c>
      <c r="N27" s="121">
        <f ca="1">OFFSET('21'!$F$35,$A$3,0)</f>
        <v>2.68</v>
      </c>
      <c r="O27" s="75">
        <f ca="1">IFERROR('21'!$F$101*'Discipline Analysis'!$B27,"")</f>
        <v>13490.4</v>
      </c>
      <c r="P27" s="121">
        <f>'21'!$F$101</f>
        <v>0.15</v>
      </c>
      <c r="Q27" s="75" t="str">
        <f ca="1">IFERROR('21'!$F$102*'Discipline Analysis'!$B27,"")</f>
        <v/>
      </c>
      <c r="R27" s="121" t="str">
        <f>'21'!$F$102</f>
        <v/>
      </c>
      <c r="S27" s="75" t="str">
        <f ca="1">IFERROR('21'!$F$103*'Discipline Analysis'!$B27,"")</f>
        <v/>
      </c>
      <c r="T27" s="121" t="str">
        <f>'21'!$F$103</f>
        <v/>
      </c>
      <c r="U27" s="75">
        <f ca="1">IFERROR('21'!$F$104*'Discipline Analysis'!$B27,"")</f>
        <v>80043.040000000008</v>
      </c>
      <c r="V27" s="126">
        <f>'21'!$F$104</f>
        <v>0.89</v>
      </c>
      <c r="X27" s="74" t="s">
        <v>22</v>
      </c>
    </row>
    <row r="28" spans="1:24" x14ac:dyDescent="0.2">
      <c r="A28" s="92" t="s">
        <v>1039</v>
      </c>
      <c r="B28" s="83">
        <f ca="1">OFFSET('22'!$D$4,$A$3,0)</f>
        <v>67793</v>
      </c>
      <c r="C28" s="75">
        <f ca="1">OFFSET('22'!$E$4,$A$3,0)</f>
        <v>422512.70834076835</v>
      </c>
      <c r="D28" s="121">
        <f ca="1">OFFSET('22'!$F$4,$A$3,0)</f>
        <v>6.23</v>
      </c>
      <c r="E28" s="75">
        <f ca="1">OFFSET('22'!$E$66,$A$3,0)</f>
        <v>177816</v>
      </c>
      <c r="F28" s="121">
        <f ca="1">OFFSET('22'!$F$66,$A$3,0)</f>
        <v>2.62</v>
      </c>
      <c r="G28" s="75">
        <f ca="1">IFERROR('22'!$F$100*'Discipline Analysis'!$B28,"")</f>
        <v>6101.37</v>
      </c>
      <c r="H28" s="121">
        <f>'22'!$F$100</f>
        <v>0.09</v>
      </c>
      <c r="I28" s="75">
        <f ca="1">IFERROR('22'!$F$98*'Discipline Analysis'!$B28,"")</f>
        <v>89486.760000000009</v>
      </c>
      <c r="J28" s="121">
        <f>'22'!$F$98</f>
        <v>1.32</v>
      </c>
      <c r="K28" s="75">
        <f ca="1">IFERROR('22'!$F$99*'Discipline Analysis'!$B28,"")</f>
        <v>29150.989999999998</v>
      </c>
      <c r="L28" s="121">
        <f>'22'!$F$99</f>
        <v>0.43</v>
      </c>
      <c r="M28" s="75">
        <f ca="1">OFFSET('22'!$E$35,$A$3,0)</f>
        <v>79986</v>
      </c>
      <c r="N28" s="121">
        <f ca="1">OFFSET('22'!$F$35,$A$3,0)</f>
        <v>1.18</v>
      </c>
      <c r="O28" s="75">
        <f ca="1">IFERROR('22'!$F$101*'Discipline Analysis'!$B28,"")</f>
        <v>14914.460000000001</v>
      </c>
      <c r="P28" s="121">
        <f>'22'!$F$101</f>
        <v>0.22</v>
      </c>
      <c r="Q28" s="75" t="str">
        <f ca="1">IFERROR('22'!$F$102*'Discipline Analysis'!$B28,"")</f>
        <v/>
      </c>
      <c r="R28" s="121" t="str">
        <f>'22'!$F$102</f>
        <v/>
      </c>
      <c r="S28" s="75" t="str">
        <f ca="1">IFERROR('22'!$F$103*'Discipline Analysis'!$B28,"")</f>
        <v/>
      </c>
      <c r="T28" s="121" t="str">
        <f>'22'!$F$103</f>
        <v/>
      </c>
      <c r="U28" s="75">
        <f ca="1">IFERROR('22'!$F$104*'Discipline Analysis'!$B28,"")</f>
        <v>24405.48</v>
      </c>
      <c r="V28" s="126">
        <f>'22'!$F$104</f>
        <v>0.36</v>
      </c>
      <c r="X28" s="74" t="s">
        <v>23</v>
      </c>
    </row>
    <row r="29" spans="1:24" x14ac:dyDescent="0.2">
      <c r="A29" s="92" t="s">
        <v>1040</v>
      </c>
      <c r="B29" s="83">
        <f ca="1">OFFSET('23'!$D$4,$A$3,0)</f>
        <v>6674</v>
      </c>
      <c r="C29" s="75">
        <f ca="1">OFFSET('23'!$E$4,$A$3,0)</f>
        <v>68751.409577256069</v>
      </c>
      <c r="D29" s="121">
        <f ca="1">OFFSET('23'!$F$4,$A$3,0)</f>
        <v>10.3</v>
      </c>
      <c r="E29" s="75">
        <f ca="1">OFFSET('23'!$E$66,$A$3,0)</f>
        <v>48382</v>
      </c>
      <c r="F29" s="121">
        <f ca="1">OFFSET('23'!$F$66,$A$3,0)</f>
        <v>7.25</v>
      </c>
      <c r="G29" s="75">
        <f ca="1">IFERROR('23'!$F$100*'Discipline Analysis'!$B29,"")</f>
        <v>934.36000000000013</v>
      </c>
      <c r="H29" s="121">
        <f>'23'!$F$100</f>
        <v>0.14000000000000001</v>
      </c>
      <c r="I29" s="75">
        <f ca="1">IFERROR('23'!$F$98*'Discipline Analysis'!$B29,"")</f>
        <v>6140.08</v>
      </c>
      <c r="J29" s="121">
        <f>'23'!$F$98</f>
        <v>0.92</v>
      </c>
      <c r="K29" s="75">
        <f ca="1">IFERROR('23'!$F$99*'Discipline Analysis'!$B29,"")</f>
        <v>2602.86</v>
      </c>
      <c r="L29" s="121">
        <f>'23'!$F$99</f>
        <v>0.39</v>
      </c>
      <c r="M29" s="75">
        <f ca="1">OFFSET('23'!$E$35,$A$3,0)</f>
        <v>4736</v>
      </c>
      <c r="N29" s="121">
        <f ca="1">OFFSET('23'!$F$35,$A$3,0)</f>
        <v>0.71</v>
      </c>
      <c r="O29" s="75">
        <f ca="1">IFERROR('23'!$F$101*'Discipline Analysis'!$B29,"")</f>
        <v>3804.18</v>
      </c>
      <c r="P29" s="121">
        <f>'23'!$F$101</f>
        <v>0.56999999999999995</v>
      </c>
      <c r="Q29" s="75" t="str">
        <f ca="1">IFERROR('23'!$F$102*'Discipline Analysis'!$B29,"")</f>
        <v/>
      </c>
      <c r="R29" s="121" t="str">
        <f>'23'!$F$102</f>
        <v/>
      </c>
      <c r="S29" s="75" t="str">
        <f ca="1">IFERROR('23'!$F$103*'Discipline Analysis'!$B29,"")</f>
        <v/>
      </c>
      <c r="T29" s="121" t="str">
        <f>'23'!$F$103</f>
        <v/>
      </c>
      <c r="U29" s="75">
        <f ca="1">IFERROR('23'!$F$104*'Discipline Analysis'!$B29,"")</f>
        <v>2135.6799999999998</v>
      </c>
      <c r="V29" s="126">
        <f>'23'!$F$104</f>
        <v>0.32</v>
      </c>
      <c r="X29" s="74" t="s">
        <v>24</v>
      </c>
    </row>
    <row r="30" spans="1:24" x14ac:dyDescent="0.2">
      <c r="A30" s="92" t="s">
        <v>1024</v>
      </c>
      <c r="B30" s="83">
        <f ca="1">OFFSET('24'!$D$4,$A$3,0)</f>
        <v>0</v>
      </c>
      <c r="C30" s="75">
        <f ca="1">OFFSET('24'!$E$4,$A$3,0)</f>
        <v>0</v>
      </c>
      <c r="D30" s="121" t="str">
        <f ca="1">OFFSET('24'!$F$4,$A$3,0)</f>
        <v/>
      </c>
      <c r="E30" s="75">
        <f ca="1">OFFSET('24'!$E$66,$A$3,0)</f>
        <v>0</v>
      </c>
      <c r="F30" s="121" t="str">
        <f ca="1">OFFSET('24'!$F$66,$A$3,0)</f>
        <v/>
      </c>
      <c r="G30" s="75">
        <f ca="1">IFERROR('24'!$F$100*'Discipline Analysis'!$B30,"")</f>
        <v>0</v>
      </c>
      <c r="H30" s="121">
        <f>'24'!$F$100</f>
        <v>0.33</v>
      </c>
      <c r="I30" s="75">
        <f ca="1">IFERROR('24'!$F$98*'Discipline Analysis'!$B30,"")</f>
        <v>0</v>
      </c>
      <c r="J30" s="121">
        <f>'24'!$F$98</f>
        <v>1.44</v>
      </c>
      <c r="K30" s="75">
        <f ca="1">IFERROR('24'!$F$99*'Discipline Analysis'!$B30,"")</f>
        <v>0</v>
      </c>
      <c r="L30" s="121">
        <f>'24'!$F$99</f>
        <v>0.89</v>
      </c>
      <c r="M30" s="75">
        <f ca="1">OFFSET('24'!$E$35,$A$3,0)</f>
        <v>0</v>
      </c>
      <c r="N30" s="121" t="str">
        <f ca="1">OFFSET('24'!$F$35,$A$3,0)</f>
        <v/>
      </c>
      <c r="O30" s="75">
        <f ca="1">IFERROR('24'!$F$101*'Discipline Analysis'!$B30,"")</f>
        <v>0</v>
      </c>
      <c r="P30" s="121">
        <f>'24'!$F$101</f>
        <v>0.25</v>
      </c>
      <c r="Q30" s="75" t="str">
        <f ca="1">IFERROR('24'!$F$102*'Discipline Analysis'!$B30,"")</f>
        <v/>
      </c>
      <c r="R30" s="121" t="str">
        <f>'24'!$F$102</f>
        <v/>
      </c>
      <c r="S30" s="75" t="str">
        <f ca="1">IFERROR('24'!$F$103*'Discipline Analysis'!$B30,"")</f>
        <v/>
      </c>
      <c r="T30" s="121" t="str">
        <f>'24'!$F$103</f>
        <v/>
      </c>
      <c r="U30" s="75">
        <f ca="1">IFERROR('24'!$F$104*'Discipline Analysis'!$B30,"")</f>
        <v>0</v>
      </c>
      <c r="V30" s="126">
        <f>'24'!$F$104</f>
        <v>0.69</v>
      </c>
      <c r="X30" s="74" t="s">
        <v>25</v>
      </c>
    </row>
    <row r="31" spans="1:24" x14ac:dyDescent="0.2">
      <c r="A31" s="92" t="s">
        <v>1041</v>
      </c>
      <c r="B31" s="83">
        <f ca="1">OFFSET('25'!$D$4,$A$3,0)</f>
        <v>68480</v>
      </c>
      <c r="C31" s="75">
        <f ca="1">OFFSET('25'!$E$4,$A$3,0)</f>
        <v>399215.52573468135</v>
      </c>
      <c r="D31" s="121">
        <f ca="1">OFFSET('25'!$F$4,$A$3,0)</f>
        <v>5.83</v>
      </c>
      <c r="E31" s="75">
        <f ca="1">OFFSET('25'!$E$66,$A$3,0)</f>
        <v>124092</v>
      </c>
      <c r="F31" s="121">
        <f ca="1">OFFSET('25'!$F$66,$A$3,0)</f>
        <v>1.81</v>
      </c>
      <c r="G31" s="75">
        <f ca="1">IFERROR('25'!$F$100*'Discipline Analysis'!$B31,"")</f>
        <v>15750.400000000001</v>
      </c>
      <c r="H31" s="121">
        <f>'25'!$F$100</f>
        <v>0.23</v>
      </c>
      <c r="I31" s="75">
        <f ca="1">IFERROR('25'!$F$98*'Discipline Analysis'!$B31,"")</f>
        <v>128057.60000000001</v>
      </c>
      <c r="J31" s="121">
        <f>'25'!$F$98</f>
        <v>1.87</v>
      </c>
      <c r="K31" s="75">
        <f ca="1">IFERROR('25'!$F$99*'Discipline Analysis'!$B31,"")</f>
        <v>32185.599999999999</v>
      </c>
      <c r="L31" s="121">
        <f>'25'!$F$99</f>
        <v>0.47</v>
      </c>
      <c r="M31" s="75">
        <f ca="1">OFFSET('25'!$E$35,$A$3,0)</f>
        <v>12468</v>
      </c>
      <c r="N31" s="121">
        <f ca="1">OFFSET('25'!$F$35,$A$3,0)</f>
        <v>0.18</v>
      </c>
      <c r="O31" s="75">
        <f ca="1">IFERROR('25'!$F$101*'Discipline Analysis'!$B31,"")</f>
        <v>32185.599999999999</v>
      </c>
      <c r="P31" s="121">
        <f>'25'!$F$101</f>
        <v>0.47</v>
      </c>
      <c r="Q31" s="75" t="str">
        <f ca="1">IFERROR('25'!$F$102*'Discipline Analysis'!$B31,"")</f>
        <v/>
      </c>
      <c r="R31" s="121" t="str">
        <f>'25'!$F$102</f>
        <v/>
      </c>
      <c r="S31" s="75" t="str">
        <f ca="1">IFERROR('25'!$F$103*'Discipline Analysis'!$B31,"")</f>
        <v/>
      </c>
      <c r="T31" s="121" t="str">
        <f>'25'!$F$103</f>
        <v/>
      </c>
      <c r="U31" s="75">
        <f ca="1">IFERROR('25'!$F$104*'Discipline Analysis'!$B31,"")</f>
        <v>54099.200000000004</v>
      </c>
      <c r="V31" s="126">
        <f>'25'!$F$104</f>
        <v>0.79</v>
      </c>
      <c r="X31" s="74" t="s">
        <v>946</v>
      </c>
    </row>
    <row r="32" spans="1:24" x14ac:dyDescent="0.2">
      <c r="A32" s="91" t="s">
        <v>1042</v>
      </c>
      <c r="B32" s="83">
        <f ca="1">OFFSET('26'!$D$4,$A$3,0)</f>
        <v>12192</v>
      </c>
      <c r="C32" s="75">
        <f ca="1">OFFSET('26'!$E$4,$A$3,0)</f>
        <v>125814.46418467414</v>
      </c>
      <c r="D32" s="121">
        <f ca="1">OFFSET('26'!$F$4,$A$3,0)</f>
        <v>10.32</v>
      </c>
      <c r="E32" s="75">
        <f ca="1">OFFSET('26'!$E$66,$A$3,0)</f>
        <v>49804</v>
      </c>
      <c r="F32" s="121">
        <f ca="1">OFFSET('26'!$F$66,$A$3,0)</f>
        <v>4.08</v>
      </c>
      <c r="G32" s="75">
        <f ca="1">IFERROR('26'!$F$100*'Discipline Analysis'!$B32,"")</f>
        <v>4145.2800000000007</v>
      </c>
      <c r="H32" s="121">
        <f>'26'!$F$100</f>
        <v>0.34</v>
      </c>
      <c r="I32" s="75">
        <f ca="1">IFERROR('26'!$F$98*'Discipline Analysis'!$B32,"")</f>
        <v>15605.76</v>
      </c>
      <c r="J32" s="121">
        <f>'26'!$F$98</f>
        <v>1.28</v>
      </c>
      <c r="K32" s="75">
        <f ca="1">IFERROR('26'!$F$99*'Discipline Analysis'!$B32,"")</f>
        <v>8046.72</v>
      </c>
      <c r="L32" s="121">
        <f>'26'!$F$99</f>
        <v>0.66</v>
      </c>
      <c r="M32" s="75">
        <f ca="1">OFFSET('26'!$E$35,$A$3,0)</f>
        <v>31911</v>
      </c>
      <c r="N32" s="121">
        <f ca="1">OFFSET('26'!$F$35,$A$3,0)</f>
        <v>2.62</v>
      </c>
      <c r="O32" s="75">
        <f ca="1">IFERROR('26'!$F$101*'Discipline Analysis'!$B32,"")</f>
        <v>11704.32</v>
      </c>
      <c r="P32" s="121">
        <f>'26'!$F$101</f>
        <v>0.96</v>
      </c>
      <c r="Q32" s="75" t="str">
        <f ca="1">IFERROR('26'!$F$102*'Discipline Analysis'!$B32,"")</f>
        <v/>
      </c>
      <c r="R32" s="121" t="str">
        <f>'26'!$F$102</f>
        <v/>
      </c>
      <c r="S32" s="75" t="str">
        <f ca="1">IFERROR('26'!$F$103*'Discipline Analysis'!$B32,"")</f>
        <v/>
      </c>
      <c r="T32" s="121" t="str">
        <f>'26'!$F$103</f>
        <v/>
      </c>
      <c r="U32" s="75">
        <f ca="1">IFERROR('26'!$F$104*'Discipline Analysis'!$B32,"")</f>
        <v>4632.96</v>
      </c>
      <c r="V32" s="126">
        <f>'26'!$F$104</f>
        <v>0.38</v>
      </c>
    </row>
    <row r="33" spans="1:22" x14ac:dyDescent="0.2">
      <c r="A33" s="92" t="s">
        <v>1021</v>
      </c>
      <c r="B33" s="83">
        <f ca="1">OFFSET('27'!$D$4,$A$3,0)</f>
        <v>0</v>
      </c>
      <c r="C33" s="75">
        <f ca="1">OFFSET('27'!$E$4,$A$3,0)</f>
        <v>0</v>
      </c>
      <c r="D33" s="121" t="str">
        <f ca="1">OFFSET('27'!$F$4,$A$3,0)</f>
        <v/>
      </c>
      <c r="E33" s="75">
        <f ca="1">OFFSET('27'!$E$66,$A$3,0)</f>
        <v>0</v>
      </c>
      <c r="F33" s="121" t="str">
        <f ca="1">OFFSET('27'!$F$66,$A$3,0)</f>
        <v/>
      </c>
      <c r="G33" s="75">
        <f ca="1">IFERROR('27'!$F$100*'Discipline Analysis'!$B33,"")</f>
        <v>0</v>
      </c>
      <c r="H33" s="121">
        <f>'27'!$F$100</f>
        <v>0.34</v>
      </c>
      <c r="I33" s="75">
        <f ca="1">IFERROR('27'!$F$98*'Discipline Analysis'!$B33,"")</f>
        <v>0</v>
      </c>
      <c r="J33" s="121">
        <f>'27'!$F$98</f>
        <v>1.1299999999999999</v>
      </c>
      <c r="K33" s="75">
        <f ca="1">IFERROR('27'!$F$99*'Discipline Analysis'!$B33,"")</f>
        <v>0</v>
      </c>
      <c r="L33" s="121">
        <f>'27'!$F$99</f>
        <v>0.39</v>
      </c>
      <c r="M33" s="75">
        <f ca="1">OFFSET('27'!$E$35,$A$3,0)</f>
        <v>0</v>
      </c>
      <c r="N33" s="121" t="str">
        <f ca="1">OFFSET('27'!$F$35,$A$3,0)</f>
        <v/>
      </c>
      <c r="O33" s="75">
        <f ca="1">IFERROR('27'!$F$101*'Discipline Analysis'!$B33,"")</f>
        <v>0</v>
      </c>
      <c r="P33" s="121">
        <f>'27'!$F$101</f>
        <v>0.12</v>
      </c>
      <c r="Q33" s="75" t="str">
        <f ca="1">IFERROR('27'!$F$102*'Discipline Analysis'!$B33,"")</f>
        <v/>
      </c>
      <c r="R33" s="121" t="str">
        <f>'27'!$F$102</f>
        <v/>
      </c>
      <c r="S33" s="75" t="str">
        <f ca="1">IFERROR('27'!$F$103*'Discipline Analysis'!$B33,"")</f>
        <v/>
      </c>
      <c r="T33" s="121" t="str">
        <f>'27'!$F$103</f>
        <v/>
      </c>
      <c r="U33" s="75">
        <f ca="1">IFERROR('27'!$F$104*'Discipline Analysis'!$B33,"")</f>
        <v>0</v>
      </c>
      <c r="V33" s="126">
        <f>'27'!$F$104</f>
        <v>0.15</v>
      </c>
    </row>
    <row r="34" spans="1:22" x14ac:dyDescent="0.2">
      <c r="A34" s="92" t="s">
        <v>1043</v>
      </c>
      <c r="B34" s="83">
        <f ca="1">OFFSET('28'!$D$4,$A$3,0)</f>
        <v>5488</v>
      </c>
      <c r="C34" s="75">
        <f ca="1">OFFSET('28'!$E$4,$A$3,0)</f>
        <v>104553.61888300694</v>
      </c>
      <c r="D34" s="121">
        <f ca="1">OFFSET('28'!$F$4,$A$3,0)</f>
        <v>19.05</v>
      </c>
      <c r="E34" s="75">
        <f ca="1">OFFSET('28'!$E$66,$A$3,0)</f>
        <v>41528</v>
      </c>
      <c r="F34" s="121">
        <f ca="1">OFFSET('28'!$F$66,$A$3,0)</f>
        <v>7.57</v>
      </c>
      <c r="G34" s="75">
        <f ca="1">IFERROR('28'!$F$100*'Discipline Analysis'!$B34,"")</f>
        <v>1317.12</v>
      </c>
      <c r="H34" s="121">
        <f>'28'!$F$100</f>
        <v>0.24</v>
      </c>
      <c r="I34" s="75">
        <f ca="1">IFERROR('28'!$F$98*'Discipline Analysis'!$B34,"")</f>
        <v>5927.04</v>
      </c>
      <c r="J34" s="121">
        <f>'28'!$F$98</f>
        <v>1.08</v>
      </c>
      <c r="K34" s="75">
        <f ca="1">IFERROR('28'!$F$99*'Discipline Analysis'!$B34,"")</f>
        <v>3567.2000000000003</v>
      </c>
      <c r="L34" s="121">
        <f>'28'!$F$99</f>
        <v>0.65</v>
      </c>
      <c r="M34" s="75">
        <f ca="1">OFFSET('28'!$E$35,$A$3,0)</f>
        <v>42359</v>
      </c>
      <c r="N34" s="121">
        <f ca="1">OFFSET('28'!$F$35,$A$3,0)</f>
        <v>7.72</v>
      </c>
      <c r="O34" s="75">
        <f ca="1">IFERROR('28'!$F$101*'Discipline Analysis'!$B34,"")</f>
        <v>5652.64</v>
      </c>
      <c r="P34" s="121">
        <f>'28'!$F$101</f>
        <v>1.03</v>
      </c>
      <c r="Q34" s="75">
        <f ca="1">IFERROR('28'!$F$102*'Discipline Analysis'!$B34,"")</f>
        <v>658.56</v>
      </c>
      <c r="R34" s="121">
        <f>'28'!$F$102</f>
        <v>0.12</v>
      </c>
      <c r="S34" s="75" t="str">
        <f ca="1">IFERROR('28'!$F$103*'Discipline Analysis'!$B34,"")</f>
        <v/>
      </c>
      <c r="T34" s="121" t="str">
        <f>'28'!$F$103</f>
        <v/>
      </c>
      <c r="U34" s="75">
        <f ca="1">IFERROR('28'!$F$104*'Discipline Analysis'!$B34,"")</f>
        <v>3567.2000000000003</v>
      </c>
      <c r="V34" s="126">
        <f>'28'!$F$104</f>
        <v>0.65</v>
      </c>
    </row>
    <row r="35" spans="1:22" x14ac:dyDescent="0.2">
      <c r="A35" s="92" t="s">
        <v>1044</v>
      </c>
      <c r="B35" s="83">
        <f ca="1">OFFSET('29'!$D$4,$A$3,0)</f>
        <v>9124</v>
      </c>
      <c r="C35" s="75">
        <f ca="1">OFFSET('29'!$E$4,$A$3,0)</f>
        <v>76739.16745279319</v>
      </c>
      <c r="D35" s="121">
        <f ca="1">OFFSET('29'!$F$4,$A$3,0)</f>
        <v>8.41</v>
      </c>
      <c r="E35" s="75">
        <f ca="1">OFFSET('29'!$E$66,$A$3,0)</f>
        <v>46270</v>
      </c>
      <c r="F35" s="121">
        <f ca="1">OFFSET('29'!$F$66,$A$3,0)</f>
        <v>5.07</v>
      </c>
      <c r="G35" s="75">
        <f ca="1">IFERROR('29'!$F$100*'Discipline Analysis'!$B35,"")</f>
        <v>3923.32</v>
      </c>
      <c r="H35" s="121">
        <f>'29'!$F$100</f>
        <v>0.43</v>
      </c>
      <c r="I35" s="75">
        <f ca="1">IFERROR('29'!$F$98*'Discipline Analysis'!$B35,"")</f>
        <v>7937.88</v>
      </c>
      <c r="J35" s="121">
        <f>'29'!$F$98</f>
        <v>0.87</v>
      </c>
      <c r="K35" s="75">
        <f ca="1">IFERROR('29'!$F$99*'Discipline Analysis'!$B35,"")</f>
        <v>5109.4400000000005</v>
      </c>
      <c r="L35" s="121">
        <f>'29'!$F$99</f>
        <v>0.56000000000000005</v>
      </c>
      <c r="M35" s="75">
        <f ca="1">OFFSET('29'!$E$35,$A$3,0)</f>
        <v>6158</v>
      </c>
      <c r="N35" s="121">
        <f ca="1">OFFSET('29'!$F$35,$A$3,0)</f>
        <v>0.67</v>
      </c>
      <c r="O35" s="75">
        <f ca="1">IFERROR('29'!$F$101*'Discipline Analysis'!$B35,"")</f>
        <v>3832.08</v>
      </c>
      <c r="P35" s="121">
        <f>'29'!$F$101</f>
        <v>0.42</v>
      </c>
      <c r="Q35" s="75" t="str">
        <f ca="1">IFERROR('29'!$F$102*'Discipline Analysis'!$B35,"")</f>
        <v/>
      </c>
      <c r="R35" s="121" t="str">
        <f>'29'!$F$102</f>
        <v/>
      </c>
      <c r="S35" s="75" t="str">
        <f ca="1">IFERROR('29'!$F$103*'Discipline Analysis'!$B35,"")</f>
        <v/>
      </c>
      <c r="T35" s="121" t="str">
        <f>'29'!$F$103</f>
        <v/>
      </c>
      <c r="U35" s="75">
        <f ca="1">IFERROR('29'!$F$104*'Discipline Analysis'!$B35,"")</f>
        <v>3558.36</v>
      </c>
      <c r="V35" s="126">
        <f>'29'!$F$104</f>
        <v>0.39</v>
      </c>
    </row>
    <row r="36" spans="1:22" x14ac:dyDescent="0.2">
      <c r="A36" s="92" t="s">
        <v>1045</v>
      </c>
      <c r="B36" s="83">
        <f ca="1">OFFSET('30'!$D$4,$A$3,0)</f>
        <v>40092</v>
      </c>
      <c r="C36" s="75">
        <f ca="1">OFFSET('30'!$E$4,$A$3,0)</f>
        <v>380077.56616214034</v>
      </c>
      <c r="D36" s="121">
        <f ca="1">OFFSET('30'!$F$4,$A$3,0)</f>
        <v>9.48</v>
      </c>
      <c r="E36" s="75">
        <f ca="1">OFFSET('30'!$E$66,$A$3,0)</f>
        <v>174486</v>
      </c>
      <c r="F36" s="121">
        <f ca="1">OFFSET('30'!$F$66,$A$3,0)</f>
        <v>4.3499999999999996</v>
      </c>
      <c r="G36" s="75">
        <f ca="1">IFERROR('30'!$F$100*'Discipline Analysis'!$B36,"")</f>
        <v>6414.72</v>
      </c>
      <c r="H36" s="121">
        <f>'30'!$F$100</f>
        <v>0.16</v>
      </c>
      <c r="I36" s="75">
        <f ca="1">IFERROR('30'!$F$98*'Discipline Analysis'!$B36,"")</f>
        <v>32875.439999999995</v>
      </c>
      <c r="J36" s="121">
        <f>'30'!$F$98</f>
        <v>0.82</v>
      </c>
      <c r="K36" s="75">
        <f ca="1">IFERROR('30'!$F$99*'Discipline Analysis'!$B36,"")</f>
        <v>14834.039999999999</v>
      </c>
      <c r="L36" s="121">
        <f>'30'!$F$99</f>
        <v>0.37</v>
      </c>
      <c r="M36" s="75">
        <f ca="1">OFFSET('30'!$E$35,$A$3,0)</f>
        <v>122666</v>
      </c>
      <c r="N36" s="121">
        <f ca="1">OFFSET('30'!$F$35,$A$3,0)</f>
        <v>3.06</v>
      </c>
      <c r="O36" s="75">
        <f ca="1">IFERROR('30'!$F$101*'Discipline Analysis'!$B36,"")</f>
        <v>20046</v>
      </c>
      <c r="P36" s="121">
        <f>'30'!$F$101</f>
        <v>0.5</v>
      </c>
      <c r="Q36" s="75" t="str">
        <f ca="1">IFERROR('30'!$F$102*'Discipline Analysis'!$B36,"")</f>
        <v/>
      </c>
      <c r="R36" s="121" t="str">
        <f>'30'!$F$102</f>
        <v/>
      </c>
      <c r="S36" s="75" t="str">
        <f ca="1">IFERROR('30'!$F$103*'Discipline Analysis'!$B36,"")</f>
        <v/>
      </c>
      <c r="T36" s="121" t="str">
        <f>'30'!$F$103</f>
        <v/>
      </c>
      <c r="U36" s="75">
        <f ca="1">IFERROR('30'!$F$104*'Discipline Analysis'!$B36,"")</f>
        <v>8419.32</v>
      </c>
      <c r="V36" s="126">
        <f>'30'!$F$104</f>
        <v>0.21</v>
      </c>
    </row>
    <row r="37" spans="1:22" x14ac:dyDescent="0.2">
      <c r="A37" s="92" t="s">
        <v>1022</v>
      </c>
      <c r="B37" s="83">
        <f ca="1">OFFSET('31'!$D$4,$A$3,0)</f>
        <v>19576</v>
      </c>
      <c r="C37" s="75">
        <f ca="1">OFFSET('31'!$E$4,$A$3,0)</f>
        <v>114709.05323556738</v>
      </c>
      <c r="D37" s="121">
        <f ca="1">OFFSET('31'!$F$4,$A$3,0)</f>
        <v>5.86</v>
      </c>
      <c r="E37" s="75">
        <f ca="1">OFFSET('31'!$E$66,$A$3,0)</f>
        <v>48878</v>
      </c>
      <c r="F37" s="121">
        <f ca="1">OFFSET('31'!$F$66,$A$3,0)</f>
        <v>2.5</v>
      </c>
      <c r="G37" s="75">
        <f ca="1">IFERROR('31'!$F$100*'Discipline Analysis'!$B37,"")</f>
        <v>4502.4800000000005</v>
      </c>
      <c r="H37" s="121">
        <f>'31'!$F$100</f>
        <v>0.23</v>
      </c>
      <c r="I37" s="75">
        <f ca="1">IFERROR('31'!$F$98*'Discipline Analysis'!$B37,"")</f>
        <v>32887.68</v>
      </c>
      <c r="J37" s="121">
        <f>'31'!$F$98</f>
        <v>1.68</v>
      </c>
      <c r="K37" s="75">
        <f ca="1">IFERROR('31'!$F$99*'Discipline Analysis'!$B37,"")</f>
        <v>9592.24</v>
      </c>
      <c r="L37" s="121">
        <f>'31'!$F$99</f>
        <v>0.49</v>
      </c>
      <c r="M37" s="75">
        <f ca="1">OFFSET('31'!$E$35,$A$3,0)</f>
        <v>5239</v>
      </c>
      <c r="N37" s="121">
        <f ca="1">OFFSET('31'!$F$35,$A$3,0)</f>
        <v>0.27</v>
      </c>
      <c r="O37" s="75">
        <f ca="1">IFERROR('31'!$F$101*'Discipline Analysis'!$B37,"")</f>
        <v>8026.16</v>
      </c>
      <c r="P37" s="121">
        <f>'31'!$F$101</f>
        <v>0.41</v>
      </c>
      <c r="Q37" s="75">
        <f ca="1">IFERROR('31'!$F$102*'Discipline Analysis'!$B37,"")</f>
        <v>587.28</v>
      </c>
      <c r="R37" s="121">
        <f>'31'!$F$102</f>
        <v>0.03</v>
      </c>
      <c r="S37" s="75" t="str">
        <f ca="1">IFERROR('31'!$F$103*'Discipline Analysis'!$B37,"")</f>
        <v/>
      </c>
      <c r="T37" s="121" t="str">
        <f>'31'!$F$103</f>
        <v/>
      </c>
      <c r="U37" s="75">
        <f ca="1">IFERROR('31'!$F$104*'Discipline Analysis'!$B37,"")</f>
        <v>4894</v>
      </c>
      <c r="V37" s="126">
        <f>'31'!$F$104</f>
        <v>0.25</v>
      </c>
    </row>
    <row r="38" spans="1:22" x14ac:dyDescent="0.2">
      <c r="A38" s="92" t="s">
        <v>1046</v>
      </c>
      <c r="B38" s="83">
        <f ca="1">OFFSET('32'!$D$4,$A$3,0)</f>
        <v>16800</v>
      </c>
      <c r="C38" s="75">
        <f ca="1">OFFSET('32'!$E$4,$A$3,0)</f>
        <v>106773.1867542816</v>
      </c>
      <c r="D38" s="121">
        <f ca="1">OFFSET('32'!$F$4,$A$3,0)</f>
        <v>6.36</v>
      </c>
      <c r="E38" s="75">
        <f ca="1">OFFSET('32'!$E$66,$A$3,0)</f>
        <v>42781</v>
      </c>
      <c r="F38" s="121">
        <f ca="1">OFFSET('32'!$F$66,$A$3,0)</f>
        <v>2.5499999999999998</v>
      </c>
      <c r="G38" s="75">
        <f ca="1">IFERROR('32'!$F$100*'Discipline Analysis'!$B38,"")</f>
        <v>3528</v>
      </c>
      <c r="H38" s="121">
        <f>'32'!$F$100</f>
        <v>0.21</v>
      </c>
      <c r="I38" s="75">
        <f ca="1">IFERROR('32'!$F$98*'Discipline Analysis'!$B38,"")</f>
        <v>18648</v>
      </c>
      <c r="J38" s="121">
        <f>'32'!$F$98</f>
        <v>1.1100000000000001</v>
      </c>
      <c r="K38" s="75">
        <f ca="1">IFERROR('32'!$F$99*'Discipline Analysis'!$B38,"")</f>
        <v>13440</v>
      </c>
      <c r="L38" s="121">
        <f>'32'!$F$99</f>
        <v>0.8</v>
      </c>
      <c r="M38" s="75">
        <f ca="1">OFFSET('32'!$E$35,$A$3,0)</f>
        <v>7836</v>
      </c>
      <c r="N38" s="121">
        <f ca="1">OFFSET('32'!$F$35,$A$3,0)</f>
        <v>0.47</v>
      </c>
      <c r="O38" s="75">
        <f ca="1">IFERROR('32'!$F$101*'Discipline Analysis'!$B38,"")</f>
        <v>8904</v>
      </c>
      <c r="P38" s="121">
        <f>'32'!$F$101</f>
        <v>0.53</v>
      </c>
      <c r="Q38" s="75">
        <f ca="1">IFERROR('32'!$F$102*'Discipline Analysis'!$B38,"")</f>
        <v>2520</v>
      </c>
      <c r="R38" s="121">
        <f>'32'!$F$102</f>
        <v>0.15</v>
      </c>
      <c r="S38" s="75" t="str">
        <f ca="1">IFERROR('32'!$F$103*'Discipline Analysis'!$B38,"")</f>
        <v/>
      </c>
      <c r="T38" s="121" t="str">
        <f>'32'!$F$103</f>
        <v/>
      </c>
      <c r="U38" s="75">
        <f ca="1">IFERROR('32'!$F$104*'Discipline Analysis'!$B38,"")</f>
        <v>9072</v>
      </c>
      <c r="V38" s="126">
        <f>'32'!$F$104</f>
        <v>0.54</v>
      </c>
    </row>
    <row r="39" spans="1:22" x14ac:dyDescent="0.2">
      <c r="A39" s="92" t="s">
        <v>1047</v>
      </c>
      <c r="B39" s="83">
        <f ca="1">OFFSET('33'!$D$4,$A$3,0)</f>
        <v>24946</v>
      </c>
      <c r="C39" s="75">
        <f ca="1">OFFSET('33'!$E$4,$A$3,0)</f>
        <v>226530.3349918524</v>
      </c>
      <c r="D39" s="121">
        <f ca="1">OFFSET('33'!$F$4,$A$3,0)</f>
        <v>9.08</v>
      </c>
      <c r="E39" s="75">
        <f ca="1">OFFSET('33'!$E$66,$A$3,0)</f>
        <v>117790</v>
      </c>
      <c r="F39" s="121">
        <f ca="1">OFFSET('33'!$F$66,$A$3,0)</f>
        <v>4.72</v>
      </c>
      <c r="G39" s="75">
        <f ca="1">IFERROR('33'!$F$100*'Discipline Analysis'!$B39,"")</f>
        <v>9728.94</v>
      </c>
      <c r="H39" s="121">
        <f>'33'!$F$100</f>
        <v>0.39</v>
      </c>
      <c r="I39" s="75">
        <f ca="1">IFERROR('33'!$F$98*'Discipline Analysis'!$B39,"")</f>
        <v>30683.579999999998</v>
      </c>
      <c r="J39" s="121">
        <f>'33'!$F$98</f>
        <v>1.23</v>
      </c>
      <c r="K39" s="75">
        <f ca="1">IFERROR('33'!$F$99*'Discipline Analysis'!$B39,"")</f>
        <v>21204.1</v>
      </c>
      <c r="L39" s="121">
        <f>'33'!$F$99</f>
        <v>0.85</v>
      </c>
      <c r="M39" s="75">
        <f ca="1">OFFSET('33'!$E$35,$A$3,0)</f>
        <v>7990</v>
      </c>
      <c r="N39" s="121">
        <f ca="1">OFFSET('33'!$F$35,$A$3,0)</f>
        <v>0.32</v>
      </c>
      <c r="O39" s="75">
        <f ca="1">IFERROR('33'!$F$101*'Discipline Analysis'!$B39,"")</f>
        <v>22451.4</v>
      </c>
      <c r="P39" s="121">
        <f>'33'!$F$101</f>
        <v>0.9</v>
      </c>
      <c r="Q39" s="75" t="str">
        <f ca="1">IFERROR('33'!$F$102*'Discipline Analysis'!$B39,"")</f>
        <v/>
      </c>
      <c r="R39" s="121" t="str">
        <f>'33'!$F$102</f>
        <v/>
      </c>
      <c r="S39" s="75" t="str">
        <f ca="1">IFERROR('33'!$F$103*'Discipline Analysis'!$B39,"")</f>
        <v/>
      </c>
      <c r="T39" s="121" t="str">
        <f>'33'!$F$103</f>
        <v/>
      </c>
      <c r="U39" s="75">
        <f ca="1">IFERROR('33'!$F$104*'Discipline Analysis'!$B39,"")</f>
        <v>16963.280000000002</v>
      </c>
      <c r="V39" s="126">
        <f>'33'!$F$104</f>
        <v>0.68</v>
      </c>
    </row>
    <row r="40" spans="1:22" x14ac:dyDescent="0.2">
      <c r="A40" s="92" t="s">
        <v>1025</v>
      </c>
      <c r="B40" s="83">
        <f ca="1">OFFSET('34'!$D$4,$A$3,0)</f>
        <v>7029</v>
      </c>
      <c r="C40" s="75">
        <f ca="1">OFFSET('34'!$E$4,$A$3,0)</f>
        <v>70169.510374252757</v>
      </c>
      <c r="D40" s="121">
        <f ca="1">OFFSET('34'!$F$4,$A$3,0)</f>
        <v>9.98</v>
      </c>
      <c r="E40" s="75">
        <f ca="1">OFFSET('34'!$E$66,$A$3,0)</f>
        <v>41141</v>
      </c>
      <c r="F40" s="121">
        <f ca="1">OFFSET('34'!$F$66,$A$3,0)</f>
        <v>5.85</v>
      </c>
      <c r="G40" s="75">
        <f ca="1">IFERROR('34'!$F$100*'Discipline Analysis'!$B40,"")</f>
        <v>1335.51</v>
      </c>
      <c r="H40" s="121">
        <f>'34'!$F$100</f>
        <v>0.19</v>
      </c>
      <c r="I40" s="75">
        <f ca="1">IFERROR('34'!$F$98*'Discipline Analysis'!$B40,"")</f>
        <v>8223.93</v>
      </c>
      <c r="J40" s="121">
        <f>'34'!$F$98</f>
        <v>1.17</v>
      </c>
      <c r="K40" s="75">
        <f ca="1">IFERROR('34'!$F$99*'Discipline Analysis'!$B40,"")</f>
        <v>2600.73</v>
      </c>
      <c r="L40" s="121">
        <f>'34'!$F$99</f>
        <v>0.37</v>
      </c>
      <c r="M40" s="75">
        <f ca="1">OFFSET('34'!$E$35,$A$3,0)</f>
        <v>11678</v>
      </c>
      <c r="N40" s="121">
        <f ca="1">OFFSET('34'!$F$35,$A$3,0)</f>
        <v>1.66</v>
      </c>
      <c r="O40" s="75">
        <f ca="1">IFERROR('34'!$F$101*'Discipline Analysis'!$B40,"")</f>
        <v>1968.1200000000001</v>
      </c>
      <c r="P40" s="121">
        <f>'34'!$F$101</f>
        <v>0.28000000000000003</v>
      </c>
      <c r="Q40" s="75">
        <f ca="1">IFERROR('34'!$F$102*'Discipline Analysis'!$B40,"")</f>
        <v>70.290000000000006</v>
      </c>
      <c r="R40" s="121">
        <f>'34'!$F$102</f>
        <v>0.01</v>
      </c>
      <c r="S40" s="75" t="str">
        <f ca="1">IFERROR('34'!$F$103*'Discipline Analysis'!$B40,"")</f>
        <v/>
      </c>
      <c r="T40" s="121" t="str">
        <f>'34'!$F$103</f>
        <v/>
      </c>
      <c r="U40" s="75">
        <f ca="1">IFERROR('34'!$F$104*'Discipline Analysis'!$B40,"")</f>
        <v>3163.05</v>
      </c>
      <c r="V40" s="126">
        <f>'34'!$F$104</f>
        <v>0.45</v>
      </c>
    </row>
    <row r="41" spans="1:22" x14ac:dyDescent="0.2">
      <c r="A41" s="92" t="s">
        <v>1048</v>
      </c>
      <c r="B41" s="83">
        <f ca="1">OFFSET('35'!$D$4,$A$3,0)</f>
        <v>0</v>
      </c>
      <c r="C41" s="75">
        <f ca="1">OFFSET('35'!$E$4,$A$3,0)</f>
        <v>0</v>
      </c>
      <c r="D41" s="121" t="str">
        <f ca="1">OFFSET('35'!$F$4,$A$3,0)</f>
        <v/>
      </c>
      <c r="E41" s="75">
        <f ca="1">OFFSET('35'!$E$66,$A$3,0)</f>
        <v>0</v>
      </c>
      <c r="F41" s="121" t="str">
        <f ca="1">OFFSET('35'!$F$66,$A$3,0)</f>
        <v/>
      </c>
      <c r="G41" s="75">
        <f ca="1">IFERROR('35'!$F$100*'Discipline Analysis'!$B41,"")</f>
        <v>0</v>
      </c>
      <c r="H41" s="121">
        <f>'35'!$F$100</f>
        <v>0.2</v>
      </c>
      <c r="I41" s="75">
        <f ca="1">IFERROR('35'!$F$98*'Discipline Analysis'!$B41,"")</f>
        <v>0</v>
      </c>
      <c r="J41" s="121">
        <f>'35'!$F$98</f>
        <v>1.56</v>
      </c>
      <c r="K41" s="75">
        <f ca="1">IFERROR('35'!$F$99*'Discipline Analysis'!$B41,"")</f>
        <v>0</v>
      </c>
      <c r="L41" s="121">
        <f>'35'!$F$99</f>
        <v>0.6</v>
      </c>
      <c r="M41" s="75">
        <f ca="1">OFFSET('35'!$E$35,$A$3,0)</f>
        <v>0</v>
      </c>
      <c r="N41" s="121" t="str">
        <f ca="1">OFFSET('35'!$F$35,$A$3,0)</f>
        <v/>
      </c>
      <c r="O41" s="75">
        <f ca="1">IFERROR('35'!$F$101*'Discipline Analysis'!$B41,"")</f>
        <v>0</v>
      </c>
      <c r="P41" s="121">
        <f>'35'!$F$101</f>
        <v>0.33</v>
      </c>
      <c r="Q41" s="75" t="str">
        <f ca="1">IFERROR('35'!$F$102*'Discipline Analysis'!$B41,"")</f>
        <v/>
      </c>
      <c r="R41" s="121" t="str">
        <f>'35'!$F$102</f>
        <v/>
      </c>
      <c r="S41" s="75" t="str">
        <f ca="1">IFERROR('35'!$F$103*'Discipline Analysis'!$B41,"")</f>
        <v/>
      </c>
      <c r="T41" s="121" t="str">
        <f>'35'!$F$103</f>
        <v/>
      </c>
      <c r="U41" s="75">
        <f ca="1">IFERROR('35'!$F$104*'Discipline Analysis'!$B41,"")</f>
        <v>0</v>
      </c>
      <c r="V41" s="126">
        <f>'35'!$F$104</f>
        <v>0.26</v>
      </c>
    </row>
    <row r="42" spans="1:22" x14ac:dyDescent="0.2">
      <c r="A42" s="92" t="s">
        <v>1061</v>
      </c>
      <c r="B42" s="83">
        <f ca="1">OFFSET('36'!$D$4,$A$3,0)</f>
        <v>6432</v>
      </c>
      <c r="C42" s="75">
        <f ca="1">OFFSET('36'!$E$4,$A$3,0)</f>
        <v>34536.188812383261</v>
      </c>
      <c r="D42" s="121">
        <f ca="1">OFFSET('36'!$F$4,$A$3,0)</f>
        <v>5.37</v>
      </c>
      <c r="E42" s="75">
        <f ca="1">OFFSET('36'!$E$66,$A$3,0)</f>
        <v>15404</v>
      </c>
      <c r="F42" s="121">
        <f ca="1">OFFSET('36'!$F$66,$A$3,0)</f>
        <v>2.39</v>
      </c>
      <c r="G42" s="75">
        <f ca="1">IFERROR('36'!$F$100*'Discipline Analysis'!$B42,"")</f>
        <v>1350.72</v>
      </c>
      <c r="H42" s="121">
        <f>'36'!$F$100</f>
        <v>0.21</v>
      </c>
      <c r="I42" s="75">
        <f ca="1">IFERROR('36'!$F$98*'Discipline Analysis'!$B42,"")</f>
        <v>7075.2000000000007</v>
      </c>
      <c r="J42" s="121">
        <f>'36'!$F$98</f>
        <v>1.1000000000000001</v>
      </c>
      <c r="K42" s="75">
        <f ca="1">IFERROR('36'!$F$99*'Discipline Analysis'!$B42,"")</f>
        <v>4502.3999999999996</v>
      </c>
      <c r="L42" s="121">
        <f>'36'!$F$99</f>
        <v>0.7</v>
      </c>
      <c r="M42" s="75">
        <f ca="1">OFFSET('36'!$E$35,$A$3,0)</f>
        <v>341</v>
      </c>
      <c r="N42" s="121">
        <f ca="1">OFFSET('36'!$F$35,$A$3,0)</f>
        <v>0.05</v>
      </c>
      <c r="O42" s="75">
        <f ca="1">IFERROR('36'!$F$101*'Discipline Analysis'!$B42,"")</f>
        <v>2958.7200000000003</v>
      </c>
      <c r="P42" s="121">
        <f>'36'!$F$101</f>
        <v>0.46</v>
      </c>
      <c r="Q42" s="75" t="str">
        <f ca="1">IFERROR('36'!$F$102*'Discipline Analysis'!$B42,"")</f>
        <v/>
      </c>
      <c r="R42" s="121" t="str">
        <f>'36'!$F$102</f>
        <v/>
      </c>
      <c r="S42" s="75" t="str">
        <f ca="1">IFERROR('36'!$F$103*'Discipline Analysis'!$B42,"")</f>
        <v/>
      </c>
      <c r="T42" s="121" t="str">
        <f>'36'!$F$103</f>
        <v/>
      </c>
      <c r="U42" s="75">
        <f ca="1">IFERROR('36'!$F$104*'Discipline Analysis'!$B42,"")</f>
        <v>2894.4</v>
      </c>
      <c r="V42" s="126">
        <f>'36'!$F$104</f>
        <v>0.45</v>
      </c>
    </row>
    <row r="43" spans="1:22" x14ac:dyDescent="0.2">
      <c r="A43" s="92" t="s">
        <v>1049</v>
      </c>
      <c r="B43" s="83">
        <f ca="1">OFFSET('37'!$D$4,$A$3,0)</f>
        <v>31500</v>
      </c>
      <c r="C43" s="75">
        <f ca="1">OFFSET('37'!$E$4,$A$3,0)</f>
        <v>309878.11480665614</v>
      </c>
      <c r="D43" s="121">
        <f ca="1">OFFSET('37'!$F$4,$A$3,0)</f>
        <v>9.84</v>
      </c>
      <c r="E43" s="75">
        <f ca="1">OFFSET('37'!$E$66,$A$3,0)</f>
        <v>144001</v>
      </c>
      <c r="F43" s="121">
        <f ca="1">OFFSET('37'!$F$66,$A$3,0)</f>
        <v>4.57</v>
      </c>
      <c r="G43" s="75">
        <f ca="1">IFERROR('37'!$F$100*'Discipline Analysis'!$B43,"")</f>
        <v>4725</v>
      </c>
      <c r="H43" s="121">
        <f>'37'!$F$100</f>
        <v>0.15</v>
      </c>
      <c r="I43" s="75">
        <f ca="1">IFERROR('37'!$F$98*'Discipline Analysis'!$B43,"")</f>
        <v>28980</v>
      </c>
      <c r="J43" s="121">
        <f>'37'!$F$98</f>
        <v>0.92</v>
      </c>
      <c r="K43" s="75">
        <f ca="1">IFERROR('37'!$F$99*'Discipline Analysis'!$B43,"")</f>
        <v>17640</v>
      </c>
      <c r="L43" s="121">
        <f>'37'!$F$99</f>
        <v>0.56000000000000005</v>
      </c>
      <c r="M43" s="75">
        <f ca="1">OFFSET('37'!$E$35,$A$3,0)</f>
        <v>83172</v>
      </c>
      <c r="N43" s="121">
        <f ca="1">OFFSET('37'!$F$35,$A$3,0)</f>
        <v>2.64</v>
      </c>
      <c r="O43" s="75">
        <f ca="1">IFERROR('37'!$F$101*'Discipline Analysis'!$B43,"")</f>
        <v>3780</v>
      </c>
      <c r="P43" s="121">
        <f>'37'!$F$101</f>
        <v>0.12</v>
      </c>
      <c r="Q43" s="75">
        <f ca="1">IFERROR('37'!$F$102*'Discipline Analysis'!$B43,"")</f>
        <v>2835</v>
      </c>
      <c r="R43" s="121">
        <f>'37'!$F$102</f>
        <v>0.09</v>
      </c>
      <c r="S43" s="75" t="str">
        <f ca="1">IFERROR('37'!$F$103*'Discipline Analysis'!$B43,"")</f>
        <v/>
      </c>
      <c r="T43" s="121" t="str">
        <f>'37'!$F$103</f>
        <v/>
      </c>
      <c r="U43" s="75">
        <f ca="1">IFERROR('37'!$F$104*'Discipline Analysis'!$B43,"")</f>
        <v>24570</v>
      </c>
      <c r="V43" s="126">
        <f>'37'!$F$104</f>
        <v>0.78</v>
      </c>
    </row>
    <row r="44" spans="1:22" x14ac:dyDescent="0.2">
      <c r="A44" s="92" t="s">
        <v>1050</v>
      </c>
      <c r="B44" s="83">
        <f ca="1">OFFSET('38'!$D$4,$A$3,0)</f>
        <v>3920</v>
      </c>
      <c r="C44" s="75">
        <f ca="1">OFFSET('38'!$E$4,$A$3,0)</f>
        <v>57940.426015141085</v>
      </c>
      <c r="D44" s="121">
        <f ca="1">OFFSET('38'!$F$4,$A$3,0)</f>
        <v>14.78</v>
      </c>
      <c r="E44" s="75">
        <f ca="1">OFFSET('38'!$E$66,$A$3,0)</f>
        <v>36000</v>
      </c>
      <c r="F44" s="121">
        <f ca="1">OFFSET('38'!$F$66,$A$3,0)</f>
        <v>9.18</v>
      </c>
      <c r="G44" s="75">
        <f ca="1">IFERROR('38'!$F$100*'Discipline Analysis'!$B44,"")</f>
        <v>901.6</v>
      </c>
      <c r="H44" s="121">
        <f>'38'!$F$100</f>
        <v>0.23</v>
      </c>
      <c r="I44" s="75">
        <f ca="1">IFERROR('38'!$F$98*'Discipline Analysis'!$B44,"")</f>
        <v>6507.2</v>
      </c>
      <c r="J44" s="121">
        <f>'38'!$F$98</f>
        <v>1.66</v>
      </c>
      <c r="K44" s="75">
        <f ca="1">IFERROR('38'!$F$99*'Discipline Analysis'!$B44,"")</f>
        <v>3292.7999999999997</v>
      </c>
      <c r="L44" s="121">
        <f>'38'!$F$99</f>
        <v>0.84</v>
      </c>
      <c r="M44" s="75">
        <f ca="1">OFFSET('38'!$E$35,$A$3,0)</f>
        <v>7500</v>
      </c>
      <c r="N44" s="121">
        <f ca="1">OFFSET('38'!$F$35,$A$3,0)</f>
        <v>1.91</v>
      </c>
      <c r="O44" s="75">
        <f ca="1">IFERROR('38'!$F$101*'Discipline Analysis'!$B44,"")</f>
        <v>1568</v>
      </c>
      <c r="P44" s="121">
        <f>'38'!$F$101</f>
        <v>0.4</v>
      </c>
      <c r="Q44" s="75" t="str">
        <f ca="1">IFERROR('38'!$F$102*'Discipline Analysis'!$B44,"")</f>
        <v/>
      </c>
      <c r="R44" s="121" t="str">
        <f>'38'!$F$102</f>
        <v/>
      </c>
      <c r="S44" s="75" t="str">
        <f ca="1">IFERROR('38'!$F$103*'Discipline Analysis'!$B44,"")</f>
        <v/>
      </c>
      <c r="T44" s="121" t="str">
        <f>'38'!$F$103</f>
        <v/>
      </c>
      <c r="U44" s="75">
        <f ca="1">IFERROR('38'!$F$104*'Discipline Analysis'!$B44,"")</f>
        <v>2195.2000000000003</v>
      </c>
      <c r="V44" s="126">
        <f>'38'!$F$104</f>
        <v>0.56000000000000005</v>
      </c>
    </row>
    <row r="45" spans="1:22" x14ac:dyDescent="0.2">
      <c r="A45" s="92" t="s">
        <v>1026</v>
      </c>
      <c r="B45" s="83">
        <f ca="1">OFFSET('39'!$D$4,$A$3,0)</f>
        <v>20272</v>
      </c>
      <c r="C45" s="75">
        <f ca="1">OFFSET('39'!$E$4,$A$3,0)</f>
        <v>190072.40012041302</v>
      </c>
      <c r="D45" s="121">
        <f ca="1">OFFSET('39'!$F$4,$A$3,0)</f>
        <v>9.3800000000000008</v>
      </c>
      <c r="E45" s="75">
        <f ca="1">OFFSET('39'!$E$66,$A$3,0)</f>
        <v>114337</v>
      </c>
      <c r="F45" s="121">
        <f ca="1">OFFSET('39'!$F$66,$A$3,0)</f>
        <v>5.64</v>
      </c>
      <c r="G45" s="75">
        <f ca="1">IFERROR('39'!$F$100*'Discipline Analysis'!$B45,"")</f>
        <v>5676.1600000000008</v>
      </c>
      <c r="H45" s="121">
        <f>'39'!$F$100</f>
        <v>0.28000000000000003</v>
      </c>
      <c r="I45" s="75">
        <f ca="1">IFERROR('39'!$F$98*'Discipline Analysis'!$B45,"")</f>
        <v>26353.600000000002</v>
      </c>
      <c r="J45" s="121">
        <f>'39'!$F$98</f>
        <v>1.3</v>
      </c>
      <c r="K45" s="75">
        <f ca="1">IFERROR('39'!$F$99*'Discipline Analysis'!$B45,"")</f>
        <v>9730.56</v>
      </c>
      <c r="L45" s="121">
        <f>'39'!$F$99</f>
        <v>0.48</v>
      </c>
      <c r="M45" s="75">
        <f ca="1">OFFSET('39'!$E$35,$A$3,0)</f>
        <v>18284</v>
      </c>
      <c r="N45" s="121">
        <f ca="1">OFFSET('39'!$F$35,$A$3,0)</f>
        <v>0.9</v>
      </c>
      <c r="O45" s="75">
        <f ca="1">IFERROR('39'!$F$101*'Discipline Analysis'!$B45,"")</f>
        <v>12365.92</v>
      </c>
      <c r="P45" s="121">
        <f>'39'!$F$101</f>
        <v>0.61</v>
      </c>
      <c r="Q45" s="75" t="str">
        <f ca="1">IFERROR('39'!$F$102*'Discipline Analysis'!$B45,"")</f>
        <v/>
      </c>
      <c r="R45" s="121" t="str">
        <f>'39'!$F$102</f>
        <v/>
      </c>
      <c r="S45" s="75" t="str">
        <f ca="1">IFERROR('39'!$F$103*'Discipline Analysis'!$B45,"")</f>
        <v/>
      </c>
      <c r="T45" s="121" t="str">
        <f>'39'!$F$103</f>
        <v/>
      </c>
      <c r="U45" s="75">
        <f ca="1">IFERROR('39'!$F$104*'Discipline Analysis'!$B45,"")</f>
        <v>3446.2400000000002</v>
      </c>
      <c r="V45" s="126">
        <f>'39'!$F$104</f>
        <v>0.17</v>
      </c>
    </row>
    <row r="46" spans="1:22" x14ac:dyDescent="0.2">
      <c r="A46" s="92" t="s">
        <v>1062</v>
      </c>
      <c r="B46" s="83">
        <f ca="1">OFFSET('40'!$D$4,$A$3,0)</f>
        <v>13552</v>
      </c>
      <c r="C46" s="75">
        <f ca="1">OFFSET('40'!$E$4,$A$3,0)</f>
        <v>160372.22108560253</v>
      </c>
      <c r="D46" s="121">
        <f ca="1">OFFSET('40'!$F$4,$A$3,0)</f>
        <v>11.83</v>
      </c>
      <c r="E46" s="75">
        <f ca="1">OFFSET('40'!$E$66,$A$3,0)</f>
        <v>88087</v>
      </c>
      <c r="F46" s="121">
        <f ca="1">OFFSET('40'!$F$66,$A$3,0)</f>
        <v>6.5</v>
      </c>
      <c r="G46" s="75">
        <f ca="1">IFERROR('40'!$F$100*'Discipline Analysis'!$B46,"")</f>
        <v>5827.36</v>
      </c>
      <c r="H46" s="121">
        <f>'40'!$F$100</f>
        <v>0.43</v>
      </c>
      <c r="I46" s="75">
        <f ca="1">IFERROR('40'!$F$98*'Discipline Analysis'!$B46,"")</f>
        <v>17075.52</v>
      </c>
      <c r="J46" s="121">
        <f>'40'!$F$98</f>
        <v>1.26</v>
      </c>
      <c r="K46" s="75">
        <f ca="1">IFERROR('40'!$F$99*'Discipline Analysis'!$B46,"")</f>
        <v>12332.32</v>
      </c>
      <c r="L46" s="121">
        <f>'40'!$F$99</f>
        <v>0.91</v>
      </c>
      <c r="M46" s="75">
        <f ca="1">OFFSET('40'!$E$35,$A$3,0)</f>
        <v>24125</v>
      </c>
      <c r="N46" s="121">
        <f ca="1">OFFSET('40'!$F$35,$A$3,0)</f>
        <v>1.78</v>
      </c>
      <c r="O46" s="75">
        <f ca="1">IFERROR('40'!$F$101*'Discipline Analysis'!$B46,"")</f>
        <v>3116.96</v>
      </c>
      <c r="P46" s="121">
        <f>'40'!$F$101</f>
        <v>0.23</v>
      </c>
      <c r="Q46" s="75" t="str">
        <f ca="1">IFERROR('40'!$F$102*'Discipline Analysis'!$B46,"")</f>
        <v/>
      </c>
      <c r="R46" s="121" t="str">
        <f>'40'!$F$102</f>
        <v/>
      </c>
      <c r="S46" s="75" t="str">
        <f ca="1">IFERROR('40'!$F$103*'Discipline Analysis'!$B46,"")</f>
        <v/>
      </c>
      <c r="T46" s="121" t="str">
        <f>'40'!$F$103</f>
        <v/>
      </c>
      <c r="U46" s="75">
        <f ca="1">IFERROR('40'!$F$104*'Discipline Analysis'!$B46,"")</f>
        <v>9892.9599999999991</v>
      </c>
      <c r="V46" s="126">
        <f>'40'!$F$104</f>
        <v>0.73</v>
      </c>
    </row>
    <row r="47" spans="1:22" x14ac:dyDescent="0.2">
      <c r="A47" s="92" t="s">
        <v>1027</v>
      </c>
      <c r="B47" s="83">
        <f ca="1">OFFSET('41'!$D$4,$A$3,0)</f>
        <v>11752</v>
      </c>
      <c r="C47" s="75">
        <f ca="1">OFFSET('41'!$E$4,$A$3,0)</f>
        <v>88323.149199848354</v>
      </c>
      <c r="D47" s="121">
        <f ca="1">OFFSET('41'!$F$4,$A$3,0)</f>
        <v>7.52</v>
      </c>
      <c r="E47" s="75">
        <f ca="1">OFFSET('41'!$E$66,$A$3,0)</f>
        <v>45611</v>
      </c>
      <c r="F47" s="121">
        <f ca="1">OFFSET('41'!$F$66,$A$3,0)</f>
        <v>3.88</v>
      </c>
      <c r="G47" s="75">
        <f ca="1">IFERROR('41'!$F$100*'Discipline Analysis'!$B47,"")</f>
        <v>3760.64</v>
      </c>
      <c r="H47" s="121">
        <f>'41'!$F$100</f>
        <v>0.32</v>
      </c>
      <c r="I47" s="75">
        <f ca="1">IFERROR('41'!$F$98*'Discipline Analysis'!$B47,"")</f>
        <v>21858.720000000001</v>
      </c>
      <c r="J47" s="121">
        <f>'41'!$F$98</f>
        <v>1.86</v>
      </c>
      <c r="K47" s="75">
        <f ca="1">IFERROR('41'!$F$99*'Discipline Analysis'!$B47,"")</f>
        <v>4583.28</v>
      </c>
      <c r="L47" s="121">
        <f>'41'!$F$99</f>
        <v>0.39</v>
      </c>
      <c r="M47" s="75">
        <f ca="1">OFFSET('41'!$E$35,$A$3,0)</f>
        <v>3847</v>
      </c>
      <c r="N47" s="121">
        <f ca="1">OFFSET('41'!$F$35,$A$3,0)</f>
        <v>0.33</v>
      </c>
      <c r="O47" s="75">
        <f ca="1">IFERROR('41'!$F$101*'Discipline Analysis'!$B47,"")</f>
        <v>1527.76</v>
      </c>
      <c r="P47" s="121">
        <f>'41'!$F$101</f>
        <v>0.13</v>
      </c>
      <c r="Q47" s="75" t="str">
        <f ca="1">IFERROR('41'!$F$102*'Discipline Analysis'!$B47,"")</f>
        <v/>
      </c>
      <c r="R47" s="121" t="str">
        <f>'41'!$F$102</f>
        <v/>
      </c>
      <c r="S47" s="75" t="str">
        <f ca="1">IFERROR('41'!$F$103*'Discipline Analysis'!$B47,"")</f>
        <v/>
      </c>
      <c r="T47" s="121" t="str">
        <f>'41'!$F$103</f>
        <v/>
      </c>
      <c r="U47" s="75">
        <f ca="1">IFERROR('41'!$F$104*'Discipline Analysis'!$B47,"")</f>
        <v>7168.72</v>
      </c>
      <c r="V47" s="126">
        <f>'41'!$F$104</f>
        <v>0.61</v>
      </c>
    </row>
    <row r="48" spans="1:22" x14ac:dyDescent="0.2">
      <c r="A48" s="92" t="s">
        <v>1051</v>
      </c>
      <c r="B48" s="83">
        <f ca="1">OFFSET('42'!$D$4,$A$3,0)</f>
        <v>27077</v>
      </c>
      <c r="C48" s="75">
        <f ca="1">OFFSET('42'!$E$4,$A$3,0)</f>
        <v>219634.36744632956</v>
      </c>
      <c r="D48" s="121">
        <f ca="1">OFFSET('42'!$F$4,$A$3,0)</f>
        <v>8.11</v>
      </c>
      <c r="E48" s="75">
        <f ca="1">OFFSET('42'!$E$66,$A$3,0)</f>
        <v>143250</v>
      </c>
      <c r="F48" s="121">
        <f ca="1">OFFSET('42'!$F$66,$A$3,0)</f>
        <v>5.29</v>
      </c>
      <c r="G48" s="75">
        <f ca="1">IFERROR('42'!$F$100*'Discipline Analysis'!$B48,"")</f>
        <v>5415.4000000000005</v>
      </c>
      <c r="H48" s="121">
        <f>'42'!$F$100</f>
        <v>0.2</v>
      </c>
      <c r="I48" s="75">
        <f ca="1">IFERROR('42'!$F$98*'Discipline Analysis'!$B48,"")</f>
        <v>14621.580000000002</v>
      </c>
      <c r="J48" s="121">
        <f>'42'!$F$98</f>
        <v>0.54</v>
      </c>
      <c r="K48" s="75">
        <f ca="1">IFERROR('42'!$F$99*'Discipline Analysis'!$B48,"")</f>
        <v>7040.02</v>
      </c>
      <c r="L48" s="121">
        <f>'42'!$F$99</f>
        <v>0.26</v>
      </c>
      <c r="M48" s="75">
        <f ca="1">OFFSET('42'!$E$35,$A$3,0)</f>
        <v>35621</v>
      </c>
      <c r="N48" s="121">
        <f ca="1">OFFSET('42'!$F$35,$A$3,0)</f>
        <v>1.32</v>
      </c>
      <c r="O48" s="75">
        <f ca="1">IFERROR('42'!$F$101*'Discipline Analysis'!$B48,"")</f>
        <v>2436.9299999999998</v>
      </c>
      <c r="P48" s="121">
        <f>'42'!$F$101</f>
        <v>0.09</v>
      </c>
      <c r="Q48" s="75" t="str">
        <f ca="1">IFERROR('42'!$F$102*'Discipline Analysis'!$B48,"")</f>
        <v/>
      </c>
      <c r="R48" s="121" t="str">
        <f>'42'!$F$102</f>
        <v/>
      </c>
      <c r="S48" s="75" t="str">
        <f ca="1">IFERROR('42'!$F$103*'Discipline Analysis'!$B48,"")</f>
        <v/>
      </c>
      <c r="T48" s="121" t="str">
        <f>'42'!$F$103</f>
        <v/>
      </c>
      <c r="U48" s="75">
        <f ca="1">IFERROR('42'!$F$104*'Discipline Analysis'!$B48,"")</f>
        <v>10830.800000000001</v>
      </c>
      <c r="V48" s="126">
        <f>'42'!$F$104</f>
        <v>0.4</v>
      </c>
    </row>
    <row r="49" spans="1:25" x14ac:dyDescent="0.2">
      <c r="A49" s="92" t="s">
        <v>1052</v>
      </c>
      <c r="B49" s="83">
        <f ca="1">OFFSET('43'!$D$4,$A$3,0)</f>
        <v>0</v>
      </c>
      <c r="C49" s="75">
        <f ca="1">OFFSET('43'!$E$4,$A$3,0)</f>
        <v>0</v>
      </c>
      <c r="D49" s="121" t="str">
        <f ca="1">OFFSET('43'!$F$4,$A$3,0)</f>
        <v/>
      </c>
      <c r="E49" s="75">
        <f ca="1">OFFSET('43'!$E$66,$A$3,0)</f>
        <v>0</v>
      </c>
      <c r="F49" s="121" t="str">
        <f ca="1">OFFSET('43'!$F$66,$A$3,0)</f>
        <v/>
      </c>
      <c r="G49" s="75">
        <f ca="1">IFERROR('43'!$F$100*'Discipline Analysis'!$B49,"")</f>
        <v>0</v>
      </c>
      <c r="H49" s="121">
        <f>'43'!$F$100</f>
        <v>0.28000000000000003</v>
      </c>
      <c r="I49" s="75">
        <f ca="1">IFERROR('43'!$F$98*'Discipline Analysis'!$B49,"")</f>
        <v>0</v>
      </c>
      <c r="J49" s="121">
        <f>'43'!$F$98</f>
        <v>1.48</v>
      </c>
      <c r="K49" s="75">
        <f ca="1">IFERROR('43'!$F$99*'Discipline Analysis'!$B49,"")</f>
        <v>0</v>
      </c>
      <c r="L49" s="121">
        <f>'43'!$F$99</f>
        <v>1.62</v>
      </c>
      <c r="M49" s="75">
        <f ca="1">OFFSET('43'!$E$35,$A$3,0)</f>
        <v>0</v>
      </c>
      <c r="N49" s="121" t="str">
        <f ca="1">OFFSET('43'!$F$35,$A$3,0)</f>
        <v/>
      </c>
      <c r="O49" s="75">
        <f ca="1">IFERROR('43'!$F$101*'Discipline Analysis'!$B49,"")</f>
        <v>0</v>
      </c>
      <c r="P49" s="121">
        <f>'43'!$F$101</f>
        <v>0.31</v>
      </c>
      <c r="Q49" s="75" t="str">
        <f ca="1">IFERROR('43'!$F$102*'Discipline Analysis'!$B49,"")</f>
        <v/>
      </c>
      <c r="R49" s="121" t="str">
        <f>'43'!$F$102</f>
        <v/>
      </c>
      <c r="S49" s="75" t="str">
        <f ca="1">IFERROR('43'!$F$103*'Discipline Analysis'!$B49,"")</f>
        <v/>
      </c>
      <c r="T49" s="121" t="str">
        <f>'43'!$F$103</f>
        <v/>
      </c>
      <c r="U49" s="75">
        <f ca="1">IFERROR('43'!$F$104*'Discipline Analysis'!$B49,"")</f>
        <v>0</v>
      </c>
      <c r="V49" s="126">
        <f>'43'!$F$104</f>
        <v>1.1299999999999999</v>
      </c>
    </row>
    <row r="50" spans="1:25" x14ac:dyDescent="0.2">
      <c r="A50" s="92" t="s">
        <v>1063</v>
      </c>
      <c r="B50" s="83">
        <f ca="1">OFFSET('44'!$D$4,$A$3,0)</f>
        <v>63312</v>
      </c>
      <c r="C50" s="75">
        <f ca="1">OFFSET('44'!$E$4,$A$3,0)</f>
        <v>390422.41274208279</v>
      </c>
      <c r="D50" s="121">
        <f ca="1">OFFSET('44'!$F$4,$A$3,0)</f>
        <v>6.17</v>
      </c>
      <c r="E50" s="75">
        <f ca="1">OFFSET('44'!$E$66,$A$3,0)</f>
        <v>201968</v>
      </c>
      <c r="F50" s="121">
        <f ca="1">OFFSET('44'!$F$66,$A$3,0)</f>
        <v>3.19</v>
      </c>
      <c r="G50" s="75">
        <f ca="1">IFERROR('44'!$F$100*'Discipline Analysis'!$B50,"")</f>
        <v>16461.12</v>
      </c>
      <c r="H50" s="121">
        <f>'44'!$F$100</f>
        <v>0.26</v>
      </c>
      <c r="I50" s="75">
        <f ca="1">IFERROR('44'!$F$98*'Discipline Analysis'!$B50,"")</f>
        <v>39253.440000000002</v>
      </c>
      <c r="J50" s="121">
        <f>'44'!$F$98</f>
        <v>0.62</v>
      </c>
      <c r="K50" s="75">
        <f ca="1">IFERROR('44'!$F$99*'Discipline Analysis'!$B50,"")</f>
        <v>30389.759999999998</v>
      </c>
      <c r="L50" s="121">
        <f>'44'!$F$99</f>
        <v>0.48</v>
      </c>
      <c r="M50" s="75">
        <f ca="1">OFFSET('44'!$E$35,$A$3,0)</f>
        <v>49624</v>
      </c>
      <c r="N50" s="121">
        <f ca="1">OFFSET('44'!$F$35,$A$3,0)</f>
        <v>0.78</v>
      </c>
      <c r="O50" s="75">
        <f ca="1">IFERROR('44'!$F$101*'Discipline Analysis'!$B50,"")</f>
        <v>16461.12</v>
      </c>
      <c r="P50" s="121">
        <f>'44'!$F$101</f>
        <v>0.26</v>
      </c>
      <c r="Q50" s="75">
        <f ca="1">IFERROR('44'!$F$102*'Discipline Analysis'!$B50,"")</f>
        <v>5064.96</v>
      </c>
      <c r="R50" s="121">
        <f>'44'!$F$102</f>
        <v>0.08</v>
      </c>
      <c r="S50" s="75" t="str">
        <f ca="1">IFERROR('44'!$F$103*'Discipline Analysis'!$B50,"")</f>
        <v/>
      </c>
      <c r="T50" s="121" t="str">
        <f>'44'!$F$103</f>
        <v/>
      </c>
      <c r="U50" s="75">
        <f ca="1">IFERROR('44'!$F$104*'Discipline Analysis'!$B50,"")</f>
        <v>31656</v>
      </c>
      <c r="V50" s="126">
        <f>'44'!$F$104</f>
        <v>0.5</v>
      </c>
    </row>
    <row r="51" spans="1:25" x14ac:dyDescent="0.2">
      <c r="A51" s="92" t="s">
        <v>1028</v>
      </c>
      <c r="B51" s="83">
        <f ca="1">OFFSET('45'!$D$4,$A$3,0)</f>
        <v>33963</v>
      </c>
      <c r="C51" s="75">
        <f ca="1">OFFSET('45'!$E$4,$A$3,0)</f>
        <v>101589.17712284555</v>
      </c>
      <c r="D51" s="121">
        <f ca="1">OFFSET('45'!$F$4,$A$3,0)</f>
        <v>2.99</v>
      </c>
      <c r="E51" s="75">
        <f ca="1">OFFSET('45'!$E$66,$A$3,0)</f>
        <v>10038</v>
      </c>
      <c r="F51" s="121">
        <f ca="1">OFFSET('45'!$F$66,$A$3,0)</f>
        <v>0.3</v>
      </c>
      <c r="G51" s="75">
        <f ca="1">IFERROR('45'!$F$100*'Discipline Analysis'!$B51,"")</f>
        <v>7811.4900000000007</v>
      </c>
      <c r="H51" s="121">
        <f>'45'!$F$100</f>
        <v>0.23</v>
      </c>
      <c r="I51" s="75">
        <f ca="1">IFERROR('45'!$F$98*'Discipline Analysis'!$B51,"")</f>
        <v>31245.960000000003</v>
      </c>
      <c r="J51" s="121">
        <f>'45'!$F$98</f>
        <v>0.92</v>
      </c>
      <c r="K51" s="75">
        <f ca="1">IFERROR('45'!$F$99*'Discipline Analysis'!$B51,"")</f>
        <v>24453.360000000001</v>
      </c>
      <c r="L51" s="121">
        <f>'45'!$F$99</f>
        <v>0.72</v>
      </c>
      <c r="M51" s="75">
        <f ca="1">OFFSET('45'!$E$35,$A$3,0)</f>
        <v>7329</v>
      </c>
      <c r="N51" s="121">
        <f ca="1">OFFSET('45'!$F$35,$A$3,0)</f>
        <v>0.22</v>
      </c>
      <c r="O51" s="75">
        <f ca="1">IFERROR('45'!$F$101*'Discipline Analysis'!$B51,"")</f>
        <v>9170.01</v>
      </c>
      <c r="P51" s="121">
        <f>'45'!$F$101</f>
        <v>0.27</v>
      </c>
      <c r="Q51" s="75" t="str">
        <f ca="1">IFERROR('45'!$F$102*'Discipline Analysis'!$B51,"")</f>
        <v/>
      </c>
      <c r="R51" s="121" t="str">
        <f>'45'!$F$102</f>
        <v/>
      </c>
      <c r="S51" s="75" t="str">
        <f ca="1">IFERROR('45'!$F$103*'Discipline Analysis'!$B51,"")</f>
        <v/>
      </c>
      <c r="T51" s="121" t="str">
        <f>'45'!$F$103</f>
        <v/>
      </c>
      <c r="U51" s="75">
        <f ca="1">IFERROR('45'!$F$104*'Discipline Analysis'!$B51,"")</f>
        <v>11887.05</v>
      </c>
      <c r="V51" s="126">
        <f>'45'!$F$104</f>
        <v>0.35</v>
      </c>
    </row>
    <row r="52" spans="1:25" x14ac:dyDescent="0.2">
      <c r="A52" s="92" t="s">
        <v>1053</v>
      </c>
      <c r="B52" s="83">
        <f ca="1">OFFSET('46'!$D$4,$A$3,0)</f>
        <v>25394</v>
      </c>
      <c r="C52" s="75">
        <f ca="1">OFFSET('46'!$E$4,$A$3,0)</f>
        <v>128808.35681072516</v>
      </c>
      <c r="D52" s="121">
        <f ca="1">OFFSET('46'!$F$4,$A$3,0)</f>
        <v>5.07</v>
      </c>
      <c r="E52" s="75">
        <f ca="1">OFFSET('46'!$E$66,$A$3,0)</f>
        <v>47904</v>
      </c>
      <c r="F52" s="121">
        <f ca="1">OFFSET('46'!$F$66,$A$3,0)</f>
        <v>1.89</v>
      </c>
      <c r="G52" s="75">
        <f ca="1">IFERROR('46'!$F$100*'Discipline Analysis'!$B52,"")</f>
        <v>5840.62</v>
      </c>
      <c r="H52" s="121">
        <f>'46'!$F$100</f>
        <v>0.23</v>
      </c>
      <c r="I52" s="75">
        <f ca="1">IFERROR('46'!$F$98*'Discipline Analysis'!$B52,"")</f>
        <v>26155.82</v>
      </c>
      <c r="J52" s="121">
        <f>'46'!$F$98</f>
        <v>1.03</v>
      </c>
      <c r="K52" s="75">
        <f ca="1">IFERROR('46'!$F$99*'Discipline Analysis'!$B52,"")</f>
        <v>14220.640000000001</v>
      </c>
      <c r="L52" s="121">
        <f>'46'!$F$99</f>
        <v>0.56000000000000005</v>
      </c>
      <c r="M52" s="75">
        <f ca="1">OFFSET('46'!$E$35,$A$3,0)</f>
        <v>7637</v>
      </c>
      <c r="N52" s="121">
        <f ca="1">OFFSET('46'!$F$35,$A$3,0)</f>
        <v>0.3</v>
      </c>
      <c r="O52" s="75">
        <f ca="1">IFERROR('46'!$F$101*'Discipline Analysis'!$B52,"")</f>
        <v>20315.2</v>
      </c>
      <c r="P52" s="121">
        <f>'46'!$F$101</f>
        <v>0.8</v>
      </c>
      <c r="Q52" s="75">
        <f ca="1">IFERROR('46'!$F$102*'Discipline Analysis'!$B52,"")</f>
        <v>507.88</v>
      </c>
      <c r="R52" s="121">
        <f>'46'!$F$102</f>
        <v>0.02</v>
      </c>
      <c r="S52" s="75" t="str">
        <f ca="1">IFERROR('46'!$F$103*'Discipline Analysis'!$B52,"")</f>
        <v/>
      </c>
      <c r="T52" s="121" t="str">
        <f>'46'!$F$103</f>
        <v/>
      </c>
      <c r="U52" s="75">
        <f ca="1">IFERROR('46'!$F$104*'Discipline Analysis'!$B52,"")</f>
        <v>6348.5</v>
      </c>
      <c r="V52" s="126">
        <f>'46'!$F$104</f>
        <v>0.25</v>
      </c>
    </row>
    <row r="53" spans="1:25" x14ac:dyDescent="0.2">
      <c r="A53" s="92" t="s">
        <v>1054</v>
      </c>
      <c r="B53" s="83">
        <f ca="1">OFFSET('47'!$D$4,$A$3,0)</f>
        <v>4416</v>
      </c>
      <c r="C53" s="75">
        <f ca="1">OFFSET('47'!$E$4,$A$3,0)</f>
        <v>15751.532761199534</v>
      </c>
      <c r="D53" s="121">
        <f ca="1">OFFSET('47'!$F$4,$A$3,0)</f>
        <v>3.57</v>
      </c>
      <c r="E53" s="75">
        <f ca="1">OFFSET('47'!$E$66,$A$3,0)</f>
        <v>3146</v>
      </c>
      <c r="F53" s="121">
        <f ca="1">OFFSET('47'!$F$66,$A$3,0)</f>
        <v>0.71</v>
      </c>
      <c r="G53" s="75">
        <f ca="1">IFERROR('47'!$F$100*'Discipline Analysis'!$B53,"")</f>
        <v>1457.28</v>
      </c>
      <c r="H53" s="121">
        <f>'47'!$F$100</f>
        <v>0.33</v>
      </c>
      <c r="I53" s="75">
        <f ca="1">IFERROR('47'!$F$98*'Discipline Analysis'!$B53,"")</f>
        <v>4945.92</v>
      </c>
      <c r="J53" s="121">
        <f>'47'!$F$98</f>
        <v>1.1200000000000001</v>
      </c>
      <c r="K53" s="75">
        <f ca="1">IFERROR('47'!$F$99*'Discipline Analysis'!$B53,"")</f>
        <v>2384.6400000000003</v>
      </c>
      <c r="L53" s="121">
        <f>'47'!$F$99</f>
        <v>0.54</v>
      </c>
      <c r="M53" s="75">
        <f ca="1">OFFSET('47'!$E$35,$A$3,0)</f>
        <v>0</v>
      </c>
      <c r="N53" s="121" t="str">
        <f ca="1">OFFSET('47'!$F$35,$A$3,0)</f>
        <v/>
      </c>
      <c r="O53" s="75">
        <f ca="1">IFERROR('47'!$F$101*'Discipline Analysis'!$B53,"")</f>
        <v>1236.48</v>
      </c>
      <c r="P53" s="121">
        <f>'47'!$F$101</f>
        <v>0.28000000000000003</v>
      </c>
      <c r="Q53" s="75" t="str">
        <f ca="1">IFERROR('47'!$F$102*'Discipline Analysis'!$B53,"")</f>
        <v/>
      </c>
      <c r="R53" s="121" t="str">
        <f>'47'!$F$102</f>
        <v/>
      </c>
      <c r="S53" s="75" t="str">
        <f ca="1">IFERROR('47'!$F$103*'Discipline Analysis'!$B53,"")</f>
        <v/>
      </c>
      <c r="T53" s="121" t="str">
        <f>'47'!$F$103</f>
        <v/>
      </c>
      <c r="U53" s="75">
        <f ca="1">IFERROR('47'!$F$104*'Discipline Analysis'!$B53,"")</f>
        <v>2561.2799999999997</v>
      </c>
      <c r="V53" s="126">
        <f>'47'!$F$104</f>
        <v>0.57999999999999996</v>
      </c>
    </row>
    <row r="54" spans="1:25" x14ac:dyDescent="0.2">
      <c r="A54" s="92" t="s">
        <v>1055</v>
      </c>
      <c r="B54" s="83">
        <f ca="1">OFFSET('48'!$D$4,$A$3,0)</f>
        <v>19488</v>
      </c>
      <c r="C54" s="75">
        <f ca="1">OFFSET('48'!$E$4,$A$3,0)</f>
        <v>199843.32583937849</v>
      </c>
      <c r="D54" s="121">
        <f ca="1">OFFSET('48'!$F$4,$A$3,0)</f>
        <v>10.25</v>
      </c>
      <c r="E54" s="75">
        <f ca="1">OFFSET('48'!$E$66,$A$3,0)</f>
        <v>73215</v>
      </c>
      <c r="F54" s="121">
        <f ca="1">OFFSET('48'!$F$66,$A$3,0)</f>
        <v>3.76</v>
      </c>
      <c r="G54" s="75">
        <f ca="1">IFERROR('48'!$F$100*'Discipline Analysis'!$B54,"")</f>
        <v>4092.48</v>
      </c>
      <c r="H54" s="121">
        <f>'48'!$F$100</f>
        <v>0.21</v>
      </c>
      <c r="I54" s="75">
        <f ca="1">IFERROR('48'!$F$98*'Discipline Analysis'!$B54,"")</f>
        <v>24554.880000000001</v>
      </c>
      <c r="J54" s="121">
        <f>'48'!$F$98</f>
        <v>1.26</v>
      </c>
      <c r="K54" s="75">
        <f ca="1">IFERROR('48'!$F$99*'Discipline Analysis'!$B54,"")</f>
        <v>7405.4400000000005</v>
      </c>
      <c r="L54" s="121">
        <f>'48'!$F$99</f>
        <v>0.38</v>
      </c>
      <c r="M54" s="75">
        <f ca="1">OFFSET('48'!$E$35,$A$3,0)</f>
        <v>85300</v>
      </c>
      <c r="N54" s="121">
        <f ca="1">OFFSET('48'!$F$35,$A$3,0)</f>
        <v>4.38</v>
      </c>
      <c r="O54" s="75">
        <f ca="1">IFERROR('48'!$F$101*'Discipline Analysis'!$B54,"")</f>
        <v>3897.6000000000004</v>
      </c>
      <c r="P54" s="121">
        <f>'48'!$F$101</f>
        <v>0.2</v>
      </c>
      <c r="Q54" s="75" t="str">
        <f ca="1">IFERROR('48'!$F$102*'Discipline Analysis'!$B54,"")</f>
        <v/>
      </c>
      <c r="R54" s="121" t="str">
        <f>'48'!$F$102</f>
        <v/>
      </c>
      <c r="S54" s="75" t="str">
        <f ca="1">IFERROR('48'!$F$103*'Discipline Analysis'!$B54,"")</f>
        <v/>
      </c>
      <c r="T54" s="121" t="str">
        <f>'48'!$F$103</f>
        <v/>
      </c>
      <c r="U54" s="75">
        <f ca="1">IFERROR('48'!$F$104*'Discipline Analysis'!$B54,"")</f>
        <v>1364.16</v>
      </c>
      <c r="V54" s="126">
        <f>'48'!$F$104</f>
        <v>7.0000000000000007E-2</v>
      </c>
    </row>
    <row r="55" spans="1:25" x14ac:dyDescent="0.2">
      <c r="A55" s="92" t="s">
        <v>1056</v>
      </c>
      <c r="B55" s="83">
        <f ca="1">OFFSET('49'!$D$4,$A$3,0)</f>
        <v>55504</v>
      </c>
      <c r="C55" s="75">
        <f ca="1">OFFSET('49'!$E$4,$A$3,0)</f>
        <v>525431.89554195805</v>
      </c>
      <c r="D55" s="121">
        <f ca="1">OFFSET('49'!$F$4,$A$3,0)</f>
        <v>9.4700000000000006</v>
      </c>
      <c r="E55" s="75">
        <f ca="1">OFFSET('49'!$E$66,$A$3,0)</f>
        <v>220549</v>
      </c>
      <c r="F55" s="121">
        <f ca="1">OFFSET('49'!$F$66,$A$3,0)</f>
        <v>3.97</v>
      </c>
      <c r="G55" s="75">
        <f ca="1">IFERROR('49'!$F$100*'Discipline Analysis'!$B55,"")</f>
        <v>9435.68</v>
      </c>
      <c r="H55" s="121">
        <f>'49'!$F$100</f>
        <v>0.17</v>
      </c>
      <c r="I55" s="75">
        <f ca="1">IFERROR('49'!$F$98*'Discipline Analysis'!$B55,"")</f>
        <v>113783.2</v>
      </c>
      <c r="J55" s="121">
        <f>'49'!$F$98</f>
        <v>2.0499999999999998</v>
      </c>
      <c r="K55" s="75">
        <f ca="1">IFERROR('49'!$F$99*'Discipline Analysis'!$B55,"")</f>
        <v>34412.480000000003</v>
      </c>
      <c r="L55" s="121">
        <f>'49'!$F$99</f>
        <v>0.62</v>
      </c>
      <c r="M55" s="75">
        <f ca="1">OFFSET('49'!$E$35,$A$3,0)</f>
        <v>75048</v>
      </c>
      <c r="N55" s="121">
        <f ca="1">OFFSET('49'!$F$35,$A$3,0)</f>
        <v>1.35</v>
      </c>
      <c r="O55" s="75">
        <f ca="1">IFERROR('49'!$F$101*'Discipline Analysis'!$B55,"")</f>
        <v>67159.839999999997</v>
      </c>
      <c r="P55" s="121">
        <f>'49'!$F$101</f>
        <v>1.21</v>
      </c>
      <c r="Q55" s="75" t="str">
        <f ca="1">IFERROR('49'!$F$102*'Discipline Analysis'!$B55,"")</f>
        <v/>
      </c>
      <c r="R55" s="121" t="str">
        <f>'49'!$F$102</f>
        <v/>
      </c>
      <c r="S55" s="75" t="str">
        <f ca="1">IFERROR('49'!$F$103*'Discipline Analysis'!$B55,"")</f>
        <v/>
      </c>
      <c r="T55" s="121" t="str">
        <f>'49'!$F$103</f>
        <v/>
      </c>
      <c r="U55" s="75">
        <f ca="1">IFERROR('49'!$F$104*'Discipline Analysis'!$B55,"")</f>
        <v>5550.4000000000005</v>
      </c>
      <c r="V55" s="126">
        <f>'49'!$F$104</f>
        <v>0.1</v>
      </c>
    </row>
    <row r="56" spans="1:25" x14ac:dyDescent="0.2">
      <c r="A56" s="92" t="s">
        <v>1064</v>
      </c>
      <c r="B56" s="83">
        <f ca="1">OFFSET('50'!$D$4,$A$3,0)</f>
        <v>16048</v>
      </c>
      <c r="C56" s="75">
        <f ca="1">OFFSET('50'!$E$4,$A$3,0)</f>
        <v>153181.67398433082</v>
      </c>
      <c r="D56" s="121">
        <f ca="1">OFFSET('50'!$F$4,$A$3,0)</f>
        <v>9.5500000000000007</v>
      </c>
      <c r="E56" s="75">
        <f ca="1">OFFSET('50'!$E$66,$A$3,0)</f>
        <v>82049</v>
      </c>
      <c r="F56" s="121">
        <f ca="1">OFFSET('50'!$F$66,$A$3,0)</f>
        <v>5.1100000000000003</v>
      </c>
      <c r="G56" s="75">
        <f ca="1">IFERROR('50'!$F$100*'Discipline Analysis'!$B56,"")</f>
        <v>3209.6000000000004</v>
      </c>
      <c r="H56" s="121">
        <f>'50'!$F$100</f>
        <v>0.2</v>
      </c>
      <c r="I56" s="75">
        <f ca="1">IFERROR('50'!$F$98*'Discipline Analysis'!$B56,"")</f>
        <v>28404.959999999999</v>
      </c>
      <c r="J56" s="121">
        <f>'50'!$F$98</f>
        <v>1.77</v>
      </c>
      <c r="K56" s="75">
        <f ca="1">IFERROR('50'!$F$99*'Discipline Analysis'!$B56,"")</f>
        <v>8024</v>
      </c>
      <c r="L56" s="121">
        <f>'50'!$F$99</f>
        <v>0.5</v>
      </c>
      <c r="M56" s="75">
        <f ca="1">OFFSET('50'!$E$35,$A$3,0)</f>
        <v>14223</v>
      </c>
      <c r="N56" s="121">
        <f ca="1">OFFSET('50'!$F$35,$A$3,0)</f>
        <v>0.89</v>
      </c>
      <c r="O56" s="75">
        <f ca="1">IFERROR('50'!$F$101*'Discipline Analysis'!$B56,"")</f>
        <v>8024</v>
      </c>
      <c r="P56" s="121">
        <f>'50'!$F$101</f>
        <v>0.5</v>
      </c>
      <c r="Q56" s="75" t="str">
        <f ca="1">IFERROR('50'!$F$102*'Discipline Analysis'!$B56,"")</f>
        <v/>
      </c>
      <c r="R56" s="121" t="str">
        <f>'50'!$F$102</f>
        <v/>
      </c>
      <c r="S56" s="75" t="str">
        <f ca="1">IFERROR('50'!$F$103*'Discipline Analysis'!$B56,"")</f>
        <v/>
      </c>
      <c r="T56" s="121" t="str">
        <f>'50'!$F$103</f>
        <v/>
      </c>
      <c r="U56" s="75">
        <f ca="1">IFERROR('50'!$F$104*'Discipline Analysis'!$B56,"")</f>
        <v>9307.84</v>
      </c>
      <c r="V56" s="126">
        <f>'50'!$F$104</f>
        <v>0.57999999999999996</v>
      </c>
    </row>
    <row r="57" spans="1:25" x14ac:dyDescent="0.2">
      <c r="A57" s="90" t="s">
        <v>937</v>
      </c>
      <c r="B57" s="83">
        <f ca="1">OFFSET('51'!$D$4,$A$3,0)</f>
        <v>18992</v>
      </c>
      <c r="C57" s="75">
        <f ca="1">OFFSET('51'!$E$4,$A$3,0)</f>
        <v>196387.20543839075</v>
      </c>
      <c r="D57" s="121">
        <f ca="1">OFFSET('51'!$F$4,$A$3,0)</f>
        <v>10.34</v>
      </c>
      <c r="E57" s="75">
        <f ca="1">OFFSET('51'!$E$66,$A$3,0)</f>
        <v>53551</v>
      </c>
      <c r="F57" s="121">
        <f ca="1">OFFSET('51'!$F$66,$A$3,0)</f>
        <v>2.82</v>
      </c>
      <c r="G57" s="75">
        <f ca="1">IFERROR('51'!$F$100*'Discipline Analysis'!$B57,"")</f>
        <v>2848.7999999999997</v>
      </c>
      <c r="H57" s="121">
        <f>'51'!$F$100</f>
        <v>0.15</v>
      </c>
      <c r="I57" s="75">
        <f ca="1">IFERROR('51'!$F$98*'Discipline Analysis'!$B57,"")</f>
        <v>17092.8</v>
      </c>
      <c r="J57" s="121">
        <f>'51'!$F$98</f>
        <v>0.9</v>
      </c>
      <c r="K57" s="75">
        <f ca="1">IFERROR('51'!$F$99*'Discipline Analysis'!$B57,"")</f>
        <v>9685.92</v>
      </c>
      <c r="L57" s="121">
        <f>'51'!$F$99</f>
        <v>0.51</v>
      </c>
      <c r="M57" s="75">
        <f ca="1">OFFSET('51'!$E$35,$A$3,0)</f>
        <v>105529</v>
      </c>
      <c r="N57" s="121">
        <f ca="1">OFFSET('51'!$F$35,$A$3,0)</f>
        <v>5.56</v>
      </c>
      <c r="O57" s="75">
        <f ca="1">IFERROR('51'!$F$101*'Discipline Analysis'!$B57,"")</f>
        <v>3228.6400000000003</v>
      </c>
      <c r="P57" s="121">
        <f>'51'!$F$101</f>
        <v>0.17</v>
      </c>
      <c r="Q57" s="75" t="str">
        <f ca="1">IFERROR('51'!$F$102*'Discipline Analysis'!$B57,"")</f>
        <v/>
      </c>
      <c r="R57" s="121" t="str">
        <f>'51'!$F$102</f>
        <v/>
      </c>
      <c r="S57" s="75" t="str">
        <f ca="1">IFERROR('51'!$F$103*'Discipline Analysis'!$B57,"")</f>
        <v/>
      </c>
      <c r="T57" s="121" t="str">
        <f>'51'!$F$103</f>
        <v/>
      </c>
      <c r="U57" s="75">
        <f ca="1">IFERROR('51'!$F$104*'Discipline Analysis'!$B57,"")</f>
        <v>4558.08</v>
      </c>
      <c r="V57" s="126">
        <f>'51'!$F$104</f>
        <v>0.24</v>
      </c>
    </row>
    <row r="58" spans="1:25" x14ac:dyDescent="0.2">
      <c r="A58" s="90" t="s">
        <v>938</v>
      </c>
      <c r="B58" s="83">
        <f ca="1">OFFSET('52'!$D$4,$A$3,0)</f>
        <v>0</v>
      </c>
      <c r="C58" s="75">
        <f ca="1">OFFSET('52'!$E$4,$A$3,0)</f>
        <v>0</v>
      </c>
      <c r="D58" s="121" t="str">
        <f ca="1">OFFSET('52'!$F$4,$A$3,0)</f>
        <v/>
      </c>
      <c r="E58" s="75">
        <f ca="1">OFFSET('52'!$E$66,$A$3,0)</f>
        <v>0</v>
      </c>
      <c r="F58" s="121" t="str">
        <f ca="1">OFFSET('52'!$F$66,$A$3,0)</f>
        <v/>
      </c>
      <c r="G58" s="75">
        <f ca="1">IFERROR('52'!$F$100*'Discipline Analysis'!$B58,"")</f>
        <v>0</v>
      </c>
      <c r="H58" s="121">
        <f>'52'!$F$100</f>
        <v>0.1</v>
      </c>
      <c r="I58" s="75">
        <f ca="1">IFERROR('52'!$F$98*'Discipline Analysis'!$B58,"")</f>
        <v>0</v>
      </c>
      <c r="J58" s="121">
        <f>'52'!$F$98</f>
        <v>0.96</v>
      </c>
      <c r="K58" s="75">
        <f ca="1">IFERROR('52'!$F$99*'Discipline Analysis'!$B58,"")</f>
        <v>0</v>
      </c>
      <c r="L58" s="121">
        <f>'52'!$F$99</f>
        <v>0.81</v>
      </c>
      <c r="M58" s="75">
        <f ca="1">OFFSET('52'!$E$35,$A$3,0)</f>
        <v>0</v>
      </c>
      <c r="N58" s="121" t="str">
        <f ca="1">OFFSET('52'!$F$35,$A$3,0)</f>
        <v/>
      </c>
      <c r="O58" s="75">
        <f ca="1">IFERROR('52'!$F$101*'Discipline Analysis'!$B58,"")</f>
        <v>0</v>
      </c>
      <c r="P58" s="121">
        <f>'52'!$F$101</f>
        <v>0.15</v>
      </c>
      <c r="Q58" s="75" t="str">
        <f ca="1">IFERROR('52'!$F$102*'Discipline Analysis'!$B58,"")</f>
        <v/>
      </c>
      <c r="R58" s="121" t="str">
        <f>'52'!$F$102</f>
        <v/>
      </c>
      <c r="S58" s="75" t="str">
        <f ca="1">IFERROR('52'!$F$103*'Discipline Analysis'!$B58,"")</f>
        <v/>
      </c>
      <c r="T58" s="121" t="str">
        <f>'52'!$F$103</f>
        <v/>
      </c>
      <c r="U58" s="75">
        <f ca="1">IFERROR('52'!$F$104*'Discipline Analysis'!$B58,"")</f>
        <v>0</v>
      </c>
      <c r="V58" s="126">
        <f>'52'!$F$104</f>
        <v>0.2</v>
      </c>
    </row>
    <row r="59" spans="1:25" x14ac:dyDescent="0.2">
      <c r="A59" s="90" t="s">
        <v>939</v>
      </c>
      <c r="B59" s="83">
        <f ca="1">OFFSET('53'!$D$4,$A$3,0)</f>
        <v>1824</v>
      </c>
      <c r="C59" s="75">
        <f ca="1">OFFSET('53'!$E$4,$A$3,0)</f>
        <v>15450.625178984037</v>
      </c>
      <c r="D59" s="121">
        <f ca="1">OFFSET('53'!$F$4,$A$3,0)</f>
        <v>8.4700000000000006</v>
      </c>
      <c r="E59" s="75">
        <f ca="1">OFFSET('53'!$E$66,$A$3,0)</f>
        <v>4709</v>
      </c>
      <c r="F59" s="121">
        <f ca="1">OFFSET('53'!$F$66,$A$3,0)</f>
        <v>2.58</v>
      </c>
      <c r="G59" s="75">
        <f ca="1">IFERROR('53'!$F$100*'Discipline Analysis'!$B59,"")</f>
        <v>729.6</v>
      </c>
      <c r="H59" s="121">
        <f>'53'!$F$100</f>
        <v>0.4</v>
      </c>
      <c r="I59" s="75">
        <f ca="1">IFERROR('53'!$F$98*'Discipline Analysis'!$B59,"")</f>
        <v>3301.44</v>
      </c>
      <c r="J59" s="121">
        <f>'53'!$F$98</f>
        <v>1.81</v>
      </c>
      <c r="K59" s="75">
        <f ca="1">IFERROR('53'!$F$99*'Discipline Analysis'!$B59,"")</f>
        <v>1696.3200000000002</v>
      </c>
      <c r="L59" s="121">
        <f>'53'!$F$99</f>
        <v>0.93</v>
      </c>
      <c r="M59" s="75">
        <f ca="1">OFFSET('53'!$E$35,$A$3,0)</f>
        <v>3216</v>
      </c>
      <c r="N59" s="121">
        <f ca="1">OFFSET('53'!$F$35,$A$3,0)</f>
        <v>1.76</v>
      </c>
      <c r="O59" s="75">
        <f ca="1">IFERROR('53'!$F$101*'Discipline Analysis'!$B59,"")</f>
        <v>1331.52</v>
      </c>
      <c r="P59" s="121">
        <f>'53'!$F$101</f>
        <v>0.73</v>
      </c>
      <c r="Q59" s="75" t="str">
        <f ca="1">IFERROR('53'!$F$102*'Discipline Analysis'!$B59,"")</f>
        <v/>
      </c>
      <c r="R59" s="121" t="str">
        <f>'53'!$F$102</f>
        <v/>
      </c>
      <c r="S59" s="75" t="str">
        <f ca="1">IFERROR('53'!$F$103*'Discipline Analysis'!$B59,"")</f>
        <v/>
      </c>
      <c r="T59" s="121" t="str">
        <f>'53'!$F$103</f>
        <v/>
      </c>
      <c r="U59" s="75">
        <f ca="1">IFERROR('53'!$F$104*'Discipline Analysis'!$B59,"")</f>
        <v>474.24</v>
      </c>
      <c r="V59" s="126">
        <f>'53'!$F$104</f>
        <v>0.26</v>
      </c>
      <c r="Y59" s="128"/>
    </row>
    <row r="60" spans="1:25" x14ac:dyDescent="0.2">
      <c r="A60" s="90" t="s">
        <v>940</v>
      </c>
      <c r="B60" s="83">
        <f ca="1">OFFSET('54'!$D$4,$A$3,0)</f>
        <v>75224</v>
      </c>
      <c r="C60" s="75">
        <f ca="1">OFFSET('54'!$E$4,$A$3,0)</f>
        <v>490516.91243176814</v>
      </c>
      <c r="D60" s="121">
        <f ca="1">OFFSET('54'!$F$4,$A$3,0)</f>
        <v>6.52</v>
      </c>
      <c r="E60" s="75">
        <f ca="1">OFFSET('54'!$E$66,$A$3,0)</f>
        <v>217129</v>
      </c>
      <c r="F60" s="121">
        <f ca="1">OFFSET('54'!$F$66,$A$3,0)</f>
        <v>2.89</v>
      </c>
      <c r="G60" s="75">
        <f ca="1">IFERROR('54'!$F$100*'Discipline Analysis'!$B60,"")</f>
        <v>9026.8799999999992</v>
      </c>
      <c r="H60" s="121">
        <f>'54'!$F$100</f>
        <v>0.12</v>
      </c>
      <c r="I60" s="75">
        <f ca="1">IFERROR('54'!$F$98*'Discipline Analysis'!$B60,"")</f>
        <v>69206.080000000002</v>
      </c>
      <c r="J60" s="121">
        <f>'54'!$F$98</f>
        <v>0.92</v>
      </c>
      <c r="K60" s="75">
        <f ca="1">IFERROR('54'!$F$99*'Discipline Analysis'!$B60,"")</f>
        <v>33850.800000000003</v>
      </c>
      <c r="L60" s="121">
        <f>'54'!$F$99</f>
        <v>0.45</v>
      </c>
      <c r="M60" s="75">
        <f ca="1">OFFSET('54'!$E$35,$A$3,0)</f>
        <v>133756</v>
      </c>
      <c r="N60" s="121">
        <f ca="1">OFFSET('54'!$F$35,$A$3,0)</f>
        <v>1.78</v>
      </c>
      <c r="O60" s="75">
        <f ca="1">IFERROR('54'!$F$101*'Discipline Analysis'!$B60,"")</f>
        <v>12035.84</v>
      </c>
      <c r="P60" s="121">
        <f>'54'!$F$101</f>
        <v>0.16</v>
      </c>
      <c r="Q60" s="75" t="str">
        <f ca="1">IFERROR('54'!$F$102*'Discipline Analysis'!$B60,"")</f>
        <v/>
      </c>
      <c r="R60" s="121" t="str">
        <f>'54'!$F$102</f>
        <v/>
      </c>
      <c r="S60" s="75" t="str">
        <f ca="1">IFERROR('54'!$F$103*'Discipline Analysis'!$B60,"")</f>
        <v/>
      </c>
      <c r="T60" s="121" t="str">
        <f>'54'!$F$103</f>
        <v/>
      </c>
      <c r="U60" s="75">
        <f ca="1">IFERROR('54'!$F$104*'Discipline Analysis'!$B60,"")</f>
        <v>15797.039999999999</v>
      </c>
      <c r="V60" s="126">
        <f>'54'!$F$104</f>
        <v>0.21</v>
      </c>
      <c r="Y60" s="128"/>
    </row>
    <row r="61" spans="1:25" x14ac:dyDescent="0.2">
      <c r="A61" s="90" t="s">
        <v>941</v>
      </c>
      <c r="B61" s="83">
        <f ca="1">OFFSET('55'!$D$4,$A$3,0)</f>
        <v>0</v>
      </c>
      <c r="C61" s="75">
        <f ca="1">OFFSET('55'!$E$4,$A$3,0)</f>
        <v>0</v>
      </c>
      <c r="D61" s="121" t="str">
        <f ca="1">OFFSET('55'!$F$4,$A$3,0)</f>
        <v/>
      </c>
      <c r="E61" s="75">
        <f ca="1">OFFSET('55'!$E$66,$A$3,0)</f>
        <v>0</v>
      </c>
      <c r="F61" s="121" t="str">
        <f ca="1">OFFSET('55'!$F$66,$A$3,0)</f>
        <v/>
      </c>
      <c r="G61" s="75">
        <f ca="1">IFERROR('55'!$F$100*'Discipline Analysis'!$B61,"")</f>
        <v>0</v>
      </c>
      <c r="H61" s="121">
        <f>'55'!$F$100</f>
        <v>0.2</v>
      </c>
      <c r="I61" s="75">
        <f ca="1">IFERROR('55'!$F$98*'Discipline Analysis'!$B61,"")</f>
        <v>0</v>
      </c>
      <c r="J61" s="121">
        <f>'55'!$F$98</f>
        <v>1.25</v>
      </c>
      <c r="K61" s="75">
        <f ca="1">IFERROR('55'!$F$99*'Discipline Analysis'!$B61,"")</f>
        <v>0</v>
      </c>
      <c r="L61" s="121">
        <f>'55'!$F$99</f>
        <v>0.81</v>
      </c>
      <c r="M61" s="75">
        <f ca="1">OFFSET('55'!$E$35,$A$3,0)</f>
        <v>0</v>
      </c>
      <c r="N61" s="121" t="str">
        <f ca="1">OFFSET('55'!$F$35,$A$3,0)</f>
        <v/>
      </c>
      <c r="O61" s="75">
        <f ca="1">IFERROR('55'!$F$101*'Discipline Analysis'!$B61,"")</f>
        <v>0</v>
      </c>
      <c r="P61" s="121">
        <f>'55'!$F$101</f>
        <v>0.27</v>
      </c>
      <c r="Q61" s="75" t="str">
        <f ca="1">IFERROR('55'!$F$102*'Discipline Analysis'!$B61,"")</f>
        <v/>
      </c>
      <c r="R61" s="121" t="str">
        <f>'55'!$F$102</f>
        <v/>
      </c>
      <c r="S61" s="75" t="str">
        <f ca="1">IFERROR('55'!$F$103*'Discipline Analysis'!$B61,"")</f>
        <v/>
      </c>
      <c r="T61" s="121" t="str">
        <f>'55'!$F$103</f>
        <v/>
      </c>
      <c r="U61" s="75">
        <f ca="1">IFERROR('55'!$F$104*'Discipline Analysis'!$B61,"")</f>
        <v>0</v>
      </c>
      <c r="V61" s="126">
        <f>'55'!$F$104</f>
        <v>1.22</v>
      </c>
      <c r="Y61" s="128"/>
    </row>
    <row r="62" spans="1:25" x14ac:dyDescent="0.2">
      <c r="A62" s="90" t="s">
        <v>942</v>
      </c>
      <c r="B62" s="83">
        <f ca="1">OFFSET('56'!$D$4,$A$3,0)</f>
        <v>1808</v>
      </c>
      <c r="C62" s="75">
        <f ca="1">OFFSET('56'!$E$4,$A$3,0)</f>
        <v>13640.852602587727</v>
      </c>
      <c r="D62" s="121">
        <f ca="1">OFFSET('56'!$F$4,$A$3,0)</f>
        <v>7.54</v>
      </c>
      <c r="E62" s="75">
        <f ca="1">OFFSET('56'!$E$66,$A$3,0)</f>
        <v>5741</v>
      </c>
      <c r="F62" s="121">
        <f ca="1">OFFSET('56'!$F$66,$A$3,0)</f>
        <v>3.18</v>
      </c>
      <c r="G62" s="75">
        <f ca="1">IFERROR('56'!$F$100*'Discipline Analysis'!$B62,"")</f>
        <v>1211.3600000000001</v>
      </c>
      <c r="H62" s="121">
        <f>'56'!$F$100</f>
        <v>0.67</v>
      </c>
      <c r="I62" s="75">
        <f ca="1">IFERROR('56'!$F$98*'Discipline Analysis'!$B62,"")</f>
        <v>3019.3599999999997</v>
      </c>
      <c r="J62" s="121">
        <f>'56'!$F$98</f>
        <v>1.67</v>
      </c>
      <c r="K62" s="75">
        <f ca="1">IFERROR('56'!$F$99*'Discipline Analysis'!$B62,"")</f>
        <v>1193.28</v>
      </c>
      <c r="L62" s="121">
        <f>'56'!$F$99</f>
        <v>0.66</v>
      </c>
      <c r="M62" s="75">
        <f ca="1">OFFSET('56'!$E$35,$A$3,0)</f>
        <v>1133</v>
      </c>
      <c r="N62" s="121">
        <f ca="1">OFFSET('56'!$F$35,$A$3,0)</f>
        <v>0.63</v>
      </c>
      <c r="O62" s="75">
        <f ca="1">IFERROR('56'!$F$101*'Discipline Analysis'!$B62,"")</f>
        <v>741.28</v>
      </c>
      <c r="P62" s="121">
        <f>'56'!$F$101</f>
        <v>0.41</v>
      </c>
      <c r="Q62" s="75" t="str">
        <f ca="1">IFERROR('56'!$F$102*'Discipline Analysis'!$B62,"")</f>
        <v/>
      </c>
      <c r="R62" s="121" t="str">
        <f>'56'!$F$102</f>
        <v/>
      </c>
      <c r="S62" s="75" t="str">
        <f ca="1">IFERROR('56'!$F$103*'Discipline Analysis'!$B62,"")</f>
        <v/>
      </c>
      <c r="T62" s="121" t="str">
        <f>'56'!$F$103</f>
        <v/>
      </c>
      <c r="U62" s="75">
        <f ca="1">IFERROR('56'!$F$104*'Discipline Analysis'!$B62,"")</f>
        <v>614.72</v>
      </c>
      <c r="V62" s="126">
        <f>'56'!$F$104</f>
        <v>0.34</v>
      </c>
    </row>
    <row r="63" spans="1:25" x14ac:dyDescent="0.2">
      <c r="A63" s="71" t="s">
        <v>943</v>
      </c>
      <c r="B63" s="83">
        <f ca="1">OFFSET('57'!$D$4,$A$3,0)</f>
        <v>0</v>
      </c>
      <c r="C63" s="75">
        <f ca="1">OFFSET('57'!$E$4,$A$3,0)</f>
        <v>0</v>
      </c>
      <c r="D63" s="121" t="str">
        <f ca="1">OFFSET('57'!$F$4,$A$3,0)</f>
        <v/>
      </c>
      <c r="E63" s="75">
        <f ca="1">OFFSET('57'!$E$66,$A$3,0)</f>
        <v>0</v>
      </c>
      <c r="F63" s="121" t="str">
        <f ca="1">OFFSET('57'!$F$66,$A$3,0)</f>
        <v/>
      </c>
      <c r="G63" s="75">
        <f ca="1">IFERROR('57'!$F$100*'Discipline Analysis'!$B63,"")</f>
        <v>0</v>
      </c>
      <c r="H63" s="121">
        <f>'57'!$F$100</f>
        <v>8.11</v>
      </c>
      <c r="I63" s="75">
        <f ca="1">IFERROR('57'!$F$98*'Discipline Analysis'!$B63,"")</f>
        <v>0</v>
      </c>
      <c r="J63" s="121">
        <f>'57'!$F$98</f>
        <v>45.38</v>
      </c>
      <c r="K63" s="75">
        <f ca="1">IFERROR('57'!$F$99*'Discipline Analysis'!$B63,"")</f>
        <v>0</v>
      </c>
      <c r="L63" s="121">
        <f>'57'!$F$99</f>
        <v>15.19</v>
      </c>
      <c r="M63" s="75">
        <f ca="1">OFFSET('57'!$E$35,$A$3,0)</f>
        <v>0</v>
      </c>
      <c r="N63" s="121" t="str">
        <f ca="1">OFFSET('57'!$F$35,$A$3,0)</f>
        <v/>
      </c>
      <c r="O63" s="75">
        <f ca="1">IFERROR('57'!$F$101*'Discipline Analysis'!$B63,"")</f>
        <v>0</v>
      </c>
      <c r="P63" s="121">
        <f>'57'!$F$101</f>
        <v>3.94</v>
      </c>
      <c r="Q63" s="75" t="str">
        <f ca="1">IFERROR('57'!$F$102*'Discipline Analysis'!$B63,"")</f>
        <v/>
      </c>
      <c r="R63" s="121" t="str">
        <f>'57'!$F$102</f>
        <v/>
      </c>
      <c r="S63" s="75" t="str">
        <f ca="1">IFERROR('57'!$F$103*'Discipline Analysis'!$B63,"")</f>
        <v/>
      </c>
      <c r="T63" s="121" t="str">
        <f>'57'!$F$103</f>
        <v/>
      </c>
      <c r="U63" s="75">
        <f ca="1">IFERROR('57'!$F$104*'Discipline Analysis'!$B63,"")</f>
        <v>0</v>
      </c>
      <c r="V63" s="126">
        <f>'57'!$F$104</f>
        <v>12.51</v>
      </c>
      <c r="Y63" s="128"/>
    </row>
    <row r="64" spans="1:25" ht="15" thickBot="1" x14ac:dyDescent="0.25">
      <c r="A64" s="80" t="s">
        <v>35</v>
      </c>
      <c r="B64" s="78">
        <f ca="1">OFFSET(Summary!$D$4,$A$3,0)</f>
        <v>1297917</v>
      </c>
      <c r="C64" s="77">
        <f ca="1">OFFSET(Summary!$E$4,$A$3,0)</f>
        <v>10808271.141486395</v>
      </c>
      <c r="D64" s="123">
        <f ca="1">MEDIAN(D7:D63)</f>
        <v>8.2399999999999984</v>
      </c>
      <c r="E64" s="77">
        <f ca="1">OFFSET(Summary!$E$66,$A$3,0)</f>
        <v>4318000</v>
      </c>
      <c r="F64" s="123">
        <f ca="1">MEDIAN(F7:F63)</f>
        <v>3.76</v>
      </c>
      <c r="G64" s="77">
        <f ca="1">Summary!$F$100*B64</f>
        <v>298520.91000000003</v>
      </c>
      <c r="H64" s="123">
        <f>MEDIAN(H7:H63)</f>
        <v>0.23</v>
      </c>
      <c r="I64" s="77">
        <f ca="1">Summary!$F$98*'Discipline Analysis'!B64</f>
        <v>1635375.42</v>
      </c>
      <c r="J64" s="123">
        <f>MEDIAN(J7:J63)</f>
        <v>1.26</v>
      </c>
      <c r="K64" s="77">
        <f ca="1">Summary!$F$99*'Discipline Analysis'!B64</f>
        <v>804708.54</v>
      </c>
      <c r="L64" s="123">
        <f>MEDIAN(L7:L63)</f>
        <v>0.62</v>
      </c>
      <c r="M64" s="77">
        <f ca="1">OFFSET(Summary!$E$35,$A$3,0)</f>
        <v>2219987</v>
      </c>
      <c r="N64" s="123">
        <f ca="1">MEDIAN(N7:N63)</f>
        <v>0.89500000000000002</v>
      </c>
      <c r="O64" s="77">
        <f ca="1">IFERROR(Summary!$F$101*'Discipline Analysis'!B64,"")</f>
        <v>519166.80000000005</v>
      </c>
      <c r="P64" s="123">
        <f>MEDIAN(P7:P63)</f>
        <v>0.4</v>
      </c>
      <c r="Q64" s="77">
        <f ca="1">Summary!$F$102*'Discipline Analysis'!B64</f>
        <v>38937.51</v>
      </c>
      <c r="R64" s="123">
        <f>MEDIAN(R7:R63)</f>
        <v>0.03</v>
      </c>
      <c r="S64" s="77">
        <f ca="1">Summary!$F$103*'Discipline Analysis'!B64</f>
        <v>0</v>
      </c>
      <c r="T64" s="123">
        <f>MEDIAN(T7:T63)</f>
        <v>0</v>
      </c>
      <c r="U64" s="76">
        <f ca="1">Summary!$F$104*'Discipline Analysis'!B64</f>
        <v>493208.46</v>
      </c>
      <c r="V64" s="127">
        <f>MEDIAN(V7:V63)</f>
        <v>0.38</v>
      </c>
    </row>
    <row r="65" spans="2:22" x14ac:dyDescent="0.2">
      <c r="C65" s="2"/>
      <c r="D65" s="2"/>
      <c r="E65" s="2"/>
      <c r="F65" s="2"/>
      <c r="G65" s="2"/>
      <c r="H65" s="2"/>
      <c r="I65" s="2"/>
      <c r="J65" s="2"/>
      <c r="K65" s="2"/>
      <c r="L65" s="2"/>
      <c r="M65" s="2"/>
      <c r="N65" s="2"/>
      <c r="O65" s="2"/>
      <c r="P65" s="2"/>
      <c r="Q65" s="2"/>
      <c r="R65" s="2"/>
      <c r="S65" s="2"/>
      <c r="T65" s="2"/>
      <c r="U65" s="2"/>
      <c r="V65" s="2"/>
    </row>
    <row r="66" spans="2:22" ht="15" customHeight="1" x14ac:dyDescent="0.2">
      <c r="C66" s="63"/>
      <c r="G66" s="63"/>
      <c r="I66" s="63"/>
      <c r="K66" s="63"/>
      <c r="M66" s="63"/>
      <c r="O66" s="63"/>
      <c r="Q66" s="63"/>
      <c r="S66" s="63"/>
      <c r="U66" s="63"/>
    </row>
    <row r="80" spans="2:22" x14ac:dyDescent="0.2">
      <c r="B80" s="85"/>
      <c r="C80" s="85"/>
      <c r="D80" s="85"/>
      <c r="E80" s="85"/>
      <c r="F80" s="85"/>
      <c r="G80" s="85"/>
      <c r="H80" s="85"/>
      <c r="I80" s="85"/>
      <c r="J80" s="85"/>
      <c r="K80" s="85"/>
      <c r="L80" s="85"/>
      <c r="M80" s="85"/>
      <c r="N80" s="85"/>
      <c r="O80" s="85"/>
      <c r="P80" s="85"/>
      <c r="Q80" s="85"/>
      <c r="R80" s="85"/>
      <c r="S80" s="85"/>
      <c r="T80" s="85"/>
      <c r="U80" s="85"/>
      <c r="V80" s="85"/>
    </row>
    <row r="81" spans="2:21" x14ac:dyDescent="0.2">
      <c r="B81" s="86"/>
      <c r="C81" s="86"/>
      <c r="D81" s="86"/>
      <c r="E81" s="86"/>
      <c r="F81" s="86"/>
      <c r="G81" s="86"/>
      <c r="H81" s="86"/>
      <c r="I81" s="86"/>
      <c r="K81" s="86"/>
      <c r="L81" s="86"/>
      <c r="M81" s="86"/>
      <c r="N81" s="86"/>
      <c r="O81" s="86"/>
      <c r="P81" s="86"/>
      <c r="Q81" s="86"/>
      <c r="R81" s="86"/>
      <c r="S81" s="86"/>
      <c r="U81" s="86"/>
    </row>
    <row r="82" spans="2:21" x14ac:dyDescent="0.2">
      <c r="B82" s="86"/>
      <c r="C82" s="86"/>
      <c r="D82" s="86"/>
      <c r="E82" s="86"/>
      <c r="F82" s="86"/>
      <c r="G82" s="86"/>
      <c r="H82" s="86"/>
      <c r="I82" s="86"/>
      <c r="K82" s="86"/>
      <c r="L82" s="86"/>
      <c r="M82" s="86"/>
      <c r="N82" s="86"/>
      <c r="O82" s="86"/>
      <c r="P82" s="86"/>
      <c r="Q82" s="86"/>
      <c r="R82" s="86"/>
      <c r="S82" s="86"/>
      <c r="U82" s="86"/>
    </row>
    <row r="83" spans="2:21" x14ac:dyDescent="0.2">
      <c r="B83" s="86"/>
      <c r="C83" s="86"/>
      <c r="D83" s="86"/>
      <c r="E83" s="86"/>
      <c r="F83" s="86"/>
      <c r="G83" s="86"/>
      <c r="H83" s="86"/>
      <c r="I83" s="86"/>
      <c r="K83" s="86"/>
      <c r="L83" s="86"/>
      <c r="M83" s="86"/>
      <c r="N83" s="86"/>
      <c r="O83" s="86"/>
      <c r="P83" s="86"/>
      <c r="Q83" s="86"/>
      <c r="R83" s="86"/>
      <c r="S83" s="86"/>
      <c r="U83" s="86"/>
    </row>
    <row r="84" spans="2:21" x14ac:dyDescent="0.2">
      <c r="B84" s="86"/>
      <c r="C84" s="86"/>
      <c r="D84" s="86"/>
      <c r="E84" s="86"/>
      <c r="F84" s="86"/>
      <c r="G84" s="86"/>
      <c r="H84" s="86"/>
      <c r="I84" s="86"/>
      <c r="K84" s="86"/>
      <c r="L84" s="86"/>
      <c r="M84" s="86"/>
      <c r="N84" s="86"/>
      <c r="O84" s="86"/>
      <c r="P84" s="86"/>
      <c r="Q84" s="86"/>
      <c r="R84" s="86"/>
      <c r="S84" s="86"/>
      <c r="U84" s="86"/>
    </row>
    <row r="85" spans="2:21" x14ac:dyDescent="0.2">
      <c r="B85" s="86"/>
      <c r="C85" s="86"/>
      <c r="D85" s="86"/>
      <c r="E85" s="86"/>
      <c r="F85" s="86"/>
      <c r="G85" s="86"/>
      <c r="H85" s="86"/>
      <c r="I85" s="86"/>
      <c r="K85" s="86"/>
      <c r="L85" s="86"/>
      <c r="M85" s="86"/>
      <c r="N85" s="86"/>
      <c r="O85" s="86"/>
      <c r="P85" s="86"/>
      <c r="Q85" s="86"/>
      <c r="R85" s="86"/>
      <c r="S85" s="86"/>
      <c r="U85" s="86"/>
    </row>
    <row r="86" spans="2:21" x14ac:dyDescent="0.2">
      <c r="B86" s="86"/>
      <c r="C86" s="86"/>
      <c r="D86" s="86"/>
      <c r="E86" s="86"/>
      <c r="F86" s="86"/>
      <c r="G86" s="86"/>
      <c r="H86" s="86"/>
      <c r="I86" s="86"/>
      <c r="K86" s="86"/>
      <c r="L86" s="86"/>
      <c r="M86" s="86"/>
      <c r="N86" s="86"/>
      <c r="O86" s="86"/>
      <c r="P86" s="86"/>
      <c r="Q86" s="86"/>
      <c r="R86" s="86"/>
      <c r="S86" s="86"/>
      <c r="U86" s="86"/>
    </row>
    <row r="87" spans="2:21" x14ac:dyDescent="0.2">
      <c r="B87" s="86"/>
      <c r="C87" s="86"/>
      <c r="D87" s="86"/>
      <c r="E87" s="86"/>
      <c r="F87" s="86"/>
      <c r="G87" s="86"/>
      <c r="H87" s="86"/>
      <c r="I87" s="86"/>
      <c r="K87" s="86"/>
      <c r="L87" s="86"/>
      <c r="M87" s="86"/>
      <c r="N87" s="86"/>
      <c r="O87" s="86"/>
      <c r="P87" s="86"/>
      <c r="Q87" s="86"/>
      <c r="R87" s="86"/>
      <c r="S87" s="86"/>
      <c r="U87" s="84"/>
    </row>
    <row r="88" spans="2:21" x14ac:dyDescent="0.2">
      <c r="B88" s="86"/>
      <c r="C88" s="86"/>
      <c r="D88" s="86"/>
      <c r="E88" s="86"/>
      <c r="F88" s="86"/>
      <c r="G88" s="86"/>
      <c r="H88" s="86"/>
      <c r="I88" s="86"/>
      <c r="K88" s="86"/>
      <c r="L88" s="86"/>
      <c r="M88" s="86"/>
      <c r="N88" s="86"/>
      <c r="O88" s="86"/>
      <c r="P88" s="86"/>
      <c r="Q88" s="86"/>
      <c r="R88" s="86"/>
      <c r="S88" s="86"/>
      <c r="U88" s="86"/>
    </row>
    <row r="89" spans="2:21" x14ac:dyDescent="0.2">
      <c r="B89" s="86"/>
      <c r="C89" s="86"/>
      <c r="D89" s="86"/>
      <c r="E89" s="86"/>
      <c r="F89" s="86"/>
      <c r="G89" s="86"/>
      <c r="H89" s="86"/>
      <c r="I89" s="86"/>
      <c r="K89" s="86"/>
      <c r="L89" s="86"/>
      <c r="M89" s="86"/>
      <c r="N89" s="86"/>
      <c r="O89" s="86"/>
      <c r="P89" s="86"/>
      <c r="Q89" s="86"/>
      <c r="R89" s="86"/>
      <c r="S89" s="86"/>
      <c r="U89" s="86"/>
    </row>
    <row r="90" spans="2:21" x14ac:dyDescent="0.2">
      <c r="B90" s="86"/>
      <c r="C90" s="86"/>
      <c r="D90" s="86"/>
      <c r="E90" s="86"/>
      <c r="F90" s="86"/>
      <c r="G90" s="86"/>
      <c r="H90" s="86"/>
      <c r="I90" s="86"/>
      <c r="K90" s="86"/>
      <c r="L90" s="86"/>
      <c r="M90" s="86"/>
      <c r="N90" s="86"/>
      <c r="O90" s="86"/>
      <c r="P90" s="86"/>
      <c r="Q90" s="86"/>
      <c r="R90" s="86"/>
      <c r="S90" s="86"/>
      <c r="U90" s="86"/>
    </row>
  </sheetData>
  <mergeCells count="11">
    <mergeCell ref="O5:P5"/>
    <mergeCell ref="Q5:R5"/>
    <mergeCell ref="S5:T5"/>
    <mergeCell ref="U5:V5"/>
    <mergeCell ref="B5:B6"/>
    <mergeCell ref="C5:D5"/>
    <mergeCell ref="E5:F5"/>
    <mergeCell ref="G5:H5"/>
    <mergeCell ref="I5:J5"/>
    <mergeCell ref="K5:L5"/>
    <mergeCell ref="M5:N5"/>
  </mergeCells>
  <pageMargins left="0.25" right="0.25" top="0.25" bottom="0.25" header="0.3" footer="0.3"/>
  <pageSetup scale="58" orientation="landscape" r:id="rId1"/>
  <colBreaks count="1" manualBreakCount="1">
    <brk id="12" max="62" man="1"/>
  </col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sizeWithCells="1">
                  <from>
                    <xdr:col>0</xdr:col>
                    <xdr:colOff>0</xdr:colOff>
                    <xdr:row>1</xdr:row>
                    <xdr:rowOff>171450</xdr:rowOff>
                  </from>
                  <to>
                    <xdr:col>3</xdr:col>
                    <xdr:colOff>314325</xdr:colOff>
                    <xdr:row>3</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showGridLines="0" zoomScale="70" zoomScaleNormal="70" workbookViewId="0">
      <pane xSplit="1" ySplit="5" topLeftCell="B6" activePane="bottomRight" state="frozen"/>
      <selection pane="topRight" activeCell="B1" sqref="B1"/>
      <selection pane="bottomLeft" activeCell="A6" sqref="A6"/>
      <selection pane="bottomRight" activeCell="B6" sqref="B6"/>
    </sheetView>
  </sheetViews>
  <sheetFormatPr defaultRowHeight="15" x14ac:dyDescent="0.25"/>
  <cols>
    <col min="1" max="1" width="49" style="132" customWidth="1"/>
    <col min="2" max="2" width="23.5703125" style="132" customWidth="1"/>
    <col min="3" max="3" width="29.7109375" style="132" customWidth="1"/>
    <col min="4" max="5" width="18" style="132" customWidth="1"/>
    <col min="6" max="16384" width="9.140625" style="132"/>
  </cols>
  <sheetData>
    <row r="1" spans="1:6" x14ac:dyDescent="0.25">
      <c r="A1" s="154" t="str">
        <f>Summary!A1</f>
        <v>Community and Technical Colleges, Report of Fundable Operating Expenses, Fiscal Year (FY) 2002</v>
      </c>
      <c r="B1" s="104"/>
      <c r="C1" s="104"/>
      <c r="D1" s="104"/>
      <c r="E1" s="104"/>
      <c r="F1" s="104"/>
    </row>
    <row r="2" spans="1:6" x14ac:dyDescent="0.25">
      <c r="A2" s="155" t="s">
        <v>1089</v>
      </c>
      <c r="B2" s="156"/>
      <c r="C2" s="156"/>
      <c r="D2" s="156"/>
      <c r="E2" s="156"/>
      <c r="F2" s="156"/>
    </row>
    <row r="3" spans="1:6" ht="47.25" customHeight="1" thickBot="1" x14ac:dyDescent="0.3">
      <c r="A3" s="209" t="s">
        <v>1090</v>
      </c>
      <c r="B3" s="209"/>
      <c r="C3" s="209"/>
      <c r="D3" s="209"/>
      <c r="E3" s="209"/>
      <c r="F3" s="157"/>
    </row>
    <row r="4" spans="1:6" ht="60" customHeight="1" thickBot="1" x14ac:dyDescent="0.3">
      <c r="A4" s="158" t="s">
        <v>944</v>
      </c>
      <c r="B4" s="159" t="str">
        <f>"FY 2002 - 2003 Rates @ "&amp;TEXT(B5,"0.00%")&amp;" (Using FY 2002 CH)"</f>
        <v>FY 2002 - 2003 Rates @ 64.00% (Using FY 2002 CH)</v>
      </c>
      <c r="C4" s="160" t="str">
        <f>"Annual Budget Neutral Percent Funded "&amp;TEXT(C5,"0.00%")&amp;" (Using FY 2002 CH)"</f>
        <v>Annual Budget Neutral Percent Funded 62.44% (Using FY 2002 CH)</v>
      </c>
      <c r="D4" s="160" t="s">
        <v>51</v>
      </c>
      <c r="E4" s="161" t="s">
        <v>1091</v>
      </c>
    </row>
    <row r="5" spans="1:6" x14ac:dyDescent="0.25">
      <c r="A5" s="162" t="s">
        <v>1092</v>
      </c>
      <c r="B5" s="163">
        <v>0.6400103120664804</v>
      </c>
      <c r="C5" s="164">
        <v>0.62442318757800419</v>
      </c>
      <c r="D5" s="164">
        <f>C5-B5</f>
        <v>-1.5587124488476212E-2</v>
      </c>
      <c r="E5" s="165"/>
    </row>
    <row r="6" spans="1:6" x14ac:dyDescent="0.25">
      <c r="A6" s="92" t="s">
        <v>395</v>
      </c>
      <c r="B6" s="166">
        <f>$B$5*('Rate History'!$D$4*SUMIF(Data!$G:$G,Neutral!$A6,Data!$CU:$CU)+'Rate History'!$D$5*SUMIF(Data!$G:$G,Neutral!$A6,Data!$CV:$CV)+'Rate History'!$D$6*SUMIF(Data!$G:$G,Neutral!$A6,Data!$CW:$CW)+'Rate History'!$D$7*SUMIF(Data!$G:$G,Neutral!$A6,Data!$CX:$CX)+'Rate History'!$D$8*SUMIF(Data!$G:$G,Neutral!$A6,Data!$CY:$CY)+'Rate History'!$D$9*SUMIF(Data!$G:$G,Neutral!$A6,Data!$CZ:$CZ)+'Rate History'!$D$10*SUMIF(Data!$G:$G,Neutral!$A6,Data!$DA:$DA)+'Rate History'!$D$11*SUMIF(Data!$G:$G,Neutral!$A6,Data!$DB:$DB)+'Rate History'!$D$12*SUMIF(Data!$G:$G,Neutral!$A6,Data!$DC:$DC)+'Rate History'!$D$13*SUMIF(Data!$G:$G,Neutral!$A6,Data!$DD:$DD)+'Rate History'!$D$14*SUMIF(Data!$G:$G,Neutral!$A6,Data!$DE:$DE)+'Rate History'!$D$15*SUMIF(Data!$G:$G,Neutral!$A6,Data!$DF:$DF)+'Rate History'!$D$16*SUMIF(Data!$G:$G,Neutral!$A6,Data!$DG:$DG)+'Rate History'!$D$17*SUMIF(Data!$G:$G,Neutral!$A6,Data!$DH:$DH)+'Rate History'!$D$18*SUMIF(Data!$G:$G,Neutral!$A6,Data!$DI:$DI)+'Rate History'!$D$19*SUMIF(Data!$G:$G,Neutral!$A6,Data!$DJ:$DJ)+'Rate History'!$D$20*SUMIF(Data!$G:$G,Neutral!$A6,Data!$DK:$DK)+'Rate History'!$D$21*SUMIF(Data!$G:$G,Neutral!$A6,Data!$DL:$DL)+'Rate History'!$D$22*SUMIF(Data!$G:$G,Neutral!$A6,Data!$DM:$DM)+'Rate History'!$D$23*SUMIF(Data!$G:$G,Neutral!$A6,Data!$DN:$DN)+'Rate History'!$D$24*SUMIF(Data!$G:$G,Neutral!$A6,Data!$DO:$DO)+'Rate History'!$D$25*SUMIF(Data!$G:$G,Neutral!$A6,Data!$DP:$DP)+'Rate History'!$D$26*SUMIF(Data!$G:$G,Neutral!$A6,Data!$DQ:$DQ)+'Rate History'!$D$27*SUMIF(Data!$G:$G,Neutral!$A6,Data!$DR:$DR)+'Rate History'!$D$28*SUMIF(Data!$G:$G,Neutral!$A6,Data!$DS:$DS)+'Rate History'!$D$29*SUMIF(Data!$G:$G,Neutral!$A6,Data!$DT:$DT)+'Rate History'!$D$30*SUMIF(Data!$G:$G,Neutral!$A6,Data!$DV:$DV)+'Rate History'!$D$31*SUMIF(Data!$G:$G,Neutral!$A6,Data!$DW:$DW))</f>
        <v>67247598.959665373</v>
      </c>
      <c r="C6" s="166">
        <f>$C$5*('Rate History'!$C$4*SUMIF(Data!$G:$G,Neutral!$A6,Data!$CU:$CU)+'Rate History'!$C$5*SUMIF(Data!$G:$G,Neutral!$A6,Data!$CV:$CV)+'Rate History'!$C$6*SUMIF(Data!$G:$G,Neutral!$A6,Data!$CW:$CW)+'Rate History'!$C$7*SUMIF(Data!$G:$G,Neutral!$A6,Data!$CX:$CX)+'Rate History'!$C$8*SUMIF(Data!$G:$G,Neutral!$A6,Data!$CY:$CY)+'Rate History'!$C$9*SUMIF(Data!$G:$G,Neutral!$A6,Data!$CZ:$CZ)+'Rate History'!$C$10*SUMIF(Data!$G:$G,Neutral!$A6,Data!$DA:$DA)+'Rate History'!$C$11*SUMIF(Data!$G:$G,Neutral!$A6,Data!$DB:$DB)+'Rate History'!$C$12*SUMIF(Data!$G:$G,Neutral!$A6,Data!$DC:$DC)+'Rate History'!$C$13*SUMIF(Data!$G:$G,Neutral!$A6,Data!$DD:$DD)+'Rate History'!$C$14*SUMIF(Data!$G:$G,Neutral!$A6,Data!$DE:$DE)+'Rate History'!$C$15*SUMIF(Data!$G:$G,Neutral!$A6,Data!$DF:$DF)+'Rate History'!$C$16*SUMIF(Data!$G:$G,Neutral!$A6,Data!$DG:$DG)+'Rate History'!$C$17*SUMIF(Data!$G:$G,Neutral!$A6,Data!$DH:$DH)+'Rate History'!$C$18*SUMIF(Data!$G:$G,Neutral!$A6,Data!$DI:$DI)+'Rate History'!$C$19*SUMIF(Data!$G:$G,Neutral!$A6,Data!$DJ:$DJ)+'Rate History'!$C$20*SUMIF(Data!$G:$G,Neutral!$A6,Data!$DK:$DK)+'Rate History'!$C$21*SUMIF(Data!$G:$G,Neutral!$A6,Data!$DL:$DL)+'Rate History'!$C$22*SUMIF(Data!$G:$G,Neutral!$A6,Data!$DM:$DM)+'Rate History'!$C$23*SUMIF(Data!$G:$G,Neutral!$A6,Data!$DN:$DN)+'Rate History'!$C$24*SUMIF(Data!$G:$G,Neutral!$A6,Data!$DO:$DO)+'Rate History'!$C$25*SUMIF(Data!$G:$G,Neutral!$A6,Data!$DP:$DP)+'Rate History'!$C$26*SUMIF(Data!$G:$G,Neutral!$A6,Data!$DQ:$DQ)+'Rate History'!$C$27*SUMIF(Data!$G:$G,Neutral!$A6,Data!$DR:$DR)+'Rate History'!$C$28*SUMIF(Data!$G:$G,Neutral!$A6,Data!$DS:$DS)+'Rate History'!$C$29*SUMIF(Data!$G:$G,Neutral!$A6,Data!$DT:$DT)+'Rate History'!$C$30*SUMIF(Data!$G:$G,Neutral!$A6,Data!$DV:$DV)+'Rate History'!$C$31*SUMIF(Data!$G:$G,Neutral!$A6,Data!$DW:$DW))</f>
        <v>67234293.990398973</v>
      </c>
      <c r="D6" s="167">
        <f>C6-B6</f>
        <v>-13304.969266399741</v>
      </c>
      <c r="E6" s="168">
        <f t="shared" ref="E6:E63" si="0">IFERROR(D6/B6,"")</f>
        <v>-1.9785047306120128E-4</v>
      </c>
    </row>
    <row r="7" spans="1:6" x14ac:dyDescent="0.25">
      <c r="A7" s="92" t="s">
        <v>351</v>
      </c>
      <c r="B7" s="169">
        <f>$B$5*('Rate History'!$D$4*SUMIF(Data!$G:$G,Neutral!$A7,Data!$CU:$CU)+'Rate History'!$D$5*SUMIF(Data!$G:$G,Neutral!$A7,Data!$CV:$CV)+'Rate History'!$D$6*SUMIF(Data!$G:$G,Neutral!$A7,Data!$CW:$CW)+'Rate History'!$D$7*SUMIF(Data!$G:$G,Neutral!$A7,Data!$CX:$CX)+'Rate History'!$D$8*SUMIF(Data!$G:$G,Neutral!$A7,Data!$CY:$CY)+'Rate History'!$D$9*SUMIF(Data!$G:$G,Neutral!$A7,Data!$CZ:$CZ)+'Rate History'!$D$10*SUMIF(Data!$G:$G,Neutral!$A7,Data!$DA:$DA)+'Rate History'!$D$11*SUMIF(Data!$G:$G,Neutral!$A7,Data!$DB:$DB)+'Rate History'!$D$12*SUMIF(Data!$G:$G,Neutral!$A7,Data!$DC:$DC)+'Rate History'!$D$13*SUMIF(Data!$G:$G,Neutral!$A7,Data!$DD:$DD)+'Rate History'!$D$14*SUMIF(Data!$G:$G,Neutral!$A7,Data!$DE:$DE)+'Rate History'!$D$15*SUMIF(Data!$G:$G,Neutral!$A7,Data!$DF:$DF)+'Rate History'!$D$16*SUMIF(Data!$G:$G,Neutral!$A7,Data!$DG:$DG)+'Rate History'!$D$17*SUMIF(Data!$G:$G,Neutral!$A7,Data!$DH:$DH)+'Rate History'!$D$18*SUMIF(Data!$G:$G,Neutral!$A7,Data!$DI:$DI)+'Rate History'!$D$19*SUMIF(Data!$G:$G,Neutral!$A7,Data!$DJ:$DJ)+'Rate History'!$D$20*SUMIF(Data!$G:$G,Neutral!$A7,Data!$DK:$DK)+'Rate History'!$D$21*SUMIF(Data!$G:$G,Neutral!$A7,Data!$DL:$DL)+'Rate History'!$D$22*SUMIF(Data!$G:$G,Neutral!$A7,Data!$DM:$DM)+'Rate History'!$D$23*SUMIF(Data!$G:$G,Neutral!$A7,Data!$DN:$DN)+'Rate History'!$D$24*SUMIF(Data!$G:$G,Neutral!$A7,Data!$DO:$DO)+'Rate History'!$D$25*SUMIF(Data!$G:$G,Neutral!$A7,Data!$DP:$DP)+'Rate History'!$D$26*SUMIF(Data!$G:$G,Neutral!$A7,Data!$DQ:$DQ)+'Rate History'!$D$27*SUMIF(Data!$G:$G,Neutral!$A7,Data!$DR:$DR)+'Rate History'!$D$28*SUMIF(Data!$G:$G,Neutral!$A7,Data!$DS:$DS)+'Rate History'!$D$29*SUMIF(Data!$G:$G,Neutral!$A7,Data!$DT:$DT)+'Rate History'!$D$30*SUMIF(Data!$G:$G,Neutral!$A7,Data!$DV:$DV)+'Rate History'!$D$31*SUMIF(Data!$G:$G,Neutral!$A7,Data!$DW:$DW))</f>
        <v>8910501.1242616773</v>
      </c>
      <c r="C7" s="169">
        <f>$C$5*('Rate History'!$C$4*SUMIF(Data!$G:$G,Neutral!$A7,Data!$CU:$CU)+'Rate History'!$C$5*SUMIF(Data!$G:$G,Neutral!$A7,Data!$CV:$CV)+'Rate History'!$C$6*SUMIF(Data!$G:$G,Neutral!$A7,Data!$CW:$CW)+'Rate History'!$C$7*SUMIF(Data!$G:$G,Neutral!$A7,Data!$CX:$CX)+'Rate History'!$C$8*SUMIF(Data!$G:$G,Neutral!$A7,Data!$CY:$CY)+'Rate History'!$C$9*SUMIF(Data!$G:$G,Neutral!$A7,Data!$CZ:$CZ)+'Rate History'!$C$10*SUMIF(Data!$G:$G,Neutral!$A7,Data!$DA:$DA)+'Rate History'!$C$11*SUMIF(Data!$G:$G,Neutral!$A7,Data!$DB:$DB)+'Rate History'!$C$12*SUMIF(Data!$G:$G,Neutral!$A7,Data!$DC:$DC)+'Rate History'!$C$13*SUMIF(Data!$G:$G,Neutral!$A7,Data!$DD:$DD)+'Rate History'!$C$14*SUMIF(Data!$G:$G,Neutral!$A7,Data!$DE:$DE)+'Rate History'!$C$15*SUMIF(Data!$G:$G,Neutral!$A7,Data!$DF:$DF)+'Rate History'!$C$16*SUMIF(Data!$G:$G,Neutral!$A7,Data!$DG:$DG)+'Rate History'!$C$17*SUMIF(Data!$G:$G,Neutral!$A7,Data!$DH:$DH)+'Rate History'!$C$18*SUMIF(Data!$G:$G,Neutral!$A7,Data!$DI:$DI)+'Rate History'!$C$19*SUMIF(Data!$G:$G,Neutral!$A7,Data!$DJ:$DJ)+'Rate History'!$C$20*SUMIF(Data!$G:$G,Neutral!$A7,Data!$DK:$DK)+'Rate History'!$C$21*SUMIF(Data!$G:$G,Neutral!$A7,Data!$DL:$DL)+'Rate History'!$C$22*SUMIF(Data!$G:$G,Neutral!$A7,Data!$DM:$DM)+'Rate History'!$C$23*SUMIF(Data!$G:$G,Neutral!$A7,Data!$DN:$DN)+'Rate History'!$C$24*SUMIF(Data!$G:$G,Neutral!$A7,Data!$DO:$DO)+'Rate History'!$C$25*SUMIF(Data!$G:$G,Neutral!$A7,Data!$DP:$DP)+'Rate History'!$C$26*SUMIF(Data!$G:$G,Neutral!$A7,Data!$DQ:$DQ)+'Rate History'!$C$27*SUMIF(Data!$G:$G,Neutral!$A7,Data!$DR:$DR)+'Rate History'!$C$28*SUMIF(Data!$G:$G,Neutral!$A7,Data!$DS:$DS)+'Rate History'!$C$29*SUMIF(Data!$G:$G,Neutral!$A7,Data!$DT:$DT)+'Rate History'!$C$30*SUMIF(Data!$G:$G,Neutral!$A7,Data!$DV:$DV)+'Rate History'!$C$31*SUMIF(Data!$G:$G,Neutral!$A7,Data!$DW:$DW))</f>
        <v>8930892.135650415</v>
      </c>
      <c r="D7" s="170">
        <f t="shared" ref="D7:D63" si="1">C7-B7</f>
        <v>20391.011388737708</v>
      </c>
      <c r="E7" s="168">
        <f t="shared" si="0"/>
        <v>2.2884247590987542E-3</v>
      </c>
    </row>
    <row r="8" spans="1:6" x14ac:dyDescent="0.25">
      <c r="A8" s="92" t="s">
        <v>353</v>
      </c>
      <c r="B8" s="169">
        <f>$B$5*('Rate History'!$D$4*SUMIF(Data!$G:$G,Neutral!$A8,Data!$CU:$CU)+'Rate History'!$D$5*SUMIF(Data!$G:$G,Neutral!$A8,Data!$CV:$CV)+'Rate History'!$D$6*SUMIF(Data!$G:$G,Neutral!$A8,Data!$CW:$CW)+'Rate History'!$D$7*SUMIF(Data!$G:$G,Neutral!$A8,Data!$CX:$CX)+'Rate History'!$D$8*SUMIF(Data!$G:$G,Neutral!$A8,Data!$CY:$CY)+'Rate History'!$D$9*SUMIF(Data!$G:$G,Neutral!$A8,Data!$CZ:$CZ)+'Rate History'!$D$10*SUMIF(Data!$G:$G,Neutral!$A8,Data!$DA:$DA)+'Rate History'!$D$11*SUMIF(Data!$G:$G,Neutral!$A8,Data!$DB:$DB)+'Rate History'!$D$12*SUMIF(Data!$G:$G,Neutral!$A8,Data!$DC:$DC)+'Rate History'!$D$13*SUMIF(Data!$G:$G,Neutral!$A8,Data!$DD:$DD)+'Rate History'!$D$14*SUMIF(Data!$G:$G,Neutral!$A8,Data!$DE:$DE)+'Rate History'!$D$15*SUMIF(Data!$G:$G,Neutral!$A8,Data!$DF:$DF)+'Rate History'!$D$16*SUMIF(Data!$G:$G,Neutral!$A8,Data!$DG:$DG)+'Rate History'!$D$17*SUMIF(Data!$G:$G,Neutral!$A8,Data!$DH:$DH)+'Rate History'!$D$18*SUMIF(Data!$G:$G,Neutral!$A8,Data!$DI:$DI)+'Rate History'!$D$19*SUMIF(Data!$G:$G,Neutral!$A8,Data!$DJ:$DJ)+'Rate History'!$D$20*SUMIF(Data!$G:$G,Neutral!$A8,Data!$DK:$DK)+'Rate History'!$D$21*SUMIF(Data!$G:$G,Neutral!$A8,Data!$DL:$DL)+'Rate History'!$D$22*SUMIF(Data!$G:$G,Neutral!$A8,Data!$DM:$DM)+'Rate History'!$D$23*SUMIF(Data!$G:$G,Neutral!$A8,Data!$DN:$DN)+'Rate History'!$D$24*SUMIF(Data!$G:$G,Neutral!$A8,Data!$DO:$DO)+'Rate History'!$D$25*SUMIF(Data!$G:$G,Neutral!$A8,Data!$DP:$DP)+'Rate History'!$D$26*SUMIF(Data!$G:$G,Neutral!$A8,Data!$DQ:$DQ)+'Rate History'!$D$27*SUMIF(Data!$G:$G,Neutral!$A8,Data!$DR:$DR)+'Rate History'!$D$28*SUMIF(Data!$G:$G,Neutral!$A8,Data!$DS:$DS)+'Rate History'!$D$29*SUMIF(Data!$G:$G,Neutral!$A8,Data!$DT:$DT)+'Rate History'!$D$30*SUMIF(Data!$G:$G,Neutral!$A8,Data!$DV:$DV)+'Rate History'!$D$31*SUMIF(Data!$G:$G,Neutral!$A8,Data!$DW:$DW))</f>
        <v>18162722.480837379</v>
      </c>
      <c r="C8" s="169">
        <f>$C$5*('Rate History'!$C$4*SUMIF(Data!$G:$G,Neutral!$A8,Data!$CU:$CU)+'Rate History'!$C$5*SUMIF(Data!$G:$G,Neutral!$A8,Data!$CV:$CV)+'Rate History'!$C$6*SUMIF(Data!$G:$G,Neutral!$A8,Data!$CW:$CW)+'Rate History'!$C$7*SUMIF(Data!$G:$G,Neutral!$A8,Data!$CX:$CX)+'Rate History'!$C$8*SUMIF(Data!$G:$G,Neutral!$A8,Data!$CY:$CY)+'Rate History'!$C$9*SUMIF(Data!$G:$G,Neutral!$A8,Data!$CZ:$CZ)+'Rate History'!$C$10*SUMIF(Data!$G:$G,Neutral!$A8,Data!$DA:$DA)+'Rate History'!$C$11*SUMIF(Data!$G:$G,Neutral!$A8,Data!$DB:$DB)+'Rate History'!$C$12*SUMIF(Data!$G:$G,Neutral!$A8,Data!$DC:$DC)+'Rate History'!$C$13*SUMIF(Data!$G:$G,Neutral!$A8,Data!$DD:$DD)+'Rate History'!$C$14*SUMIF(Data!$G:$G,Neutral!$A8,Data!$DE:$DE)+'Rate History'!$C$15*SUMIF(Data!$G:$G,Neutral!$A8,Data!$DF:$DF)+'Rate History'!$C$16*SUMIF(Data!$G:$G,Neutral!$A8,Data!$DG:$DG)+'Rate History'!$C$17*SUMIF(Data!$G:$G,Neutral!$A8,Data!$DH:$DH)+'Rate History'!$C$18*SUMIF(Data!$G:$G,Neutral!$A8,Data!$DI:$DI)+'Rate History'!$C$19*SUMIF(Data!$G:$G,Neutral!$A8,Data!$DJ:$DJ)+'Rate History'!$C$20*SUMIF(Data!$G:$G,Neutral!$A8,Data!$DK:$DK)+'Rate History'!$C$21*SUMIF(Data!$G:$G,Neutral!$A8,Data!$DL:$DL)+'Rate History'!$C$22*SUMIF(Data!$G:$G,Neutral!$A8,Data!$DM:$DM)+'Rate History'!$C$23*SUMIF(Data!$G:$G,Neutral!$A8,Data!$DN:$DN)+'Rate History'!$C$24*SUMIF(Data!$G:$G,Neutral!$A8,Data!$DO:$DO)+'Rate History'!$C$25*SUMIF(Data!$G:$G,Neutral!$A8,Data!$DP:$DP)+'Rate History'!$C$26*SUMIF(Data!$G:$G,Neutral!$A8,Data!$DQ:$DQ)+'Rate History'!$C$27*SUMIF(Data!$G:$G,Neutral!$A8,Data!$DR:$DR)+'Rate History'!$C$28*SUMIF(Data!$G:$G,Neutral!$A8,Data!$DS:$DS)+'Rate History'!$C$29*SUMIF(Data!$G:$G,Neutral!$A8,Data!$DT:$DT)+'Rate History'!$C$30*SUMIF(Data!$G:$G,Neutral!$A8,Data!$DV:$DV)+'Rate History'!$C$31*SUMIF(Data!$G:$G,Neutral!$A8,Data!$DW:$DW))</f>
        <v>18255655.144633867</v>
      </c>
      <c r="D8" s="170">
        <f t="shared" si="1"/>
        <v>92932.663796488196</v>
      </c>
      <c r="E8" s="168">
        <f t="shared" si="0"/>
        <v>5.1166703612047703E-3</v>
      </c>
    </row>
    <row r="9" spans="1:6" x14ac:dyDescent="0.25">
      <c r="A9" s="92" t="s">
        <v>422</v>
      </c>
      <c r="B9" s="169">
        <f>$B$5*('Rate History'!$D$4*SUMIF(Data!$G:$G,Neutral!$A9,Data!$CU:$CU)+'Rate History'!$D$5*SUMIF(Data!$G:$G,Neutral!$A9,Data!$CV:$CV)+'Rate History'!$D$6*SUMIF(Data!$G:$G,Neutral!$A9,Data!$CW:$CW)+'Rate History'!$D$7*SUMIF(Data!$G:$G,Neutral!$A9,Data!$CX:$CX)+'Rate History'!$D$8*SUMIF(Data!$G:$G,Neutral!$A9,Data!$CY:$CY)+'Rate History'!$D$9*SUMIF(Data!$G:$G,Neutral!$A9,Data!$CZ:$CZ)+'Rate History'!$D$10*SUMIF(Data!$G:$G,Neutral!$A9,Data!$DA:$DA)+'Rate History'!$D$11*SUMIF(Data!$G:$G,Neutral!$A9,Data!$DB:$DB)+'Rate History'!$D$12*SUMIF(Data!$G:$G,Neutral!$A9,Data!$DC:$DC)+'Rate History'!$D$13*SUMIF(Data!$G:$G,Neutral!$A9,Data!$DD:$DD)+'Rate History'!$D$14*SUMIF(Data!$G:$G,Neutral!$A9,Data!$DE:$DE)+'Rate History'!$D$15*SUMIF(Data!$G:$G,Neutral!$A9,Data!$DF:$DF)+'Rate History'!$D$16*SUMIF(Data!$G:$G,Neutral!$A9,Data!$DG:$DG)+'Rate History'!$D$17*SUMIF(Data!$G:$G,Neutral!$A9,Data!$DH:$DH)+'Rate History'!$D$18*SUMIF(Data!$G:$G,Neutral!$A9,Data!$DI:$DI)+'Rate History'!$D$19*SUMIF(Data!$G:$G,Neutral!$A9,Data!$DJ:$DJ)+'Rate History'!$D$20*SUMIF(Data!$G:$G,Neutral!$A9,Data!$DK:$DK)+'Rate History'!$D$21*SUMIF(Data!$G:$G,Neutral!$A9,Data!$DL:$DL)+'Rate History'!$D$22*SUMIF(Data!$G:$G,Neutral!$A9,Data!$DM:$DM)+'Rate History'!$D$23*SUMIF(Data!$G:$G,Neutral!$A9,Data!$DN:$DN)+'Rate History'!$D$24*SUMIF(Data!$G:$G,Neutral!$A9,Data!$DO:$DO)+'Rate History'!$D$25*SUMIF(Data!$G:$G,Neutral!$A9,Data!$DP:$DP)+'Rate History'!$D$26*SUMIF(Data!$G:$G,Neutral!$A9,Data!$DQ:$DQ)+'Rate History'!$D$27*SUMIF(Data!$G:$G,Neutral!$A9,Data!$DR:$DR)+'Rate History'!$D$28*SUMIF(Data!$G:$G,Neutral!$A9,Data!$DS:$DS)+'Rate History'!$D$29*SUMIF(Data!$G:$G,Neutral!$A9,Data!$DT:$DT)+'Rate History'!$D$30*SUMIF(Data!$G:$G,Neutral!$A9,Data!$DV:$DV)+'Rate History'!$D$31*SUMIF(Data!$G:$G,Neutral!$A9,Data!$DW:$DW))</f>
        <v>9112346.66766656</v>
      </c>
      <c r="C9" s="169">
        <f>$C$5*('Rate History'!$C$4*SUMIF(Data!$G:$G,Neutral!$A9,Data!$CU:$CU)+'Rate History'!$C$5*SUMIF(Data!$G:$G,Neutral!$A9,Data!$CV:$CV)+'Rate History'!$C$6*SUMIF(Data!$G:$G,Neutral!$A9,Data!$CW:$CW)+'Rate History'!$C$7*SUMIF(Data!$G:$G,Neutral!$A9,Data!$CX:$CX)+'Rate History'!$C$8*SUMIF(Data!$G:$G,Neutral!$A9,Data!$CY:$CY)+'Rate History'!$C$9*SUMIF(Data!$G:$G,Neutral!$A9,Data!$CZ:$CZ)+'Rate History'!$C$10*SUMIF(Data!$G:$G,Neutral!$A9,Data!$DA:$DA)+'Rate History'!$C$11*SUMIF(Data!$G:$G,Neutral!$A9,Data!$DB:$DB)+'Rate History'!$C$12*SUMIF(Data!$G:$G,Neutral!$A9,Data!$DC:$DC)+'Rate History'!$C$13*SUMIF(Data!$G:$G,Neutral!$A9,Data!$DD:$DD)+'Rate History'!$C$14*SUMIF(Data!$G:$G,Neutral!$A9,Data!$DE:$DE)+'Rate History'!$C$15*SUMIF(Data!$G:$G,Neutral!$A9,Data!$DF:$DF)+'Rate History'!$C$16*SUMIF(Data!$G:$G,Neutral!$A9,Data!$DG:$DG)+'Rate History'!$C$17*SUMIF(Data!$G:$G,Neutral!$A9,Data!$DH:$DH)+'Rate History'!$C$18*SUMIF(Data!$G:$G,Neutral!$A9,Data!$DI:$DI)+'Rate History'!$C$19*SUMIF(Data!$G:$G,Neutral!$A9,Data!$DJ:$DJ)+'Rate History'!$C$20*SUMIF(Data!$G:$G,Neutral!$A9,Data!$DK:$DK)+'Rate History'!$C$21*SUMIF(Data!$G:$G,Neutral!$A9,Data!$DL:$DL)+'Rate History'!$C$22*SUMIF(Data!$G:$G,Neutral!$A9,Data!$DM:$DM)+'Rate History'!$C$23*SUMIF(Data!$G:$G,Neutral!$A9,Data!$DN:$DN)+'Rate History'!$C$24*SUMIF(Data!$G:$G,Neutral!$A9,Data!$DO:$DO)+'Rate History'!$C$25*SUMIF(Data!$G:$G,Neutral!$A9,Data!$DP:$DP)+'Rate History'!$C$26*SUMIF(Data!$G:$G,Neutral!$A9,Data!$DQ:$DQ)+'Rate History'!$C$27*SUMIF(Data!$G:$G,Neutral!$A9,Data!$DR:$DR)+'Rate History'!$C$28*SUMIF(Data!$G:$G,Neutral!$A9,Data!$DS:$DS)+'Rate History'!$C$29*SUMIF(Data!$G:$G,Neutral!$A9,Data!$DT:$DT)+'Rate History'!$C$30*SUMIF(Data!$G:$G,Neutral!$A9,Data!$DV:$DV)+'Rate History'!$C$31*SUMIF(Data!$G:$G,Neutral!$A9,Data!$DW:$DW))</f>
        <v>9107180.9509331156</v>
      </c>
      <c r="D9" s="170">
        <f t="shared" si="1"/>
        <v>-5165.7167334444821</v>
      </c>
      <c r="E9" s="168">
        <f t="shared" si="0"/>
        <v>-5.6689203361567127E-4</v>
      </c>
    </row>
    <row r="10" spans="1:6" x14ac:dyDescent="0.25">
      <c r="A10" s="92" t="s">
        <v>445</v>
      </c>
      <c r="B10" s="169">
        <f>$B$5*('Rate History'!$D$4*SUMIF(Data!$G:$G,Neutral!$A10,Data!$CU:$CU)+'Rate History'!$D$5*SUMIF(Data!$G:$G,Neutral!$A10,Data!$CV:$CV)+'Rate History'!$D$6*SUMIF(Data!$G:$G,Neutral!$A10,Data!$CW:$CW)+'Rate History'!$D$7*SUMIF(Data!$G:$G,Neutral!$A10,Data!$CX:$CX)+'Rate History'!$D$8*SUMIF(Data!$G:$G,Neutral!$A10,Data!$CY:$CY)+'Rate History'!$D$9*SUMIF(Data!$G:$G,Neutral!$A10,Data!$CZ:$CZ)+'Rate History'!$D$10*SUMIF(Data!$G:$G,Neutral!$A10,Data!$DA:$DA)+'Rate History'!$D$11*SUMIF(Data!$G:$G,Neutral!$A10,Data!$DB:$DB)+'Rate History'!$D$12*SUMIF(Data!$G:$G,Neutral!$A10,Data!$DC:$DC)+'Rate History'!$D$13*SUMIF(Data!$G:$G,Neutral!$A10,Data!$DD:$DD)+'Rate History'!$D$14*SUMIF(Data!$G:$G,Neutral!$A10,Data!$DE:$DE)+'Rate History'!$D$15*SUMIF(Data!$G:$G,Neutral!$A10,Data!$DF:$DF)+'Rate History'!$D$16*SUMIF(Data!$G:$G,Neutral!$A10,Data!$DG:$DG)+'Rate History'!$D$17*SUMIF(Data!$G:$G,Neutral!$A10,Data!$DH:$DH)+'Rate History'!$D$18*SUMIF(Data!$G:$G,Neutral!$A10,Data!$DI:$DI)+'Rate History'!$D$19*SUMIF(Data!$G:$G,Neutral!$A10,Data!$DJ:$DJ)+'Rate History'!$D$20*SUMIF(Data!$G:$G,Neutral!$A10,Data!$DK:$DK)+'Rate History'!$D$21*SUMIF(Data!$G:$G,Neutral!$A10,Data!$DL:$DL)+'Rate History'!$D$22*SUMIF(Data!$G:$G,Neutral!$A10,Data!$DM:$DM)+'Rate History'!$D$23*SUMIF(Data!$G:$G,Neutral!$A10,Data!$DN:$DN)+'Rate History'!$D$24*SUMIF(Data!$G:$G,Neutral!$A10,Data!$DO:$DO)+'Rate History'!$D$25*SUMIF(Data!$G:$G,Neutral!$A10,Data!$DP:$DP)+'Rate History'!$D$26*SUMIF(Data!$G:$G,Neutral!$A10,Data!$DQ:$DQ)+'Rate History'!$D$27*SUMIF(Data!$G:$G,Neutral!$A10,Data!$DR:$DR)+'Rate History'!$D$28*SUMIF(Data!$G:$G,Neutral!$A10,Data!$DS:$DS)+'Rate History'!$D$29*SUMIF(Data!$G:$G,Neutral!$A10,Data!$DT:$DT)+'Rate History'!$D$30*SUMIF(Data!$G:$G,Neutral!$A10,Data!$DV:$DV)+'Rate History'!$D$31*SUMIF(Data!$G:$G,Neutral!$A10,Data!$DW:$DW))</f>
        <v>41195171.609986991</v>
      </c>
      <c r="C10" s="169">
        <f>$C$5*('Rate History'!$C$4*SUMIF(Data!$G:$G,Neutral!$A10,Data!$CU:$CU)+'Rate History'!$C$5*SUMIF(Data!$G:$G,Neutral!$A10,Data!$CV:$CV)+'Rate History'!$C$6*SUMIF(Data!$G:$G,Neutral!$A10,Data!$CW:$CW)+'Rate History'!$C$7*SUMIF(Data!$G:$G,Neutral!$A10,Data!$CX:$CX)+'Rate History'!$C$8*SUMIF(Data!$G:$G,Neutral!$A10,Data!$CY:$CY)+'Rate History'!$C$9*SUMIF(Data!$G:$G,Neutral!$A10,Data!$CZ:$CZ)+'Rate History'!$C$10*SUMIF(Data!$G:$G,Neutral!$A10,Data!$DA:$DA)+'Rate History'!$C$11*SUMIF(Data!$G:$G,Neutral!$A10,Data!$DB:$DB)+'Rate History'!$C$12*SUMIF(Data!$G:$G,Neutral!$A10,Data!$DC:$DC)+'Rate History'!$C$13*SUMIF(Data!$G:$G,Neutral!$A10,Data!$DD:$DD)+'Rate History'!$C$14*SUMIF(Data!$G:$G,Neutral!$A10,Data!$DE:$DE)+'Rate History'!$C$15*SUMIF(Data!$G:$G,Neutral!$A10,Data!$DF:$DF)+'Rate History'!$C$16*SUMIF(Data!$G:$G,Neutral!$A10,Data!$DG:$DG)+'Rate History'!$C$17*SUMIF(Data!$G:$G,Neutral!$A10,Data!$DH:$DH)+'Rate History'!$C$18*SUMIF(Data!$G:$G,Neutral!$A10,Data!$DI:$DI)+'Rate History'!$C$19*SUMIF(Data!$G:$G,Neutral!$A10,Data!$DJ:$DJ)+'Rate History'!$C$20*SUMIF(Data!$G:$G,Neutral!$A10,Data!$DK:$DK)+'Rate History'!$C$21*SUMIF(Data!$G:$G,Neutral!$A10,Data!$DL:$DL)+'Rate History'!$C$22*SUMIF(Data!$G:$G,Neutral!$A10,Data!$DM:$DM)+'Rate History'!$C$23*SUMIF(Data!$G:$G,Neutral!$A10,Data!$DN:$DN)+'Rate History'!$C$24*SUMIF(Data!$G:$G,Neutral!$A10,Data!$DO:$DO)+'Rate History'!$C$25*SUMIF(Data!$G:$G,Neutral!$A10,Data!$DP:$DP)+'Rate History'!$C$26*SUMIF(Data!$G:$G,Neutral!$A10,Data!$DQ:$DQ)+'Rate History'!$C$27*SUMIF(Data!$G:$G,Neutral!$A10,Data!$DR:$DR)+'Rate History'!$C$28*SUMIF(Data!$G:$G,Neutral!$A10,Data!$DS:$DS)+'Rate History'!$C$29*SUMIF(Data!$G:$G,Neutral!$A10,Data!$DT:$DT)+'Rate History'!$C$30*SUMIF(Data!$G:$G,Neutral!$A10,Data!$DV:$DV)+'Rate History'!$C$31*SUMIF(Data!$G:$G,Neutral!$A10,Data!$DW:$DW))</f>
        <v>41031963.89337346</v>
      </c>
      <c r="D10" s="170">
        <f t="shared" si="1"/>
        <v>-163207.71661353111</v>
      </c>
      <c r="E10" s="168">
        <f t="shared" si="0"/>
        <v>-3.9618166458606158E-3</v>
      </c>
    </row>
    <row r="11" spans="1:6" x14ac:dyDescent="0.25">
      <c r="A11" s="92" t="s">
        <v>357</v>
      </c>
      <c r="B11" s="169">
        <f>$B$5*('Rate History'!$D$4*SUMIF(Data!$G:$G,Neutral!$A11,Data!$CU:$CU)+'Rate History'!$D$5*SUMIF(Data!$G:$G,Neutral!$A11,Data!$CV:$CV)+'Rate History'!$D$6*SUMIF(Data!$G:$G,Neutral!$A11,Data!$CW:$CW)+'Rate History'!$D$7*SUMIF(Data!$G:$G,Neutral!$A11,Data!$CX:$CX)+'Rate History'!$D$8*SUMIF(Data!$G:$G,Neutral!$A11,Data!$CY:$CY)+'Rate History'!$D$9*SUMIF(Data!$G:$G,Neutral!$A11,Data!$CZ:$CZ)+'Rate History'!$D$10*SUMIF(Data!$G:$G,Neutral!$A11,Data!$DA:$DA)+'Rate History'!$D$11*SUMIF(Data!$G:$G,Neutral!$A11,Data!$DB:$DB)+'Rate History'!$D$12*SUMIF(Data!$G:$G,Neutral!$A11,Data!$DC:$DC)+'Rate History'!$D$13*SUMIF(Data!$G:$G,Neutral!$A11,Data!$DD:$DD)+'Rate History'!$D$14*SUMIF(Data!$G:$G,Neutral!$A11,Data!$DE:$DE)+'Rate History'!$D$15*SUMIF(Data!$G:$G,Neutral!$A11,Data!$DF:$DF)+'Rate History'!$D$16*SUMIF(Data!$G:$G,Neutral!$A11,Data!$DG:$DG)+'Rate History'!$D$17*SUMIF(Data!$G:$G,Neutral!$A11,Data!$DH:$DH)+'Rate History'!$D$18*SUMIF(Data!$G:$G,Neutral!$A11,Data!$DI:$DI)+'Rate History'!$D$19*SUMIF(Data!$G:$G,Neutral!$A11,Data!$DJ:$DJ)+'Rate History'!$D$20*SUMIF(Data!$G:$G,Neutral!$A11,Data!$DK:$DK)+'Rate History'!$D$21*SUMIF(Data!$G:$G,Neutral!$A11,Data!$DL:$DL)+'Rate History'!$D$22*SUMIF(Data!$G:$G,Neutral!$A11,Data!$DM:$DM)+'Rate History'!$D$23*SUMIF(Data!$G:$G,Neutral!$A11,Data!$DN:$DN)+'Rate History'!$D$24*SUMIF(Data!$G:$G,Neutral!$A11,Data!$DO:$DO)+'Rate History'!$D$25*SUMIF(Data!$G:$G,Neutral!$A11,Data!$DP:$DP)+'Rate History'!$D$26*SUMIF(Data!$G:$G,Neutral!$A11,Data!$DQ:$DQ)+'Rate History'!$D$27*SUMIF(Data!$G:$G,Neutral!$A11,Data!$DR:$DR)+'Rate History'!$D$28*SUMIF(Data!$G:$G,Neutral!$A11,Data!$DS:$DS)+'Rate History'!$D$29*SUMIF(Data!$G:$G,Neutral!$A11,Data!$DT:$DT)+'Rate History'!$D$30*SUMIF(Data!$G:$G,Neutral!$A11,Data!$DV:$DV)+'Rate History'!$D$31*SUMIF(Data!$G:$G,Neutral!$A11,Data!$DW:$DW))</f>
        <v>21182966.004840799</v>
      </c>
      <c r="C11" s="169">
        <f>$C$5*('Rate History'!$C$4*SUMIF(Data!$G:$G,Neutral!$A11,Data!$CU:$CU)+'Rate History'!$C$5*SUMIF(Data!$G:$G,Neutral!$A11,Data!$CV:$CV)+'Rate History'!$C$6*SUMIF(Data!$G:$G,Neutral!$A11,Data!$CW:$CW)+'Rate History'!$C$7*SUMIF(Data!$G:$G,Neutral!$A11,Data!$CX:$CX)+'Rate History'!$C$8*SUMIF(Data!$G:$G,Neutral!$A11,Data!$CY:$CY)+'Rate History'!$C$9*SUMIF(Data!$G:$G,Neutral!$A11,Data!$CZ:$CZ)+'Rate History'!$C$10*SUMIF(Data!$G:$G,Neutral!$A11,Data!$DA:$DA)+'Rate History'!$C$11*SUMIF(Data!$G:$G,Neutral!$A11,Data!$DB:$DB)+'Rate History'!$C$12*SUMIF(Data!$G:$G,Neutral!$A11,Data!$DC:$DC)+'Rate History'!$C$13*SUMIF(Data!$G:$G,Neutral!$A11,Data!$DD:$DD)+'Rate History'!$C$14*SUMIF(Data!$G:$G,Neutral!$A11,Data!$DE:$DE)+'Rate History'!$C$15*SUMIF(Data!$G:$G,Neutral!$A11,Data!$DF:$DF)+'Rate History'!$C$16*SUMIF(Data!$G:$G,Neutral!$A11,Data!$DG:$DG)+'Rate History'!$C$17*SUMIF(Data!$G:$G,Neutral!$A11,Data!$DH:$DH)+'Rate History'!$C$18*SUMIF(Data!$G:$G,Neutral!$A11,Data!$DI:$DI)+'Rate History'!$C$19*SUMIF(Data!$G:$G,Neutral!$A11,Data!$DJ:$DJ)+'Rate History'!$C$20*SUMIF(Data!$G:$G,Neutral!$A11,Data!$DK:$DK)+'Rate History'!$C$21*SUMIF(Data!$G:$G,Neutral!$A11,Data!$DL:$DL)+'Rate History'!$C$22*SUMIF(Data!$G:$G,Neutral!$A11,Data!$DM:$DM)+'Rate History'!$C$23*SUMIF(Data!$G:$G,Neutral!$A11,Data!$DN:$DN)+'Rate History'!$C$24*SUMIF(Data!$G:$G,Neutral!$A11,Data!$DO:$DO)+'Rate History'!$C$25*SUMIF(Data!$G:$G,Neutral!$A11,Data!$DP:$DP)+'Rate History'!$C$26*SUMIF(Data!$G:$G,Neutral!$A11,Data!$DQ:$DQ)+'Rate History'!$C$27*SUMIF(Data!$G:$G,Neutral!$A11,Data!$DR:$DR)+'Rate History'!$C$28*SUMIF(Data!$G:$G,Neutral!$A11,Data!$DS:$DS)+'Rate History'!$C$29*SUMIF(Data!$G:$G,Neutral!$A11,Data!$DT:$DT)+'Rate History'!$C$30*SUMIF(Data!$G:$G,Neutral!$A11,Data!$DV:$DV)+'Rate History'!$C$31*SUMIF(Data!$G:$G,Neutral!$A11,Data!$DW:$DW))</f>
        <v>21185954.236297134</v>
      </c>
      <c r="D11" s="170">
        <f t="shared" si="1"/>
        <v>2988.231456335634</v>
      </c>
      <c r="E11" s="168">
        <f t="shared" si="0"/>
        <v>1.4106766048025351E-4</v>
      </c>
    </row>
    <row r="12" spans="1:6" x14ac:dyDescent="0.25">
      <c r="A12" s="92" t="s">
        <v>428</v>
      </c>
      <c r="B12" s="169">
        <f>$B$5*('Rate History'!$D$4*SUMIF(Data!$G:$G,Neutral!$A12,Data!$CU:$CU)+'Rate History'!$D$5*SUMIF(Data!$G:$G,Neutral!$A12,Data!$CV:$CV)+'Rate History'!$D$6*SUMIF(Data!$G:$G,Neutral!$A12,Data!$CW:$CW)+'Rate History'!$D$7*SUMIF(Data!$G:$G,Neutral!$A12,Data!$CX:$CX)+'Rate History'!$D$8*SUMIF(Data!$G:$G,Neutral!$A12,Data!$CY:$CY)+'Rate History'!$D$9*SUMIF(Data!$G:$G,Neutral!$A12,Data!$CZ:$CZ)+'Rate History'!$D$10*SUMIF(Data!$G:$G,Neutral!$A12,Data!$DA:$DA)+'Rate History'!$D$11*SUMIF(Data!$G:$G,Neutral!$A12,Data!$DB:$DB)+'Rate History'!$D$12*SUMIF(Data!$G:$G,Neutral!$A12,Data!$DC:$DC)+'Rate History'!$D$13*SUMIF(Data!$G:$G,Neutral!$A12,Data!$DD:$DD)+'Rate History'!$D$14*SUMIF(Data!$G:$G,Neutral!$A12,Data!$DE:$DE)+'Rate History'!$D$15*SUMIF(Data!$G:$G,Neutral!$A12,Data!$DF:$DF)+'Rate History'!$D$16*SUMIF(Data!$G:$G,Neutral!$A12,Data!$DG:$DG)+'Rate History'!$D$17*SUMIF(Data!$G:$G,Neutral!$A12,Data!$DH:$DH)+'Rate History'!$D$18*SUMIF(Data!$G:$G,Neutral!$A12,Data!$DI:$DI)+'Rate History'!$D$19*SUMIF(Data!$G:$G,Neutral!$A12,Data!$DJ:$DJ)+'Rate History'!$D$20*SUMIF(Data!$G:$G,Neutral!$A12,Data!$DK:$DK)+'Rate History'!$D$21*SUMIF(Data!$G:$G,Neutral!$A12,Data!$DL:$DL)+'Rate History'!$D$22*SUMIF(Data!$G:$G,Neutral!$A12,Data!$DM:$DM)+'Rate History'!$D$23*SUMIF(Data!$G:$G,Neutral!$A12,Data!$DN:$DN)+'Rate History'!$D$24*SUMIF(Data!$G:$G,Neutral!$A12,Data!$DO:$DO)+'Rate History'!$D$25*SUMIF(Data!$G:$G,Neutral!$A12,Data!$DP:$DP)+'Rate History'!$D$26*SUMIF(Data!$G:$G,Neutral!$A12,Data!$DQ:$DQ)+'Rate History'!$D$27*SUMIF(Data!$G:$G,Neutral!$A12,Data!$DR:$DR)+'Rate History'!$D$28*SUMIF(Data!$G:$G,Neutral!$A12,Data!$DS:$DS)+'Rate History'!$D$29*SUMIF(Data!$G:$G,Neutral!$A12,Data!$DT:$DT)+'Rate History'!$D$30*SUMIF(Data!$G:$G,Neutral!$A12,Data!$DV:$DV)+'Rate History'!$D$31*SUMIF(Data!$G:$G,Neutral!$A12,Data!$DW:$DW))</f>
        <v>6565870.0795591129</v>
      </c>
      <c r="C12" s="169">
        <f>$C$5*('Rate History'!$C$4*SUMIF(Data!$G:$G,Neutral!$A12,Data!$CU:$CU)+'Rate History'!$C$5*SUMIF(Data!$G:$G,Neutral!$A12,Data!$CV:$CV)+'Rate History'!$C$6*SUMIF(Data!$G:$G,Neutral!$A12,Data!$CW:$CW)+'Rate History'!$C$7*SUMIF(Data!$G:$G,Neutral!$A12,Data!$CX:$CX)+'Rate History'!$C$8*SUMIF(Data!$G:$G,Neutral!$A12,Data!$CY:$CY)+'Rate History'!$C$9*SUMIF(Data!$G:$G,Neutral!$A12,Data!$CZ:$CZ)+'Rate History'!$C$10*SUMIF(Data!$G:$G,Neutral!$A12,Data!$DA:$DA)+'Rate History'!$C$11*SUMIF(Data!$G:$G,Neutral!$A12,Data!$DB:$DB)+'Rate History'!$C$12*SUMIF(Data!$G:$G,Neutral!$A12,Data!$DC:$DC)+'Rate History'!$C$13*SUMIF(Data!$G:$G,Neutral!$A12,Data!$DD:$DD)+'Rate History'!$C$14*SUMIF(Data!$G:$G,Neutral!$A12,Data!$DE:$DE)+'Rate History'!$C$15*SUMIF(Data!$G:$G,Neutral!$A12,Data!$DF:$DF)+'Rate History'!$C$16*SUMIF(Data!$G:$G,Neutral!$A12,Data!$DG:$DG)+'Rate History'!$C$17*SUMIF(Data!$G:$G,Neutral!$A12,Data!$DH:$DH)+'Rate History'!$C$18*SUMIF(Data!$G:$G,Neutral!$A12,Data!$DI:$DI)+'Rate History'!$C$19*SUMIF(Data!$G:$G,Neutral!$A12,Data!$DJ:$DJ)+'Rate History'!$C$20*SUMIF(Data!$G:$G,Neutral!$A12,Data!$DK:$DK)+'Rate History'!$C$21*SUMIF(Data!$G:$G,Neutral!$A12,Data!$DL:$DL)+'Rate History'!$C$22*SUMIF(Data!$G:$G,Neutral!$A12,Data!$DM:$DM)+'Rate History'!$C$23*SUMIF(Data!$G:$G,Neutral!$A12,Data!$DN:$DN)+'Rate History'!$C$24*SUMIF(Data!$G:$G,Neutral!$A12,Data!$DO:$DO)+'Rate History'!$C$25*SUMIF(Data!$G:$G,Neutral!$A12,Data!$DP:$DP)+'Rate History'!$C$26*SUMIF(Data!$G:$G,Neutral!$A12,Data!$DQ:$DQ)+'Rate History'!$C$27*SUMIF(Data!$G:$G,Neutral!$A12,Data!$DR:$DR)+'Rate History'!$C$28*SUMIF(Data!$G:$G,Neutral!$A12,Data!$DS:$DS)+'Rate History'!$C$29*SUMIF(Data!$G:$G,Neutral!$A12,Data!$DT:$DT)+'Rate History'!$C$30*SUMIF(Data!$G:$G,Neutral!$A12,Data!$DV:$DV)+'Rate History'!$C$31*SUMIF(Data!$G:$G,Neutral!$A12,Data!$DW:$DW))</f>
        <v>6596066.2054714151</v>
      </c>
      <c r="D12" s="170">
        <f t="shared" si="1"/>
        <v>30196.125912302174</v>
      </c>
      <c r="E12" s="168">
        <f t="shared" si="0"/>
        <v>4.5989526972683862E-3</v>
      </c>
    </row>
    <row r="13" spans="1:6" x14ac:dyDescent="0.25">
      <c r="A13" s="92" t="s">
        <v>420</v>
      </c>
      <c r="B13" s="169">
        <f>$B$5*('Rate History'!$D$4*SUMIF(Data!$G:$G,Neutral!$A13,Data!$CU:$CU)+'Rate History'!$D$5*SUMIF(Data!$G:$G,Neutral!$A13,Data!$CV:$CV)+'Rate History'!$D$6*SUMIF(Data!$G:$G,Neutral!$A13,Data!$CW:$CW)+'Rate History'!$D$7*SUMIF(Data!$G:$G,Neutral!$A13,Data!$CX:$CX)+'Rate History'!$D$8*SUMIF(Data!$G:$G,Neutral!$A13,Data!$CY:$CY)+'Rate History'!$D$9*SUMIF(Data!$G:$G,Neutral!$A13,Data!$CZ:$CZ)+'Rate History'!$D$10*SUMIF(Data!$G:$G,Neutral!$A13,Data!$DA:$DA)+'Rate History'!$D$11*SUMIF(Data!$G:$G,Neutral!$A13,Data!$DB:$DB)+'Rate History'!$D$12*SUMIF(Data!$G:$G,Neutral!$A13,Data!$DC:$DC)+'Rate History'!$D$13*SUMIF(Data!$G:$G,Neutral!$A13,Data!$DD:$DD)+'Rate History'!$D$14*SUMIF(Data!$G:$G,Neutral!$A13,Data!$DE:$DE)+'Rate History'!$D$15*SUMIF(Data!$G:$G,Neutral!$A13,Data!$DF:$DF)+'Rate History'!$D$16*SUMIF(Data!$G:$G,Neutral!$A13,Data!$DG:$DG)+'Rate History'!$D$17*SUMIF(Data!$G:$G,Neutral!$A13,Data!$DH:$DH)+'Rate History'!$D$18*SUMIF(Data!$G:$G,Neutral!$A13,Data!$DI:$DI)+'Rate History'!$D$19*SUMIF(Data!$G:$G,Neutral!$A13,Data!$DJ:$DJ)+'Rate History'!$D$20*SUMIF(Data!$G:$G,Neutral!$A13,Data!$DK:$DK)+'Rate History'!$D$21*SUMIF(Data!$G:$G,Neutral!$A13,Data!$DL:$DL)+'Rate History'!$D$22*SUMIF(Data!$G:$G,Neutral!$A13,Data!$DM:$DM)+'Rate History'!$D$23*SUMIF(Data!$G:$G,Neutral!$A13,Data!$DN:$DN)+'Rate History'!$D$24*SUMIF(Data!$G:$G,Neutral!$A13,Data!$DO:$DO)+'Rate History'!$D$25*SUMIF(Data!$G:$G,Neutral!$A13,Data!$DP:$DP)+'Rate History'!$D$26*SUMIF(Data!$G:$G,Neutral!$A13,Data!$DQ:$DQ)+'Rate History'!$D$27*SUMIF(Data!$G:$G,Neutral!$A13,Data!$DR:$DR)+'Rate History'!$D$28*SUMIF(Data!$G:$G,Neutral!$A13,Data!$DS:$DS)+'Rate History'!$D$29*SUMIF(Data!$G:$G,Neutral!$A13,Data!$DT:$DT)+'Rate History'!$D$30*SUMIF(Data!$G:$G,Neutral!$A13,Data!$DV:$DV)+'Rate History'!$D$31*SUMIF(Data!$G:$G,Neutral!$A13,Data!$DW:$DW))</f>
        <v>19711660.929066896</v>
      </c>
      <c r="C13" s="169">
        <f>$C$5*('Rate History'!$C$4*SUMIF(Data!$G:$G,Neutral!$A13,Data!$CU:$CU)+'Rate History'!$C$5*SUMIF(Data!$G:$G,Neutral!$A13,Data!$CV:$CV)+'Rate History'!$C$6*SUMIF(Data!$G:$G,Neutral!$A13,Data!$CW:$CW)+'Rate History'!$C$7*SUMIF(Data!$G:$G,Neutral!$A13,Data!$CX:$CX)+'Rate History'!$C$8*SUMIF(Data!$G:$G,Neutral!$A13,Data!$CY:$CY)+'Rate History'!$C$9*SUMIF(Data!$G:$G,Neutral!$A13,Data!$CZ:$CZ)+'Rate History'!$C$10*SUMIF(Data!$G:$G,Neutral!$A13,Data!$DA:$DA)+'Rate History'!$C$11*SUMIF(Data!$G:$G,Neutral!$A13,Data!$DB:$DB)+'Rate History'!$C$12*SUMIF(Data!$G:$G,Neutral!$A13,Data!$DC:$DC)+'Rate History'!$C$13*SUMIF(Data!$G:$G,Neutral!$A13,Data!$DD:$DD)+'Rate History'!$C$14*SUMIF(Data!$G:$G,Neutral!$A13,Data!$DE:$DE)+'Rate History'!$C$15*SUMIF(Data!$G:$G,Neutral!$A13,Data!$DF:$DF)+'Rate History'!$C$16*SUMIF(Data!$G:$G,Neutral!$A13,Data!$DG:$DG)+'Rate History'!$C$17*SUMIF(Data!$G:$G,Neutral!$A13,Data!$DH:$DH)+'Rate History'!$C$18*SUMIF(Data!$G:$G,Neutral!$A13,Data!$DI:$DI)+'Rate History'!$C$19*SUMIF(Data!$G:$G,Neutral!$A13,Data!$DJ:$DJ)+'Rate History'!$C$20*SUMIF(Data!$G:$G,Neutral!$A13,Data!$DK:$DK)+'Rate History'!$C$21*SUMIF(Data!$G:$G,Neutral!$A13,Data!$DL:$DL)+'Rate History'!$C$22*SUMIF(Data!$G:$G,Neutral!$A13,Data!$DM:$DM)+'Rate History'!$C$23*SUMIF(Data!$G:$G,Neutral!$A13,Data!$DN:$DN)+'Rate History'!$C$24*SUMIF(Data!$G:$G,Neutral!$A13,Data!$DO:$DO)+'Rate History'!$C$25*SUMIF(Data!$G:$G,Neutral!$A13,Data!$DP:$DP)+'Rate History'!$C$26*SUMIF(Data!$G:$G,Neutral!$A13,Data!$DQ:$DQ)+'Rate History'!$C$27*SUMIF(Data!$G:$G,Neutral!$A13,Data!$DR:$DR)+'Rate History'!$C$28*SUMIF(Data!$G:$G,Neutral!$A13,Data!$DS:$DS)+'Rate History'!$C$29*SUMIF(Data!$G:$G,Neutral!$A13,Data!$DT:$DT)+'Rate History'!$C$30*SUMIF(Data!$G:$G,Neutral!$A13,Data!$DV:$DV)+'Rate History'!$C$31*SUMIF(Data!$G:$G,Neutral!$A13,Data!$DW:$DW))</f>
        <v>19656155.204333872</v>
      </c>
      <c r="D13" s="170">
        <f t="shared" si="1"/>
        <v>-55505.724733024836</v>
      </c>
      <c r="E13" s="168">
        <f t="shared" si="0"/>
        <v>-2.8158826865358599E-3</v>
      </c>
    </row>
    <row r="14" spans="1:6" x14ac:dyDescent="0.25">
      <c r="A14" s="92" t="s">
        <v>359</v>
      </c>
      <c r="B14" s="169">
        <f>$B$5*('Rate History'!$D$4*SUMIF(Data!$G:$G,Neutral!$A14,Data!$CU:$CU)+'Rate History'!$D$5*SUMIF(Data!$G:$G,Neutral!$A14,Data!$CV:$CV)+'Rate History'!$D$6*SUMIF(Data!$G:$G,Neutral!$A14,Data!$CW:$CW)+'Rate History'!$D$7*SUMIF(Data!$G:$G,Neutral!$A14,Data!$CX:$CX)+'Rate History'!$D$8*SUMIF(Data!$G:$G,Neutral!$A14,Data!$CY:$CY)+'Rate History'!$D$9*SUMIF(Data!$G:$G,Neutral!$A14,Data!$CZ:$CZ)+'Rate History'!$D$10*SUMIF(Data!$G:$G,Neutral!$A14,Data!$DA:$DA)+'Rate History'!$D$11*SUMIF(Data!$G:$G,Neutral!$A14,Data!$DB:$DB)+'Rate History'!$D$12*SUMIF(Data!$G:$G,Neutral!$A14,Data!$DC:$DC)+'Rate History'!$D$13*SUMIF(Data!$G:$G,Neutral!$A14,Data!$DD:$DD)+'Rate History'!$D$14*SUMIF(Data!$G:$G,Neutral!$A14,Data!$DE:$DE)+'Rate History'!$D$15*SUMIF(Data!$G:$G,Neutral!$A14,Data!$DF:$DF)+'Rate History'!$D$16*SUMIF(Data!$G:$G,Neutral!$A14,Data!$DG:$DG)+'Rate History'!$D$17*SUMIF(Data!$G:$G,Neutral!$A14,Data!$DH:$DH)+'Rate History'!$D$18*SUMIF(Data!$G:$G,Neutral!$A14,Data!$DI:$DI)+'Rate History'!$D$19*SUMIF(Data!$G:$G,Neutral!$A14,Data!$DJ:$DJ)+'Rate History'!$D$20*SUMIF(Data!$G:$G,Neutral!$A14,Data!$DK:$DK)+'Rate History'!$D$21*SUMIF(Data!$G:$G,Neutral!$A14,Data!$DL:$DL)+'Rate History'!$D$22*SUMIF(Data!$G:$G,Neutral!$A14,Data!$DM:$DM)+'Rate History'!$D$23*SUMIF(Data!$G:$G,Neutral!$A14,Data!$DN:$DN)+'Rate History'!$D$24*SUMIF(Data!$G:$G,Neutral!$A14,Data!$DO:$DO)+'Rate History'!$D$25*SUMIF(Data!$G:$G,Neutral!$A14,Data!$DP:$DP)+'Rate History'!$D$26*SUMIF(Data!$G:$G,Neutral!$A14,Data!$DQ:$DQ)+'Rate History'!$D$27*SUMIF(Data!$G:$G,Neutral!$A14,Data!$DR:$DR)+'Rate History'!$D$28*SUMIF(Data!$G:$G,Neutral!$A14,Data!$DS:$DS)+'Rate History'!$D$29*SUMIF(Data!$G:$G,Neutral!$A14,Data!$DT:$DT)+'Rate History'!$D$30*SUMIF(Data!$G:$G,Neutral!$A14,Data!$DV:$DV)+'Rate History'!$D$31*SUMIF(Data!$G:$G,Neutral!$A14,Data!$DW:$DW))</f>
        <v>4933462.6064479286</v>
      </c>
      <c r="C14" s="169">
        <f>$C$5*('Rate History'!$C$4*SUMIF(Data!$G:$G,Neutral!$A14,Data!$CU:$CU)+'Rate History'!$C$5*SUMIF(Data!$G:$G,Neutral!$A14,Data!$CV:$CV)+'Rate History'!$C$6*SUMIF(Data!$G:$G,Neutral!$A14,Data!$CW:$CW)+'Rate History'!$C$7*SUMIF(Data!$G:$G,Neutral!$A14,Data!$CX:$CX)+'Rate History'!$C$8*SUMIF(Data!$G:$G,Neutral!$A14,Data!$CY:$CY)+'Rate History'!$C$9*SUMIF(Data!$G:$G,Neutral!$A14,Data!$CZ:$CZ)+'Rate History'!$C$10*SUMIF(Data!$G:$G,Neutral!$A14,Data!$DA:$DA)+'Rate History'!$C$11*SUMIF(Data!$G:$G,Neutral!$A14,Data!$DB:$DB)+'Rate History'!$C$12*SUMIF(Data!$G:$G,Neutral!$A14,Data!$DC:$DC)+'Rate History'!$C$13*SUMIF(Data!$G:$G,Neutral!$A14,Data!$DD:$DD)+'Rate History'!$C$14*SUMIF(Data!$G:$G,Neutral!$A14,Data!$DE:$DE)+'Rate History'!$C$15*SUMIF(Data!$G:$G,Neutral!$A14,Data!$DF:$DF)+'Rate History'!$C$16*SUMIF(Data!$G:$G,Neutral!$A14,Data!$DG:$DG)+'Rate History'!$C$17*SUMIF(Data!$G:$G,Neutral!$A14,Data!$DH:$DH)+'Rate History'!$C$18*SUMIF(Data!$G:$G,Neutral!$A14,Data!$DI:$DI)+'Rate History'!$C$19*SUMIF(Data!$G:$G,Neutral!$A14,Data!$DJ:$DJ)+'Rate History'!$C$20*SUMIF(Data!$G:$G,Neutral!$A14,Data!$DK:$DK)+'Rate History'!$C$21*SUMIF(Data!$G:$G,Neutral!$A14,Data!$DL:$DL)+'Rate History'!$C$22*SUMIF(Data!$G:$G,Neutral!$A14,Data!$DM:$DM)+'Rate History'!$C$23*SUMIF(Data!$G:$G,Neutral!$A14,Data!$DN:$DN)+'Rate History'!$C$24*SUMIF(Data!$G:$G,Neutral!$A14,Data!$DO:$DO)+'Rate History'!$C$25*SUMIF(Data!$G:$G,Neutral!$A14,Data!$DP:$DP)+'Rate History'!$C$26*SUMIF(Data!$G:$G,Neutral!$A14,Data!$DQ:$DQ)+'Rate History'!$C$27*SUMIF(Data!$G:$G,Neutral!$A14,Data!$DR:$DR)+'Rate History'!$C$28*SUMIF(Data!$G:$G,Neutral!$A14,Data!$DS:$DS)+'Rate History'!$C$29*SUMIF(Data!$G:$G,Neutral!$A14,Data!$DT:$DT)+'Rate History'!$C$30*SUMIF(Data!$G:$G,Neutral!$A14,Data!$DV:$DV)+'Rate History'!$C$31*SUMIF(Data!$G:$G,Neutral!$A14,Data!$DW:$DW))</f>
        <v>4920081.3317811973</v>
      </c>
      <c r="D14" s="170">
        <f t="shared" si="1"/>
        <v>-13381.274666731246</v>
      </c>
      <c r="E14" s="168">
        <f t="shared" si="0"/>
        <v>-2.7123494661218696E-3</v>
      </c>
    </row>
    <row r="15" spans="1:6" x14ac:dyDescent="0.25">
      <c r="A15" s="92" t="s">
        <v>361</v>
      </c>
      <c r="B15" s="169">
        <f>$B$5*('Rate History'!$D$4*SUMIF(Data!$G:$G,Neutral!$A15,Data!$CU:$CU)+'Rate History'!$D$5*SUMIF(Data!$G:$G,Neutral!$A15,Data!$CV:$CV)+'Rate History'!$D$6*SUMIF(Data!$G:$G,Neutral!$A15,Data!$CW:$CW)+'Rate History'!$D$7*SUMIF(Data!$G:$G,Neutral!$A15,Data!$CX:$CX)+'Rate History'!$D$8*SUMIF(Data!$G:$G,Neutral!$A15,Data!$CY:$CY)+'Rate History'!$D$9*SUMIF(Data!$G:$G,Neutral!$A15,Data!$CZ:$CZ)+'Rate History'!$D$10*SUMIF(Data!$G:$G,Neutral!$A15,Data!$DA:$DA)+'Rate History'!$D$11*SUMIF(Data!$G:$G,Neutral!$A15,Data!$DB:$DB)+'Rate History'!$D$12*SUMIF(Data!$G:$G,Neutral!$A15,Data!$DC:$DC)+'Rate History'!$D$13*SUMIF(Data!$G:$G,Neutral!$A15,Data!$DD:$DD)+'Rate History'!$D$14*SUMIF(Data!$G:$G,Neutral!$A15,Data!$DE:$DE)+'Rate History'!$D$15*SUMIF(Data!$G:$G,Neutral!$A15,Data!$DF:$DF)+'Rate History'!$D$16*SUMIF(Data!$G:$G,Neutral!$A15,Data!$DG:$DG)+'Rate History'!$D$17*SUMIF(Data!$G:$G,Neutral!$A15,Data!$DH:$DH)+'Rate History'!$D$18*SUMIF(Data!$G:$G,Neutral!$A15,Data!$DI:$DI)+'Rate History'!$D$19*SUMIF(Data!$G:$G,Neutral!$A15,Data!$DJ:$DJ)+'Rate History'!$D$20*SUMIF(Data!$G:$G,Neutral!$A15,Data!$DK:$DK)+'Rate History'!$D$21*SUMIF(Data!$G:$G,Neutral!$A15,Data!$DL:$DL)+'Rate History'!$D$22*SUMIF(Data!$G:$G,Neutral!$A15,Data!$DM:$DM)+'Rate History'!$D$23*SUMIF(Data!$G:$G,Neutral!$A15,Data!$DN:$DN)+'Rate History'!$D$24*SUMIF(Data!$G:$G,Neutral!$A15,Data!$DO:$DO)+'Rate History'!$D$25*SUMIF(Data!$G:$G,Neutral!$A15,Data!$DP:$DP)+'Rate History'!$D$26*SUMIF(Data!$G:$G,Neutral!$A15,Data!$DQ:$DQ)+'Rate History'!$D$27*SUMIF(Data!$G:$G,Neutral!$A15,Data!$DR:$DR)+'Rate History'!$D$28*SUMIF(Data!$G:$G,Neutral!$A15,Data!$DS:$DS)+'Rate History'!$D$29*SUMIF(Data!$G:$G,Neutral!$A15,Data!$DT:$DT)+'Rate History'!$D$30*SUMIF(Data!$G:$G,Neutral!$A15,Data!$DV:$DV)+'Rate History'!$D$31*SUMIF(Data!$G:$G,Neutral!$A15,Data!$DW:$DW))</f>
        <v>1543642.3692972742</v>
      </c>
      <c r="C15" s="169">
        <f>$C$5*('Rate History'!$C$4*SUMIF(Data!$G:$G,Neutral!$A15,Data!$CU:$CU)+'Rate History'!$C$5*SUMIF(Data!$G:$G,Neutral!$A15,Data!$CV:$CV)+'Rate History'!$C$6*SUMIF(Data!$G:$G,Neutral!$A15,Data!$CW:$CW)+'Rate History'!$C$7*SUMIF(Data!$G:$G,Neutral!$A15,Data!$CX:$CX)+'Rate History'!$C$8*SUMIF(Data!$G:$G,Neutral!$A15,Data!$CY:$CY)+'Rate History'!$C$9*SUMIF(Data!$G:$G,Neutral!$A15,Data!$CZ:$CZ)+'Rate History'!$C$10*SUMIF(Data!$G:$G,Neutral!$A15,Data!$DA:$DA)+'Rate History'!$C$11*SUMIF(Data!$G:$G,Neutral!$A15,Data!$DB:$DB)+'Rate History'!$C$12*SUMIF(Data!$G:$G,Neutral!$A15,Data!$DC:$DC)+'Rate History'!$C$13*SUMIF(Data!$G:$G,Neutral!$A15,Data!$DD:$DD)+'Rate History'!$C$14*SUMIF(Data!$G:$G,Neutral!$A15,Data!$DE:$DE)+'Rate History'!$C$15*SUMIF(Data!$G:$G,Neutral!$A15,Data!$DF:$DF)+'Rate History'!$C$16*SUMIF(Data!$G:$G,Neutral!$A15,Data!$DG:$DG)+'Rate History'!$C$17*SUMIF(Data!$G:$G,Neutral!$A15,Data!$DH:$DH)+'Rate History'!$C$18*SUMIF(Data!$G:$G,Neutral!$A15,Data!$DI:$DI)+'Rate History'!$C$19*SUMIF(Data!$G:$G,Neutral!$A15,Data!$DJ:$DJ)+'Rate History'!$C$20*SUMIF(Data!$G:$G,Neutral!$A15,Data!$DK:$DK)+'Rate History'!$C$21*SUMIF(Data!$G:$G,Neutral!$A15,Data!$DL:$DL)+'Rate History'!$C$22*SUMIF(Data!$G:$G,Neutral!$A15,Data!$DM:$DM)+'Rate History'!$C$23*SUMIF(Data!$G:$G,Neutral!$A15,Data!$DN:$DN)+'Rate History'!$C$24*SUMIF(Data!$G:$G,Neutral!$A15,Data!$DO:$DO)+'Rate History'!$C$25*SUMIF(Data!$G:$G,Neutral!$A15,Data!$DP:$DP)+'Rate History'!$C$26*SUMIF(Data!$G:$G,Neutral!$A15,Data!$DQ:$DQ)+'Rate History'!$C$27*SUMIF(Data!$G:$G,Neutral!$A15,Data!$DR:$DR)+'Rate History'!$C$28*SUMIF(Data!$G:$G,Neutral!$A15,Data!$DS:$DS)+'Rate History'!$C$29*SUMIF(Data!$G:$G,Neutral!$A15,Data!$DT:$DT)+'Rate History'!$C$30*SUMIF(Data!$G:$G,Neutral!$A15,Data!$DV:$DV)+'Rate History'!$C$31*SUMIF(Data!$G:$G,Neutral!$A15,Data!$DW:$DW))</f>
        <v>1552578.8765270337</v>
      </c>
      <c r="D15" s="170">
        <f t="shared" si="1"/>
        <v>8936.5072297595907</v>
      </c>
      <c r="E15" s="168">
        <f t="shared" si="0"/>
        <v>5.7892342212839329E-3</v>
      </c>
    </row>
    <row r="16" spans="1:6" x14ac:dyDescent="0.25">
      <c r="A16" s="92" t="s">
        <v>355</v>
      </c>
      <c r="B16" s="169">
        <f>$B$5*('Rate History'!$D$4*SUMIF(Data!$G:$G,Neutral!$A16,Data!$CU:$CU)+'Rate History'!$D$5*SUMIF(Data!$G:$G,Neutral!$A16,Data!$CV:$CV)+'Rate History'!$D$6*SUMIF(Data!$G:$G,Neutral!$A16,Data!$CW:$CW)+'Rate History'!$D$7*SUMIF(Data!$G:$G,Neutral!$A16,Data!$CX:$CX)+'Rate History'!$D$8*SUMIF(Data!$G:$G,Neutral!$A16,Data!$CY:$CY)+'Rate History'!$D$9*SUMIF(Data!$G:$G,Neutral!$A16,Data!$CZ:$CZ)+'Rate History'!$D$10*SUMIF(Data!$G:$G,Neutral!$A16,Data!$DA:$DA)+'Rate History'!$D$11*SUMIF(Data!$G:$G,Neutral!$A16,Data!$DB:$DB)+'Rate History'!$D$12*SUMIF(Data!$G:$G,Neutral!$A16,Data!$DC:$DC)+'Rate History'!$D$13*SUMIF(Data!$G:$G,Neutral!$A16,Data!$DD:$DD)+'Rate History'!$D$14*SUMIF(Data!$G:$G,Neutral!$A16,Data!$DE:$DE)+'Rate History'!$D$15*SUMIF(Data!$G:$G,Neutral!$A16,Data!$DF:$DF)+'Rate History'!$D$16*SUMIF(Data!$G:$G,Neutral!$A16,Data!$DG:$DG)+'Rate History'!$D$17*SUMIF(Data!$G:$G,Neutral!$A16,Data!$DH:$DH)+'Rate History'!$D$18*SUMIF(Data!$G:$G,Neutral!$A16,Data!$DI:$DI)+'Rate History'!$D$19*SUMIF(Data!$G:$G,Neutral!$A16,Data!$DJ:$DJ)+'Rate History'!$D$20*SUMIF(Data!$G:$G,Neutral!$A16,Data!$DK:$DK)+'Rate History'!$D$21*SUMIF(Data!$G:$G,Neutral!$A16,Data!$DL:$DL)+'Rate History'!$D$22*SUMIF(Data!$G:$G,Neutral!$A16,Data!$DM:$DM)+'Rate History'!$D$23*SUMIF(Data!$G:$G,Neutral!$A16,Data!$DN:$DN)+'Rate History'!$D$24*SUMIF(Data!$G:$G,Neutral!$A16,Data!$DO:$DO)+'Rate History'!$D$25*SUMIF(Data!$G:$G,Neutral!$A16,Data!$DP:$DP)+'Rate History'!$D$26*SUMIF(Data!$G:$G,Neutral!$A16,Data!$DQ:$DQ)+'Rate History'!$D$27*SUMIF(Data!$G:$G,Neutral!$A16,Data!$DR:$DR)+'Rate History'!$D$28*SUMIF(Data!$G:$G,Neutral!$A16,Data!$DS:$DS)+'Rate History'!$D$29*SUMIF(Data!$G:$G,Neutral!$A16,Data!$DT:$DT)+'Rate History'!$D$30*SUMIF(Data!$G:$G,Neutral!$A16,Data!$DV:$DV)+'Rate History'!$D$31*SUMIF(Data!$G:$G,Neutral!$A16,Data!$DW:$DW))</f>
        <v>7402044.5250896439</v>
      </c>
      <c r="C16" s="169">
        <f>$C$5*('Rate History'!$C$4*SUMIF(Data!$G:$G,Neutral!$A16,Data!$CU:$CU)+'Rate History'!$C$5*SUMIF(Data!$G:$G,Neutral!$A16,Data!$CV:$CV)+'Rate History'!$C$6*SUMIF(Data!$G:$G,Neutral!$A16,Data!$CW:$CW)+'Rate History'!$C$7*SUMIF(Data!$G:$G,Neutral!$A16,Data!$CX:$CX)+'Rate History'!$C$8*SUMIF(Data!$G:$G,Neutral!$A16,Data!$CY:$CY)+'Rate History'!$C$9*SUMIF(Data!$G:$G,Neutral!$A16,Data!$CZ:$CZ)+'Rate History'!$C$10*SUMIF(Data!$G:$G,Neutral!$A16,Data!$DA:$DA)+'Rate History'!$C$11*SUMIF(Data!$G:$G,Neutral!$A16,Data!$DB:$DB)+'Rate History'!$C$12*SUMIF(Data!$G:$G,Neutral!$A16,Data!$DC:$DC)+'Rate History'!$C$13*SUMIF(Data!$G:$G,Neutral!$A16,Data!$DD:$DD)+'Rate History'!$C$14*SUMIF(Data!$G:$G,Neutral!$A16,Data!$DE:$DE)+'Rate History'!$C$15*SUMIF(Data!$G:$G,Neutral!$A16,Data!$DF:$DF)+'Rate History'!$C$16*SUMIF(Data!$G:$G,Neutral!$A16,Data!$DG:$DG)+'Rate History'!$C$17*SUMIF(Data!$G:$G,Neutral!$A16,Data!$DH:$DH)+'Rate History'!$C$18*SUMIF(Data!$G:$G,Neutral!$A16,Data!$DI:$DI)+'Rate History'!$C$19*SUMIF(Data!$G:$G,Neutral!$A16,Data!$DJ:$DJ)+'Rate History'!$C$20*SUMIF(Data!$G:$G,Neutral!$A16,Data!$DK:$DK)+'Rate History'!$C$21*SUMIF(Data!$G:$G,Neutral!$A16,Data!$DL:$DL)+'Rate History'!$C$22*SUMIF(Data!$G:$G,Neutral!$A16,Data!$DM:$DM)+'Rate History'!$C$23*SUMIF(Data!$G:$G,Neutral!$A16,Data!$DN:$DN)+'Rate History'!$C$24*SUMIF(Data!$G:$G,Neutral!$A16,Data!$DO:$DO)+'Rate History'!$C$25*SUMIF(Data!$G:$G,Neutral!$A16,Data!$DP:$DP)+'Rate History'!$C$26*SUMIF(Data!$G:$G,Neutral!$A16,Data!$DQ:$DQ)+'Rate History'!$C$27*SUMIF(Data!$G:$G,Neutral!$A16,Data!$DR:$DR)+'Rate History'!$C$28*SUMIF(Data!$G:$G,Neutral!$A16,Data!$DS:$DS)+'Rate History'!$C$29*SUMIF(Data!$G:$G,Neutral!$A16,Data!$DT:$DT)+'Rate History'!$C$30*SUMIF(Data!$G:$G,Neutral!$A16,Data!$DV:$DV)+'Rate History'!$C$31*SUMIF(Data!$G:$G,Neutral!$A16,Data!$DW:$DW))</f>
        <v>7405909.1111386828</v>
      </c>
      <c r="D16" s="170">
        <f t="shared" si="1"/>
        <v>3864.5860490389168</v>
      </c>
      <c r="E16" s="168">
        <f t="shared" si="0"/>
        <v>5.2209710924322147E-4</v>
      </c>
    </row>
    <row r="17" spans="1:5" x14ac:dyDescent="0.25">
      <c r="A17" s="92" t="s">
        <v>426</v>
      </c>
      <c r="B17" s="169">
        <f>$B$5*('Rate History'!$D$4*SUMIF(Data!$G:$G,Neutral!$A17,Data!$CU:$CU)+'Rate History'!$D$5*SUMIF(Data!$G:$G,Neutral!$A17,Data!$CV:$CV)+'Rate History'!$D$6*SUMIF(Data!$G:$G,Neutral!$A17,Data!$CW:$CW)+'Rate History'!$D$7*SUMIF(Data!$G:$G,Neutral!$A17,Data!$CX:$CX)+'Rate History'!$D$8*SUMIF(Data!$G:$G,Neutral!$A17,Data!$CY:$CY)+'Rate History'!$D$9*SUMIF(Data!$G:$G,Neutral!$A17,Data!$CZ:$CZ)+'Rate History'!$D$10*SUMIF(Data!$G:$G,Neutral!$A17,Data!$DA:$DA)+'Rate History'!$D$11*SUMIF(Data!$G:$G,Neutral!$A17,Data!$DB:$DB)+'Rate History'!$D$12*SUMIF(Data!$G:$G,Neutral!$A17,Data!$DC:$DC)+'Rate History'!$D$13*SUMIF(Data!$G:$G,Neutral!$A17,Data!$DD:$DD)+'Rate History'!$D$14*SUMIF(Data!$G:$G,Neutral!$A17,Data!$DE:$DE)+'Rate History'!$D$15*SUMIF(Data!$G:$G,Neutral!$A17,Data!$DF:$DF)+'Rate History'!$D$16*SUMIF(Data!$G:$G,Neutral!$A17,Data!$DG:$DG)+'Rate History'!$D$17*SUMIF(Data!$G:$G,Neutral!$A17,Data!$DH:$DH)+'Rate History'!$D$18*SUMIF(Data!$G:$G,Neutral!$A17,Data!$DI:$DI)+'Rate History'!$D$19*SUMIF(Data!$G:$G,Neutral!$A17,Data!$DJ:$DJ)+'Rate History'!$D$20*SUMIF(Data!$G:$G,Neutral!$A17,Data!$DK:$DK)+'Rate History'!$D$21*SUMIF(Data!$G:$G,Neutral!$A17,Data!$DL:$DL)+'Rate History'!$D$22*SUMIF(Data!$G:$G,Neutral!$A17,Data!$DM:$DM)+'Rate History'!$D$23*SUMIF(Data!$G:$G,Neutral!$A17,Data!$DN:$DN)+'Rate History'!$D$24*SUMIF(Data!$G:$G,Neutral!$A17,Data!$DO:$DO)+'Rate History'!$D$25*SUMIF(Data!$G:$G,Neutral!$A17,Data!$DP:$DP)+'Rate History'!$D$26*SUMIF(Data!$G:$G,Neutral!$A17,Data!$DQ:$DQ)+'Rate History'!$D$27*SUMIF(Data!$G:$G,Neutral!$A17,Data!$DR:$DR)+'Rate History'!$D$28*SUMIF(Data!$G:$G,Neutral!$A17,Data!$DS:$DS)+'Rate History'!$D$29*SUMIF(Data!$G:$G,Neutral!$A17,Data!$DT:$DT)+'Rate History'!$D$30*SUMIF(Data!$G:$G,Neutral!$A17,Data!$DV:$DV)+'Rate History'!$D$31*SUMIF(Data!$G:$G,Neutral!$A17,Data!$DW:$DW))</f>
        <v>5908288.1435725791</v>
      </c>
      <c r="C17" s="169">
        <f>$C$5*('Rate History'!$C$4*SUMIF(Data!$G:$G,Neutral!$A17,Data!$CU:$CU)+'Rate History'!$C$5*SUMIF(Data!$G:$G,Neutral!$A17,Data!$CV:$CV)+'Rate History'!$C$6*SUMIF(Data!$G:$G,Neutral!$A17,Data!$CW:$CW)+'Rate History'!$C$7*SUMIF(Data!$G:$G,Neutral!$A17,Data!$CX:$CX)+'Rate History'!$C$8*SUMIF(Data!$G:$G,Neutral!$A17,Data!$CY:$CY)+'Rate History'!$C$9*SUMIF(Data!$G:$G,Neutral!$A17,Data!$CZ:$CZ)+'Rate History'!$C$10*SUMIF(Data!$G:$G,Neutral!$A17,Data!$DA:$DA)+'Rate History'!$C$11*SUMIF(Data!$G:$G,Neutral!$A17,Data!$DB:$DB)+'Rate History'!$C$12*SUMIF(Data!$G:$G,Neutral!$A17,Data!$DC:$DC)+'Rate History'!$C$13*SUMIF(Data!$G:$G,Neutral!$A17,Data!$DD:$DD)+'Rate History'!$C$14*SUMIF(Data!$G:$G,Neutral!$A17,Data!$DE:$DE)+'Rate History'!$C$15*SUMIF(Data!$G:$G,Neutral!$A17,Data!$DF:$DF)+'Rate History'!$C$16*SUMIF(Data!$G:$G,Neutral!$A17,Data!$DG:$DG)+'Rate History'!$C$17*SUMIF(Data!$G:$G,Neutral!$A17,Data!$DH:$DH)+'Rate History'!$C$18*SUMIF(Data!$G:$G,Neutral!$A17,Data!$DI:$DI)+'Rate History'!$C$19*SUMIF(Data!$G:$G,Neutral!$A17,Data!$DJ:$DJ)+'Rate History'!$C$20*SUMIF(Data!$G:$G,Neutral!$A17,Data!$DK:$DK)+'Rate History'!$C$21*SUMIF(Data!$G:$G,Neutral!$A17,Data!$DL:$DL)+'Rate History'!$C$22*SUMIF(Data!$G:$G,Neutral!$A17,Data!$DM:$DM)+'Rate History'!$C$23*SUMIF(Data!$G:$G,Neutral!$A17,Data!$DN:$DN)+'Rate History'!$C$24*SUMIF(Data!$G:$G,Neutral!$A17,Data!$DO:$DO)+'Rate History'!$C$25*SUMIF(Data!$G:$G,Neutral!$A17,Data!$DP:$DP)+'Rate History'!$C$26*SUMIF(Data!$G:$G,Neutral!$A17,Data!$DQ:$DQ)+'Rate History'!$C$27*SUMIF(Data!$G:$G,Neutral!$A17,Data!$DR:$DR)+'Rate History'!$C$28*SUMIF(Data!$G:$G,Neutral!$A17,Data!$DS:$DS)+'Rate History'!$C$29*SUMIF(Data!$G:$G,Neutral!$A17,Data!$DT:$DT)+'Rate History'!$C$30*SUMIF(Data!$G:$G,Neutral!$A17,Data!$DV:$DV)+'Rate History'!$C$31*SUMIF(Data!$G:$G,Neutral!$A17,Data!$DW:$DW))</f>
        <v>5894390.4426456783</v>
      </c>
      <c r="D17" s="170">
        <f t="shared" si="1"/>
        <v>-13897.700926900841</v>
      </c>
      <c r="E17" s="168">
        <f t="shared" si="0"/>
        <v>-2.3522381761322299E-3</v>
      </c>
    </row>
    <row r="18" spans="1:5" x14ac:dyDescent="0.25">
      <c r="A18" s="92" t="s">
        <v>453</v>
      </c>
      <c r="B18" s="169">
        <f>$B$5*('Rate History'!$D$4*SUMIF(Data!$G:$G,Neutral!$A18,Data!$CU:$CU)+'Rate History'!$D$5*SUMIF(Data!$G:$G,Neutral!$A18,Data!$CV:$CV)+'Rate History'!$D$6*SUMIF(Data!$G:$G,Neutral!$A18,Data!$CW:$CW)+'Rate History'!$D$7*SUMIF(Data!$G:$G,Neutral!$A18,Data!$CX:$CX)+'Rate History'!$D$8*SUMIF(Data!$G:$G,Neutral!$A18,Data!$CY:$CY)+'Rate History'!$D$9*SUMIF(Data!$G:$G,Neutral!$A18,Data!$CZ:$CZ)+'Rate History'!$D$10*SUMIF(Data!$G:$G,Neutral!$A18,Data!$DA:$DA)+'Rate History'!$D$11*SUMIF(Data!$G:$G,Neutral!$A18,Data!$DB:$DB)+'Rate History'!$D$12*SUMIF(Data!$G:$G,Neutral!$A18,Data!$DC:$DC)+'Rate History'!$D$13*SUMIF(Data!$G:$G,Neutral!$A18,Data!$DD:$DD)+'Rate History'!$D$14*SUMIF(Data!$G:$G,Neutral!$A18,Data!$DE:$DE)+'Rate History'!$D$15*SUMIF(Data!$G:$G,Neutral!$A18,Data!$DF:$DF)+'Rate History'!$D$16*SUMIF(Data!$G:$G,Neutral!$A18,Data!$DG:$DG)+'Rate History'!$D$17*SUMIF(Data!$G:$G,Neutral!$A18,Data!$DH:$DH)+'Rate History'!$D$18*SUMIF(Data!$G:$G,Neutral!$A18,Data!$DI:$DI)+'Rate History'!$D$19*SUMIF(Data!$G:$G,Neutral!$A18,Data!$DJ:$DJ)+'Rate History'!$D$20*SUMIF(Data!$G:$G,Neutral!$A18,Data!$DK:$DK)+'Rate History'!$D$21*SUMIF(Data!$G:$G,Neutral!$A18,Data!$DL:$DL)+'Rate History'!$D$22*SUMIF(Data!$G:$G,Neutral!$A18,Data!$DM:$DM)+'Rate History'!$D$23*SUMIF(Data!$G:$G,Neutral!$A18,Data!$DN:$DN)+'Rate History'!$D$24*SUMIF(Data!$G:$G,Neutral!$A18,Data!$DO:$DO)+'Rate History'!$D$25*SUMIF(Data!$G:$G,Neutral!$A18,Data!$DP:$DP)+'Rate History'!$D$26*SUMIF(Data!$G:$G,Neutral!$A18,Data!$DQ:$DQ)+'Rate History'!$D$27*SUMIF(Data!$G:$G,Neutral!$A18,Data!$DR:$DR)+'Rate History'!$D$28*SUMIF(Data!$G:$G,Neutral!$A18,Data!$DS:$DS)+'Rate History'!$D$29*SUMIF(Data!$G:$G,Neutral!$A18,Data!$DT:$DT)+'Rate History'!$D$30*SUMIF(Data!$G:$G,Neutral!$A18,Data!$DV:$DV)+'Rate History'!$D$31*SUMIF(Data!$G:$G,Neutral!$A18,Data!$DW:$DW))</f>
        <v>25046210.401164483</v>
      </c>
      <c r="C18" s="169">
        <f>$C$5*('Rate History'!$C$4*SUMIF(Data!$G:$G,Neutral!$A18,Data!$CU:$CU)+'Rate History'!$C$5*SUMIF(Data!$G:$G,Neutral!$A18,Data!$CV:$CV)+'Rate History'!$C$6*SUMIF(Data!$G:$G,Neutral!$A18,Data!$CW:$CW)+'Rate History'!$C$7*SUMIF(Data!$G:$G,Neutral!$A18,Data!$CX:$CX)+'Rate History'!$C$8*SUMIF(Data!$G:$G,Neutral!$A18,Data!$CY:$CY)+'Rate History'!$C$9*SUMIF(Data!$G:$G,Neutral!$A18,Data!$CZ:$CZ)+'Rate History'!$C$10*SUMIF(Data!$G:$G,Neutral!$A18,Data!$DA:$DA)+'Rate History'!$C$11*SUMIF(Data!$G:$G,Neutral!$A18,Data!$DB:$DB)+'Rate History'!$C$12*SUMIF(Data!$G:$G,Neutral!$A18,Data!$DC:$DC)+'Rate History'!$C$13*SUMIF(Data!$G:$G,Neutral!$A18,Data!$DD:$DD)+'Rate History'!$C$14*SUMIF(Data!$G:$G,Neutral!$A18,Data!$DE:$DE)+'Rate History'!$C$15*SUMIF(Data!$G:$G,Neutral!$A18,Data!$DF:$DF)+'Rate History'!$C$16*SUMIF(Data!$G:$G,Neutral!$A18,Data!$DG:$DG)+'Rate History'!$C$17*SUMIF(Data!$G:$G,Neutral!$A18,Data!$DH:$DH)+'Rate History'!$C$18*SUMIF(Data!$G:$G,Neutral!$A18,Data!$DI:$DI)+'Rate History'!$C$19*SUMIF(Data!$G:$G,Neutral!$A18,Data!$DJ:$DJ)+'Rate History'!$C$20*SUMIF(Data!$G:$G,Neutral!$A18,Data!$DK:$DK)+'Rate History'!$C$21*SUMIF(Data!$G:$G,Neutral!$A18,Data!$DL:$DL)+'Rate History'!$C$22*SUMIF(Data!$G:$G,Neutral!$A18,Data!$DM:$DM)+'Rate History'!$C$23*SUMIF(Data!$G:$G,Neutral!$A18,Data!$DN:$DN)+'Rate History'!$C$24*SUMIF(Data!$G:$G,Neutral!$A18,Data!$DO:$DO)+'Rate History'!$C$25*SUMIF(Data!$G:$G,Neutral!$A18,Data!$DP:$DP)+'Rate History'!$C$26*SUMIF(Data!$G:$G,Neutral!$A18,Data!$DQ:$DQ)+'Rate History'!$C$27*SUMIF(Data!$G:$G,Neutral!$A18,Data!$DR:$DR)+'Rate History'!$C$28*SUMIF(Data!$G:$G,Neutral!$A18,Data!$DS:$DS)+'Rate History'!$C$29*SUMIF(Data!$G:$G,Neutral!$A18,Data!$DT:$DT)+'Rate History'!$C$30*SUMIF(Data!$G:$G,Neutral!$A18,Data!$DV:$DV)+'Rate History'!$C$31*SUMIF(Data!$G:$G,Neutral!$A18,Data!$DW:$DW))</f>
        <v>25116111.756331354</v>
      </c>
      <c r="D18" s="170">
        <f t="shared" si="1"/>
        <v>69901.355166871101</v>
      </c>
      <c r="E18" s="168">
        <f t="shared" si="0"/>
        <v>2.7908954707024721E-3</v>
      </c>
    </row>
    <row r="19" spans="1:5" x14ac:dyDescent="0.25">
      <c r="A19" s="92" t="s">
        <v>455</v>
      </c>
      <c r="B19" s="169">
        <f>$B$5*('Rate History'!$D$4*SUMIF(Data!$G:$G,Neutral!$A19,Data!$CU:$CU)+'Rate History'!$D$5*SUMIF(Data!$G:$G,Neutral!$A19,Data!$CV:$CV)+'Rate History'!$D$6*SUMIF(Data!$G:$G,Neutral!$A19,Data!$CW:$CW)+'Rate History'!$D$7*SUMIF(Data!$G:$G,Neutral!$A19,Data!$CX:$CX)+'Rate History'!$D$8*SUMIF(Data!$G:$G,Neutral!$A19,Data!$CY:$CY)+'Rate History'!$D$9*SUMIF(Data!$G:$G,Neutral!$A19,Data!$CZ:$CZ)+'Rate History'!$D$10*SUMIF(Data!$G:$G,Neutral!$A19,Data!$DA:$DA)+'Rate History'!$D$11*SUMIF(Data!$G:$G,Neutral!$A19,Data!$DB:$DB)+'Rate History'!$D$12*SUMIF(Data!$G:$G,Neutral!$A19,Data!$DC:$DC)+'Rate History'!$D$13*SUMIF(Data!$G:$G,Neutral!$A19,Data!$DD:$DD)+'Rate History'!$D$14*SUMIF(Data!$G:$G,Neutral!$A19,Data!$DE:$DE)+'Rate History'!$D$15*SUMIF(Data!$G:$G,Neutral!$A19,Data!$DF:$DF)+'Rate History'!$D$16*SUMIF(Data!$G:$G,Neutral!$A19,Data!$DG:$DG)+'Rate History'!$D$17*SUMIF(Data!$G:$G,Neutral!$A19,Data!$DH:$DH)+'Rate History'!$D$18*SUMIF(Data!$G:$G,Neutral!$A19,Data!$DI:$DI)+'Rate History'!$D$19*SUMIF(Data!$G:$G,Neutral!$A19,Data!$DJ:$DJ)+'Rate History'!$D$20*SUMIF(Data!$G:$G,Neutral!$A19,Data!$DK:$DK)+'Rate History'!$D$21*SUMIF(Data!$G:$G,Neutral!$A19,Data!$DL:$DL)+'Rate History'!$D$22*SUMIF(Data!$G:$G,Neutral!$A19,Data!$DM:$DM)+'Rate History'!$D$23*SUMIF(Data!$G:$G,Neutral!$A19,Data!$DN:$DN)+'Rate History'!$D$24*SUMIF(Data!$G:$G,Neutral!$A19,Data!$DO:$DO)+'Rate History'!$D$25*SUMIF(Data!$G:$G,Neutral!$A19,Data!$DP:$DP)+'Rate History'!$D$26*SUMIF(Data!$G:$G,Neutral!$A19,Data!$DQ:$DQ)+'Rate History'!$D$27*SUMIF(Data!$G:$G,Neutral!$A19,Data!$DR:$DR)+'Rate History'!$D$28*SUMIF(Data!$G:$G,Neutral!$A19,Data!$DS:$DS)+'Rate History'!$D$29*SUMIF(Data!$G:$G,Neutral!$A19,Data!$DT:$DT)+'Rate History'!$D$30*SUMIF(Data!$G:$G,Neutral!$A19,Data!$DV:$DV)+'Rate History'!$D$31*SUMIF(Data!$G:$G,Neutral!$A19,Data!$DW:$DW))</f>
        <v>95851559.913331553</v>
      </c>
      <c r="C19" s="169">
        <f>$C$5*('Rate History'!$C$4*SUMIF(Data!$G:$G,Neutral!$A19,Data!$CU:$CU)+'Rate History'!$C$5*SUMIF(Data!$G:$G,Neutral!$A19,Data!$CV:$CV)+'Rate History'!$C$6*SUMIF(Data!$G:$G,Neutral!$A19,Data!$CW:$CW)+'Rate History'!$C$7*SUMIF(Data!$G:$G,Neutral!$A19,Data!$CX:$CX)+'Rate History'!$C$8*SUMIF(Data!$G:$G,Neutral!$A19,Data!$CY:$CY)+'Rate History'!$C$9*SUMIF(Data!$G:$G,Neutral!$A19,Data!$CZ:$CZ)+'Rate History'!$C$10*SUMIF(Data!$G:$G,Neutral!$A19,Data!$DA:$DA)+'Rate History'!$C$11*SUMIF(Data!$G:$G,Neutral!$A19,Data!$DB:$DB)+'Rate History'!$C$12*SUMIF(Data!$G:$G,Neutral!$A19,Data!$DC:$DC)+'Rate History'!$C$13*SUMIF(Data!$G:$G,Neutral!$A19,Data!$DD:$DD)+'Rate History'!$C$14*SUMIF(Data!$G:$G,Neutral!$A19,Data!$DE:$DE)+'Rate History'!$C$15*SUMIF(Data!$G:$G,Neutral!$A19,Data!$DF:$DF)+'Rate History'!$C$16*SUMIF(Data!$G:$G,Neutral!$A19,Data!$DG:$DG)+'Rate History'!$C$17*SUMIF(Data!$G:$G,Neutral!$A19,Data!$DH:$DH)+'Rate History'!$C$18*SUMIF(Data!$G:$G,Neutral!$A19,Data!$DI:$DI)+'Rate History'!$C$19*SUMIF(Data!$G:$G,Neutral!$A19,Data!$DJ:$DJ)+'Rate History'!$C$20*SUMIF(Data!$G:$G,Neutral!$A19,Data!$DK:$DK)+'Rate History'!$C$21*SUMIF(Data!$G:$G,Neutral!$A19,Data!$DL:$DL)+'Rate History'!$C$22*SUMIF(Data!$G:$G,Neutral!$A19,Data!$DM:$DM)+'Rate History'!$C$23*SUMIF(Data!$G:$G,Neutral!$A19,Data!$DN:$DN)+'Rate History'!$C$24*SUMIF(Data!$G:$G,Neutral!$A19,Data!$DO:$DO)+'Rate History'!$C$25*SUMIF(Data!$G:$G,Neutral!$A19,Data!$DP:$DP)+'Rate History'!$C$26*SUMIF(Data!$G:$G,Neutral!$A19,Data!$DQ:$DQ)+'Rate History'!$C$27*SUMIF(Data!$G:$G,Neutral!$A19,Data!$DR:$DR)+'Rate History'!$C$28*SUMIF(Data!$G:$G,Neutral!$A19,Data!$DS:$DS)+'Rate History'!$C$29*SUMIF(Data!$G:$G,Neutral!$A19,Data!$DT:$DT)+'Rate History'!$C$30*SUMIF(Data!$G:$G,Neutral!$A19,Data!$DV:$DV)+'Rate History'!$C$31*SUMIF(Data!$G:$G,Neutral!$A19,Data!$DW:$DW))</f>
        <v>96238514.421986088</v>
      </c>
      <c r="D19" s="170">
        <f t="shared" si="1"/>
        <v>386954.50865453482</v>
      </c>
      <c r="E19" s="168">
        <f t="shared" si="0"/>
        <v>4.0370183751252137E-3</v>
      </c>
    </row>
    <row r="20" spans="1:5" x14ac:dyDescent="0.25">
      <c r="A20" s="92" t="s">
        <v>365</v>
      </c>
      <c r="B20" s="169">
        <f>$B$5*('Rate History'!$D$4*SUMIF(Data!$G:$G,Neutral!$A20,Data!$CU:$CU)+'Rate History'!$D$5*SUMIF(Data!$G:$G,Neutral!$A20,Data!$CV:$CV)+'Rate History'!$D$6*SUMIF(Data!$G:$G,Neutral!$A20,Data!$CW:$CW)+'Rate History'!$D$7*SUMIF(Data!$G:$G,Neutral!$A20,Data!$CX:$CX)+'Rate History'!$D$8*SUMIF(Data!$G:$G,Neutral!$A20,Data!$CY:$CY)+'Rate History'!$D$9*SUMIF(Data!$G:$G,Neutral!$A20,Data!$CZ:$CZ)+'Rate History'!$D$10*SUMIF(Data!$G:$G,Neutral!$A20,Data!$DA:$DA)+'Rate History'!$D$11*SUMIF(Data!$G:$G,Neutral!$A20,Data!$DB:$DB)+'Rate History'!$D$12*SUMIF(Data!$G:$G,Neutral!$A20,Data!$DC:$DC)+'Rate History'!$D$13*SUMIF(Data!$G:$G,Neutral!$A20,Data!$DD:$DD)+'Rate History'!$D$14*SUMIF(Data!$G:$G,Neutral!$A20,Data!$DE:$DE)+'Rate History'!$D$15*SUMIF(Data!$G:$G,Neutral!$A20,Data!$DF:$DF)+'Rate History'!$D$16*SUMIF(Data!$G:$G,Neutral!$A20,Data!$DG:$DG)+'Rate History'!$D$17*SUMIF(Data!$G:$G,Neutral!$A20,Data!$DH:$DH)+'Rate History'!$D$18*SUMIF(Data!$G:$G,Neutral!$A20,Data!$DI:$DI)+'Rate History'!$D$19*SUMIF(Data!$G:$G,Neutral!$A20,Data!$DJ:$DJ)+'Rate History'!$D$20*SUMIF(Data!$G:$G,Neutral!$A20,Data!$DK:$DK)+'Rate History'!$D$21*SUMIF(Data!$G:$G,Neutral!$A20,Data!$DL:$DL)+'Rate History'!$D$22*SUMIF(Data!$G:$G,Neutral!$A20,Data!$DM:$DM)+'Rate History'!$D$23*SUMIF(Data!$G:$G,Neutral!$A20,Data!$DN:$DN)+'Rate History'!$D$24*SUMIF(Data!$G:$G,Neutral!$A20,Data!$DO:$DO)+'Rate History'!$D$25*SUMIF(Data!$G:$G,Neutral!$A20,Data!$DP:$DP)+'Rate History'!$D$26*SUMIF(Data!$G:$G,Neutral!$A20,Data!$DQ:$DQ)+'Rate History'!$D$27*SUMIF(Data!$G:$G,Neutral!$A20,Data!$DR:$DR)+'Rate History'!$D$28*SUMIF(Data!$G:$G,Neutral!$A20,Data!$DS:$DS)+'Rate History'!$D$29*SUMIF(Data!$G:$G,Neutral!$A20,Data!$DT:$DT)+'Rate History'!$D$30*SUMIF(Data!$G:$G,Neutral!$A20,Data!$DV:$DV)+'Rate History'!$D$31*SUMIF(Data!$G:$G,Neutral!$A20,Data!$DW:$DW))</f>
        <v>21126607.323970329</v>
      </c>
      <c r="C20" s="169">
        <f>$C$5*('Rate History'!$C$4*SUMIF(Data!$G:$G,Neutral!$A20,Data!$CU:$CU)+'Rate History'!$C$5*SUMIF(Data!$G:$G,Neutral!$A20,Data!$CV:$CV)+'Rate History'!$C$6*SUMIF(Data!$G:$G,Neutral!$A20,Data!$CW:$CW)+'Rate History'!$C$7*SUMIF(Data!$G:$G,Neutral!$A20,Data!$CX:$CX)+'Rate History'!$C$8*SUMIF(Data!$G:$G,Neutral!$A20,Data!$CY:$CY)+'Rate History'!$C$9*SUMIF(Data!$G:$G,Neutral!$A20,Data!$CZ:$CZ)+'Rate History'!$C$10*SUMIF(Data!$G:$G,Neutral!$A20,Data!$DA:$DA)+'Rate History'!$C$11*SUMIF(Data!$G:$G,Neutral!$A20,Data!$DB:$DB)+'Rate History'!$C$12*SUMIF(Data!$G:$G,Neutral!$A20,Data!$DC:$DC)+'Rate History'!$C$13*SUMIF(Data!$G:$G,Neutral!$A20,Data!$DD:$DD)+'Rate History'!$C$14*SUMIF(Data!$G:$G,Neutral!$A20,Data!$DE:$DE)+'Rate History'!$C$15*SUMIF(Data!$G:$G,Neutral!$A20,Data!$DF:$DF)+'Rate History'!$C$16*SUMIF(Data!$G:$G,Neutral!$A20,Data!$DG:$DG)+'Rate History'!$C$17*SUMIF(Data!$G:$G,Neutral!$A20,Data!$DH:$DH)+'Rate History'!$C$18*SUMIF(Data!$G:$G,Neutral!$A20,Data!$DI:$DI)+'Rate History'!$C$19*SUMIF(Data!$G:$G,Neutral!$A20,Data!$DJ:$DJ)+'Rate History'!$C$20*SUMIF(Data!$G:$G,Neutral!$A20,Data!$DK:$DK)+'Rate History'!$C$21*SUMIF(Data!$G:$G,Neutral!$A20,Data!$DL:$DL)+'Rate History'!$C$22*SUMIF(Data!$G:$G,Neutral!$A20,Data!$DM:$DM)+'Rate History'!$C$23*SUMIF(Data!$G:$G,Neutral!$A20,Data!$DN:$DN)+'Rate History'!$C$24*SUMIF(Data!$G:$G,Neutral!$A20,Data!$DO:$DO)+'Rate History'!$C$25*SUMIF(Data!$G:$G,Neutral!$A20,Data!$DP:$DP)+'Rate History'!$C$26*SUMIF(Data!$G:$G,Neutral!$A20,Data!$DQ:$DQ)+'Rate History'!$C$27*SUMIF(Data!$G:$G,Neutral!$A20,Data!$DR:$DR)+'Rate History'!$C$28*SUMIF(Data!$G:$G,Neutral!$A20,Data!$DS:$DS)+'Rate History'!$C$29*SUMIF(Data!$G:$G,Neutral!$A20,Data!$DT:$DT)+'Rate History'!$C$30*SUMIF(Data!$G:$G,Neutral!$A20,Data!$DV:$DV)+'Rate History'!$C$31*SUMIF(Data!$G:$G,Neutral!$A20,Data!$DW:$DW))</f>
        <v>21151236.207160082</v>
      </c>
      <c r="D20" s="170">
        <f t="shared" si="1"/>
        <v>24628.883189752698</v>
      </c>
      <c r="E20" s="168">
        <f t="shared" si="0"/>
        <v>1.1657755934057937E-3</v>
      </c>
    </row>
    <row r="21" spans="1:5" x14ac:dyDescent="0.25">
      <c r="A21" s="91" t="s">
        <v>440</v>
      </c>
      <c r="B21" s="169">
        <f>$B$5*('Rate History'!$D$4*SUMIF(Data!$G:$G,Neutral!$A21,Data!$CU:$CU)+'Rate History'!$D$5*SUMIF(Data!$G:$G,Neutral!$A21,Data!$CV:$CV)+'Rate History'!$D$6*SUMIF(Data!$G:$G,Neutral!$A21,Data!$CW:$CW)+'Rate History'!$D$7*SUMIF(Data!$G:$G,Neutral!$A21,Data!$CX:$CX)+'Rate History'!$D$8*SUMIF(Data!$G:$G,Neutral!$A21,Data!$CY:$CY)+'Rate History'!$D$9*SUMIF(Data!$G:$G,Neutral!$A21,Data!$CZ:$CZ)+'Rate History'!$D$10*SUMIF(Data!$G:$G,Neutral!$A21,Data!$DA:$DA)+'Rate History'!$D$11*SUMIF(Data!$G:$G,Neutral!$A21,Data!$DB:$DB)+'Rate History'!$D$12*SUMIF(Data!$G:$G,Neutral!$A21,Data!$DC:$DC)+'Rate History'!$D$13*SUMIF(Data!$G:$G,Neutral!$A21,Data!$DD:$DD)+'Rate History'!$D$14*SUMIF(Data!$G:$G,Neutral!$A21,Data!$DE:$DE)+'Rate History'!$D$15*SUMIF(Data!$G:$G,Neutral!$A21,Data!$DF:$DF)+'Rate History'!$D$16*SUMIF(Data!$G:$G,Neutral!$A21,Data!$DG:$DG)+'Rate History'!$D$17*SUMIF(Data!$G:$G,Neutral!$A21,Data!$DH:$DH)+'Rate History'!$D$18*SUMIF(Data!$G:$G,Neutral!$A21,Data!$DI:$DI)+'Rate History'!$D$19*SUMIF(Data!$G:$G,Neutral!$A21,Data!$DJ:$DJ)+'Rate History'!$D$20*SUMIF(Data!$G:$G,Neutral!$A21,Data!$DK:$DK)+'Rate History'!$D$21*SUMIF(Data!$G:$G,Neutral!$A21,Data!$DL:$DL)+'Rate History'!$D$22*SUMIF(Data!$G:$G,Neutral!$A21,Data!$DM:$DM)+'Rate History'!$D$23*SUMIF(Data!$G:$G,Neutral!$A21,Data!$DN:$DN)+'Rate History'!$D$24*SUMIF(Data!$G:$G,Neutral!$A21,Data!$DO:$DO)+'Rate History'!$D$25*SUMIF(Data!$G:$G,Neutral!$A21,Data!$DP:$DP)+'Rate History'!$D$26*SUMIF(Data!$G:$G,Neutral!$A21,Data!$DQ:$DQ)+'Rate History'!$D$27*SUMIF(Data!$G:$G,Neutral!$A21,Data!$DR:$DR)+'Rate History'!$D$28*SUMIF(Data!$G:$G,Neutral!$A21,Data!$DS:$DS)+'Rate History'!$D$29*SUMIF(Data!$G:$G,Neutral!$A21,Data!$DT:$DT)+'Rate History'!$D$30*SUMIF(Data!$G:$G,Neutral!$A21,Data!$DV:$DV)+'Rate History'!$D$31*SUMIF(Data!$G:$G,Neutral!$A21,Data!$DW:$DW))</f>
        <v>33527281.086295094</v>
      </c>
      <c r="C21" s="169">
        <f>$C$5*('Rate History'!$C$4*SUMIF(Data!$G:$G,Neutral!$A21,Data!$CU:$CU)+'Rate History'!$C$5*SUMIF(Data!$G:$G,Neutral!$A21,Data!$CV:$CV)+'Rate History'!$C$6*SUMIF(Data!$G:$G,Neutral!$A21,Data!$CW:$CW)+'Rate History'!$C$7*SUMIF(Data!$G:$G,Neutral!$A21,Data!$CX:$CX)+'Rate History'!$C$8*SUMIF(Data!$G:$G,Neutral!$A21,Data!$CY:$CY)+'Rate History'!$C$9*SUMIF(Data!$G:$G,Neutral!$A21,Data!$CZ:$CZ)+'Rate History'!$C$10*SUMIF(Data!$G:$G,Neutral!$A21,Data!$DA:$DA)+'Rate History'!$C$11*SUMIF(Data!$G:$G,Neutral!$A21,Data!$DB:$DB)+'Rate History'!$C$12*SUMIF(Data!$G:$G,Neutral!$A21,Data!$DC:$DC)+'Rate History'!$C$13*SUMIF(Data!$G:$G,Neutral!$A21,Data!$DD:$DD)+'Rate History'!$C$14*SUMIF(Data!$G:$G,Neutral!$A21,Data!$DE:$DE)+'Rate History'!$C$15*SUMIF(Data!$G:$G,Neutral!$A21,Data!$DF:$DF)+'Rate History'!$C$16*SUMIF(Data!$G:$G,Neutral!$A21,Data!$DG:$DG)+'Rate History'!$C$17*SUMIF(Data!$G:$G,Neutral!$A21,Data!$DH:$DH)+'Rate History'!$C$18*SUMIF(Data!$G:$G,Neutral!$A21,Data!$DI:$DI)+'Rate History'!$C$19*SUMIF(Data!$G:$G,Neutral!$A21,Data!$DJ:$DJ)+'Rate History'!$C$20*SUMIF(Data!$G:$G,Neutral!$A21,Data!$DK:$DK)+'Rate History'!$C$21*SUMIF(Data!$G:$G,Neutral!$A21,Data!$DL:$DL)+'Rate History'!$C$22*SUMIF(Data!$G:$G,Neutral!$A21,Data!$DM:$DM)+'Rate History'!$C$23*SUMIF(Data!$G:$G,Neutral!$A21,Data!$DN:$DN)+'Rate History'!$C$24*SUMIF(Data!$G:$G,Neutral!$A21,Data!$DO:$DO)+'Rate History'!$C$25*SUMIF(Data!$G:$G,Neutral!$A21,Data!$DP:$DP)+'Rate History'!$C$26*SUMIF(Data!$G:$G,Neutral!$A21,Data!$DQ:$DQ)+'Rate History'!$C$27*SUMIF(Data!$G:$G,Neutral!$A21,Data!$DR:$DR)+'Rate History'!$C$28*SUMIF(Data!$G:$G,Neutral!$A21,Data!$DS:$DS)+'Rate History'!$C$29*SUMIF(Data!$G:$G,Neutral!$A21,Data!$DT:$DT)+'Rate History'!$C$30*SUMIF(Data!$G:$G,Neutral!$A21,Data!$DV:$DV)+'Rate History'!$C$31*SUMIF(Data!$G:$G,Neutral!$A21,Data!$DW:$DW))</f>
        <v>33122469.126945563</v>
      </c>
      <c r="D21" s="170">
        <f t="shared" si="1"/>
        <v>-404811.95934953168</v>
      </c>
      <c r="E21" s="168">
        <f t="shared" si="0"/>
        <v>-1.2074106406290313E-2</v>
      </c>
    </row>
    <row r="22" spans="1:5" x14ac:dyDescent="0.25">
      <c r="A22" s="92" t="s">
        <v>367</v>
      </c>
      <c r="B22" s="169">
        <f>$B$5*('Rate History'!$D$4*SUMIF(Data!$G:$G,Neutral!$A22,Data!$CU:$CU)+'Rate History'!$D$5*SUMIF(Data!$G:$G,Neutral!$A22,Data!$CV:$CV)+'Rate History'!$D$6*SUMIF(Data!$G:$G,Neutral!$A22,Data!$CW:$CW)+'Rate History'!$D$7*SUMIF(Data!$G:$G,Neutral!$A22,Data!$CX:$CX)+'Rate History'!$D$8*SUMIF(Data!$G:$G,Neutral!$A22,Data!$CY:$CY)+'Rate History'!$D$9*SUMIF(Data!$G:$G,Neutral!$A22,Data!$CZ:$CZ)+'Rate History'!$D$10*SUMIF(Data!$G:$G,Neutral!$A22,Data!$DA:$DA)+'Rate History'!$D$11*SUMIF(Data!$G:$G,Neutral!$A22,Data!$DB:$DB)+'Rate History'!$D$12*SUMIF(Data!$G:$G,Neutral!$A22,Data!$DC:$DC)+'Rate History'!$D$13*SUMIF(Data!$G:$G,Neutral!$A22,Data!$DD:$DD)+'Rate History'!$D$14*SUMIF(Data!$G:$G,Neutral!$A22,Data!$DE:$DE)+'Rate History'!$D$15*SUMIF(Data!$G:$G,Neutral!$A22,Data!$DF:$DF)+'Rate History'!$D$16*SUMIF(Data!$G:$G,Neutral!$A22,Data!$DG:$DG)+'Rate History'!$D$17*SUMIF(Data!$G:$G,Neutral!$A22,Data!$DH:$DH)+'Rate History'!$D$18*SUMIF(Data!$G:$G,Neutral!$A22,Data!$DI:$DI)+'Rate History'!$D$19*SUMIF(Data!$G:$G,Neutral!$A22,Data!$DJ:$DJ)+'Rate History'!$D$20*SUMIF(Data!$G:$G,Neutral!$A22,Data!$DK:$DK)+'Rate History'!$D$21*SUMIF(Data!$G:$G,Neutral!$A22,Data!$DL:$DL)+'Rate History'!$D$22*SUMIF(Data!$G:$G,Neutral!$A22,Data!$DM:$DM)+'Rate History'!$D$23*SUMIF(Data!$G:$G,Neutral!$A22,Data!$DN:$DN)+'Rate History'!$D$24*SUMIF(Data!$G:$G,Neutral!$A22,Data!$DO:$DO)+'Rate History'!$D$25*SUMIF(Data!$G:$G,Neutral!$A22,Data!$DP:$DP)+'Rate History'!$D$26*SUMIF(Data!$G:$G,Neutral!$A22,Data!$DQ:$DQ)+'Rate History'!$D$27*SUMIF(Data!$G:$G,Neutral!$A22,Data!$DR:$DR)+'Rate History'!$D$28*SUMIF(Data!$G:$G,Neutral!$A22,Data!$DS:$DS)+'Rate History'!$D$29*SUMIF(Data!$G:$G,Neutral!$A22,Data!$DT:$DT)+'Rate History'!$D$30*SUMIF(Data!$G:$G,Neutral!$A22,Data!$DV:$DV)+'Rate History'!$D$31*SUMIF(Data!$G:$G,Neutral!$A22,Data!$DW:$DW))</f>
        <v>2876427.7923948416</v>
      </c>
      <c r="C22" s="169">
        <f>$C$5*('Rate History'!$C$4*SUMIF(Data!$G:$G,Neutral!$A22,Data!$CU:$CU)+'Rate History'!$C$5*SUMIF(Data!$G:$G,Neutral!$A22,Data!$CV:$CV)+'Rate History'!$C$6*SUMIF(Data!$G:$G,Neutral!$A22,Data!$CW:$CW)+'Rate History'!$C$7*SUMIF(Data!$G:$G,Neutral!$A22,Data!$CX:$CX)+'Rate History'!$C$8*SUMIF(Data!$G:$G,Neutral!$A22,Data!$CY:$CY)+'Rate History'!$C$9*SUMIF(Data!$G:$G,Neutral!$A22,Data!$CZ:$CZ)+'Rate History'!$C$10*SUMIF(Data!$G:$G,Neutral!$A22,Data!$DA:$DA)+'Rate History'!$C$11*SUMIF(Data!$G:$G,Neutral!$A22,Data!$DB:$DB)+'Rate History'!$C$12*SUMIF(Data!$G:$G,Neutral!$A22,Data!$DC:$DC)+'Rate History'!$C$13*SUMIF(Data!$G:$G,Neutral!$A22,Data!$DD:$DD)+'Rate History'!$C$14*SUMIF(Data!$G:$G,Neutral!$A22,Data!$DE:$DE)+'Rate History'!$C$15*SUMIF(Data!$G:$G,Neutral!$A22,Data!$DF:$DF)+'Rate History'!$C$16*SUMIF(Data!$G:$G,Neutral!$A22,Data!$DG:$DG)+'Rate History'!$C$17*SUMIF(Data!$G:$G,Neutral!$A22,Data!$DH:$DH)+'Rate History'!$C$18*SUMIF(Data!$G:$G,Neutral!$A22,Data!$DI:$DI)+'Rate History'!$C$19*SUMIF(Data!$G:$G,Neutral!$A22,Data!$DJ:$DJ)+'Rate History'!$C$20*SUMIF(Data!$G:$G,Neutral!$A22,Data!$DK:$DK)+'Rate History'!$C$21*SUMIF(Data!$G:$G,Neutral!$A22,Data!$DL:$DL)+'Rate History'!$C$22*SUMIF(Data!$G:$G,Neutral!$A22,Data!$DM:$DM)+'Rate History'!$C$23*SUMIF(Data!$G:$G,Neutral!$A22,Data!$DN:$DN)+'Rate History'!$C$24*SUMIF(Data!$G:$G,Neutral!$A22,Data!$DO:$DO)+'Rate History'!$C$25*SUMIF(Data!$G:$G,Neutral!$A22,Data!$DP:$DP)+'Rate History'!$C$26*SUMIF(Data!$G:$G,Neutral!$A22,Data!$DQ:$DQ)+'Rate History'!$C$27*SUMIF(Data!$G:$G,Neutral!$A22,Data!$DR:$DR)+'Rate History'!$C$28*SUMIF(Data!$G:$G,Neutral!$A22,Data!$DS:$DS)+'Rate History'!$C$29*SUMIF(Data!$G:$G,Neutral!$A22,Data!$DT:$DT)+'Rate History'!$C$30*SUMIF(Data!$G:$G,Neutral!$A22,Data!$DV:$DV)+'Rate History'!$C$31*SUMIF(Data!$G:$G,Neutral!$A22,Data!$DW:$DW))</f>
        <v>2869496.6892787716</v>
      </c>
      <c r="D22" s="170">
        <f t="shared" si="1"/>
        <v>-6931.1031160699204</v>
      </c>
      <c r="E22" s="168">
        <f t="shared" si="0"/>
        <v>-2.4096218004830421E-3</v>
      </c>
    </row>
    <row r="23" spans="1:5" x14ac:dyDescent="0.25">
      <c r="A23" s="92" t="s">
        <v>424</v>
      </c>
      <c r="B23" s="169">
        <f>$B$5*('Rate History'!$D$4*SUMIF(Data!$G:$G,Neutral!$A23,Data!$CU:$CU)+'Rate History'!$D$5*SUMIF(Data!$G:$G,Neutral!$A23,Data!$CV:$CV)+'Rate History'!$D$6*SUMIF(Data!$G:$G,Neutral!$A23,Data!$CW:$CW)+'Rate History'!$D$7*SUMIF(Data!$G:$G,Neutral!$A23,Data!$CX:$CX)+'Rate History'!$D$8*SUMIF(Data!$G:$G,Neutral!$A23,Data!$CY:$CY)+'Rate History'!$D$9*SUMIF(Data!$G:$G,Neutral!$A23,Data!$CZ:$CZ)+'Rate History'!$D$10*SUMIF(Data!$G:$G,Neutral!$A23,Data!$DA:$DA)+'Rate History'!$D$11*SUMIF(Data!$G:$G,Neutral!$A23,Data!$DB:$DB)+'Rate History'!$D$12*SUMIF(Data!$G:$G,Neutral!$A23,Data!$DC:$DC)+'Rate History'!$D$13*SUMIF(Data!$G:$G,Neutral!$A23,Data!$DD:$DD)+'Rate History'!$D$14*SUMIF(Data!$G:$G,Neutral!$A23,Data!$DE:$DE)+'Rate History'!$D$15*SUMIF(Data!$G:$G,Neutral!$A23,Data!$DF:$DF)+'Rate History'!$D$16*SUMIF(Data!$G:$G,Neutral!$A23,Data!$DG:$DG)+'Rate History'!$D$17*SUMIF(Data!$G:$G,Neutral!$A23,Data!$DH:$DH)+'Rate History'!$D$18*SUMIF(Data!$G:$G,Neutral!$A23,Data!$DI:$DI)+'Rate History'!$D$19*SUMIF(Data!$G:$G,Neutral!$A23,Data!$DJ:$DJ)+'Rate History'!$D$20*SUMIF(Data!$G:$G,Neutral!$A23,Data!$DK:$DK)+'Rate History'!$D$21*SUMIF(Data!$G:$G,Neutral!$A23,Data!$DL:$DL)+'Rate History'!$D$22*SUMIF(Data!$G:$G,Neutral!$A23,Data!$DM:$DM)+'Rate History'!$D$23*SUMIF(Data!$G:$G,Neutral!$A23,Data!$DN:$DN)+'Rate History'!$D$24*SUMIF(Data!$G:$G,Neutral!$A23,Data!$DO:$DO)+'Rate History'!$D$25*SUMIF(Data!$G:$G,Neutral!$A23,Data!$DP:$DP)+'Rate History'!$D$26*SUMIF(Data!$G:$G,Neutral!$A23,Data!$DQ:$DQ)+'Rate History'!$D$27*SUMIF(Data!$G:$G,Neutral!$A23,Data!$DR:$DR)+'Rate History'!$D$28*SUMIF(Data!$G:$G,Neutral!$A23,Data!$DS:$DS)+'Rate History'!$D$29*SUMIF(Data!$G:$G,Neutral!$A23,Data!$DT:$DT)+'Rate History'!$D$30*SUMIF(Data!$G:$G,Neutral!$A23,Data!$DV:$DV)+'Rate History'!$D$31*SUMIF(Data!$G:$G,Neutral!$A23,Data!$DW:$DW))</f>
        <v>4696375.9768265318</v>
      </c>
      <c r="C23" s="169">
        <f>$C$5*('Rate History'!$C$4*SUMIF(Data!$G:$G,Neutral!$A23,Data!$CU:$CU)+'Rate History'!$C$5*SUMIF(Data!$G:$G,Neutral!$A23,Data!$CV:$CV)+'Rate History'!$C$6*SUMIF(Data!$G:$G,Neutral!$A23,Data!$CW:$CW)+'Rate History'!$C$7*SUMIF(Data!$G:$G,Neutral!$A23,Data!$CX:$CX)+'Rate History'!$C$8*SUMIF(Data!$G:$G,Neutral!$A23,Data!$CY:$CY)+'Rate History'!$C$9*SUMIF(Data!$G:$G,Neutral!$A23,Data!$CZ:$CZ)+'Rate History'!$C$10*SUMIF(Data!$G:$G,Neutral!$A23,Data!$DA:$DA)+'Rate History'!$C$11*SUMIF(Data!$G:$G,Neutral!$A23,Data!$DB:$DB)+'Rate History'!$C$12*SUMIF(Data!$G:$G,Neutral!$A23,Data!$DC:$DC)+'Rate History'!$C$13*SUMIF(Data!$G:$G,Neutral!$A23,Data!$DD:$DD)+'Rate History'!$C$14*SUMIF(Data!$G:$G,Neutral!$A23,Data!$DE:$DE)+'Rate History'!$C$15*SUMIF(Data!$G:$G,Neutral!$A23,Data!$DF:$DF)+'Rate History'!$C$16*SUMIF(Data!$G:$G,Neutral!$A23,Data!$DG:$DG)+'Rate History'!$C$17*SUMIF(Data!$G:$G,Neutral!$A23,Data!$DH:$DH)+'Rate History'!$C$18*SUMIF(Data!$G:$G,Neutral!$A23,Data!$DI:$DI)+'Rate History'!$C$19*SUMIF(Data!$G:$G,Neutral!$A23,Data!$DJ:$DJ)+'Rate History'!$C$20*SUMIF(Data!$G:$G,Neutral!$A23,Data!$DK:$DK)+'Rate History'!$C$21*SUMIF(Data!$G:$G,Neutral!$A23,Data!$DL:$DL)+'Rate History'!$C$22*SUMIF(Data!$G:$G,Neutral!$A23,Data!$DM:$DM)+'Rate History'!$C$23*SUMIF(Data!$G:$G,Neutral!$A23,Data!$DN:$DN)+'Rate History'!$C$24*SUMIF(Data!$G:$G,Neutral!$A23,Data!$DO:$DO)+'Rate History'!$C$25*SUMIF(Data!$G:$G,Neutral!$A23,Data!$DP:$DP)+'Rate History'!$C$26*SUMIF(Data!$G:$G,Neutral!$A23,Data!$DQ:$DQ)+'Rate History'!$C$27*SUMIF(Data!$G:$G,Neutral!$A23,Data!$DR:$DR)+'Rate History'!$C$28*SUMIF(Data!$G:$G,Neutral!$A23,Data!$DS:$DS)+'Rate History'!$C$29*SUMIF(Data!$G:$G,Neutral!$A23,Data!$DT:$DT)+'Rate History'!$C$30*SUMIF(Data!$G:$G,Neutral!$A23,Data!$DV:$DV)+'Rate History'!$C$31*SUMIF(Data!$G:$G,Neutral!$A23,Data!$DW:$DW))</f>
        <v>4659460.9867020603</v>
      </c>
      <c r="D23" s="170">
        <f t="shared" si="1"/>
        <v>-36914.990124471486</v>
      </c>
      <c r="E23" s="168">
        <f t="shared" si="0"/>
        <v>-7.860314060591022E-3</v>
      </c>
    </row>
    <row r="24" spans="1:5" x14ac:dyDescent="0.25">
      <c r="A24" s="92" t="s">
        <v>369</v>
      </c>
      <c r="B24" s="169">
        <f>$B$5*('Rate History'!$D$4*SUMIF(Data!$G:$G,Neutral!$A24,Data!$CU:$CU)+'Rate History'!$D$5*SUMIF(Data!$G:$G,Neutral!$A24,Data!$CV:$CV)+'Rate History'!$D$6*SUMIF(Data!$G:$G,Neutral!$A24,Data!$CW:$CW)+'Rate History'!$D$7*SUMIF(Data!$G:$G,Neutral!$A24,Data!$CX:$CX)+'Rate History'!$D$8*SUMIF(Data!$G:$G,Neutral!$A24,Data!$CY:$CY)+'Rate History'!$D$9*SUMIF(Data!$G:$G,Neutral!$A24,Data!$CZ:$CZ)+'Rate History'!$D$10*SUMIF(Data!$G:$G,Neutral!$A24,Data!$DA:$DA)+'Rate History'!$D$11*SUMIF(Data!$G:$G,Neutral!$A24,Data!$DB:$DB)+'Rate History'!$D$12*SUMIF(Data!$G:$G,Neutral!$A24,Data!$DC:$DC)+'Rate History'!$D$13*SUMIF(Data!$G:$G,Neutral!$A24,Data!$DD:$DD)+'Rate History'!$D$14*SUMIF(Data!$G:$G,Neutral!$A24,Data!$DE:$DE)+'Rate History'!$D$15*SUMIF(Data!$G:$G,Neutral!$A24,Data!$DF:$DF)+'Rate History'!$D$16*SUMIF(Data!$G:$G,Neutral!$A24,Data!$DG:$DG)+'Rate History'!$D$17*SUMIF(Data!$G:$G,Neutral!$A24,Data!$DH:$DH)+'Rate History'!$D$18*SUMIF(Data!$G:$G,Neutral!$A24,Data!$DI:$DI)+'Rate History'!$D$19*SUMIF(Data!$G:$G,Neutral!$A24,Data!$DJ:$DJ)+'Rate History'!$D$20*SUMIF(Data!$G:$G,Neutral!$A24,Data!$DK:$DK)+'Rate History'!$D$21*SUMIF(Data!$G:$G,Neutral!$A24,Data!$DL:$DL)+'Rate History'!$D$22*SUMIF(Data!$G:$G,Neutral!$A24,Data!$DM:$DM)+'Rate History'!$D$23*SUMIF(Data!$G:$G,Neutral!$A24,Data!$DN:$DN)+'Rate History'!$D$24*SUMIF(Data!$G:$G,Neutral!$A24,Data!$DO:$DO)+'Rate History'!$D$25*SUMIF(Data!$G:$G,Neutral!$A24,Data!$DP:$DP)+'Rate History'!$D$26*SUMIF(Data!$G:$G,Neutral!$A24,Data!$DQ:$DQ)+'Rate History'!$D$27*SUMIF(Data!$G:$G,Neutral!$A24,Data!$DR:$DR)+'Rate History'!$D$28*SUMIF(Data!$G:$G,Neutral!$A24,Data!$DS:$DS)+'Rate History'!$D$29*SUMIF(Data!$G:$G,Neutral!$A24,Data!$DT:$DT)+'Rate History'!$D$30*SUMIF(Data!$G:$G,Neutral!$A24,Data!$DV:$DV)+'Rate History'!$D$31*SUMIF(Data!$G:$G,Neutral!$A24,Data!$DW:$DW))</f>
        <v>7351292.577756796</v>
      </c>
      <c r="C24" s="169">
        <f>$C$5*('Rate History'!$C$4*SUMIF(Data!$G:$G,Neutral!$A24,Data!$CU:$CU)+'Rate History'!$C$5*SUMIF(Data!$G:$G,Neutral!$A24,Data!$CV:$CV)+'Rate History'!$C$6*SUMIF(Data!$G:$G,Neutral!$A24,Data!$CW:$CW)+'Rate History'!$C$7*SUMIF(Data!$G:$G,Neutral!$A24,Data!$CX:$CX)+'Rate History'!$C$8*SUMIF(Data!$G:$G,Neutral!$A24,Data!$CY:$CY)+'Rate History'!$C$9*SUMIF(Data!$G:$G,Neutral!$A24,Data!$CZ:$CZ)+'Rate History'!$C$10*SUMIF(Data!$G:$G,Neutral!$A24,Data!$DA:$DA)+'Rate History'!$C$11*SUMIF(Data!$G:$G,Neutral!$A24,Data!$DB:$DB)+'Rate History'!$C$12*SUMIF(Data!$G:$G,Neutral!$A24,Data!$DC:$DC)+'Rate History'!$C$13*SUMIF(Data!$G:$G,Neutral!$A24,Data!$DD:$DD)+'Rate History'!$C$14*SUMIF(Data!$G:$G,Neutral!$A24,Data!$DE:$DE)+'Rate History'!$C$15*SUMIF(Data!$G:$G,Neutral!$A24,Data!$DF:$DF)+'Rate History'!$C$16*SUMIF(Data!$G:$G,Neutral!$A24,Data!$DG:$DG)+'Rate History'!$C$17*SUMIF(Data!$G:$G,Neutral!$A24,Data!$DH:$DH)+'Rate History'!$C$18*SUMIF(Data!$G:$G,Neutral!$A24,Data!$DI:$DI)+'Rate History'!$C$19*SUMIF(Data!$G:$G,Neutral!$A24,Data!$DJ:$DJ)+'Rate History'!$C$20*SUMIF(Data!$G:$G,Neutral!$A24,Data!$DK:$DK)+'Rate History'!$C$21*SUMIF(Data!$G:$G,Neutral!$A24,Data!$DL:$DL)+'Rate History'!$C$22*SUMIF(Data!$G:$G,Neutral!$A24,Data!$DM:$DM)+'Rate History'!$C$23*SUMIF(Data!$G:$G,Neutral!$A24,Data!$DN:$DN)+'Rate History'!$C$24*SUMIF(Data!$G:$G,Neutral!$A24,Data!$DO:$DO)+'Rate History'!$C$25*SUMIF(Data!$G:$G,Neutral!$A24,Data!$DP:$DP)+'Rate History'!$C$26*SUMIF(Data!$G:$G,Neutral!$A24,Data!$DQ:$DQ)+'Rate History'!$C$27*SUMIF(Data!$G:$G,Neutral!$A24,Data!$DR:$DR)+'Rate History'!$C$28*SUMIF(Data!$G:$G,Neutral!$A24,Data!$DS:$DS)+'Rate History'!$C$29*SUMIF(Data!$G:$G,Neutral!$A24,Data!$DT:$DT)+'Rate History'!$C$30*SUMIF(Data!$G:$G,Neutral!$A24,Data!$DV:$DV)+'Rate History'!$C$31*SUMIF(Data!$G:$G,Neutral!$A24,Data!$DW:$DW))</f>
        <v>7325718.7933876561</v>
      </c>
      <c r="D24" s="170">
        <f t="shared" si="1"/>
        <v>-25573.784369139932</v>
      </c>
      <c r="E24" s="168">
        <f t="shared" si="0"/>
        <v>-3.4788146572372748E-3</v>
      </c>
    </row>
    <row r="25" spans="1:5" x14ac:dyDescent="0.25">
      <c r="A25" s="92" t="s">
        <v>373</v>
      </c>
      <c r="B25" s="169">
        <f>$B$5*('Rate History'!$D$4*SUMIF(Data!$G:$G,Neutral!$A25,Data!$CU:$CU)+'Rate History'!$D$5*SUMIF(Data!$G:$G,Neutral!$A25,Data!$CV:$CV)+'Rate History'!$D$6*SUMIF(Data!$G:$G,Neutral!$A25,Data!$CW:$CW)+'Rate History'!$D$7*SUMIF(Data!$G:$G,Neutral!$A25,Data!$CX:$CX)+'Rate History'!$D$8*SUMIF(Data!$G:$G,Neutral!$A25,Data!$CY:$CY)+'Rate History'!$D$9*SUMIF(Data!$G:$G,Neutral!$A25,Data!$CZ:$CZ)+'Rate History'!$D$10*SUMIF(Data!$G:$G,Neutral!$A25,Data!$DA:$DA)+'Rate History'!$D$11*SUMIF(Data!$G:$G,Neutral!$A25,Data!$DB:$DB)+'Rate History'!$D$12*SUMIF(Data!$G:$G,Neutral!$A25,Data!$DC:$DC)+'Rate History'!$D$13*SUMIF(Data!$G:$G,Neutral!$A25,Data!$DD:$DD)+'Rate History'!$D$14*SUMIF(Data!$G:$G,Neutral!$A25,Data!$DE:$DE)+'Rate History'!$D$15*SUMIF(Data!$G:$G,Neutral!$A25,Data!$DF:$DF)+'Rate History'!$D$16*SUMIF(Data!$G:$G,Neutral!$A25,Data!$DG:$DG)+'Rate History'!$D$17*SUMIF(Data!$G:$G,Neutral!$A25,Data!$DH:$DH)+'Rate History'!$D$18*SUMIF(Data!$G:$G,Neutral!$A25,Data!$DI:$DI)+'Rate History'!$D$19*SUMIF(Data!$G:$G,Neutral!$A25,Data!$DJ:$DJ)+'Rate History'!$D$20*SUMIF(Data!$G:$G,Neutral!$A25,Data!$DK:$DK)+'Rate History'!$D$21*SUMIF(Data!$G:$G,Neutral!$A25,Data!$DL:$DL)+'Rate History'!$D$22*SUMIF(Data!$G:$G,Neutral!$A25,Data!$DM:$DM)+'Rate History'!$D$23*SUMIF(Data!$G:$G,Neutral!$A25,Data!$DN:$DN)+'Rate History'!$D$24*SUMIF(Data!$G:$G,Neutral!$A25,Data!$DO:$DO)+'Rate History'!$D$25*SUMIF(Data!$G:$G,Neutral!$A25,Data!$DP:$DP)+'Rate History'!$D$26*SUMIF(Data!$G:$G,Neutral!$A25,Data!$DQ:$DQ)+'Rate History'!$D$27*SUMIF(Data!$G:$G,Neutral!$A25,Data!$DR:$DR)+'Rate History'!$D$28*SUMIF(Data!$G:$G,Neutral!$A25,Data!$DS:$DS)+'Rate History'!$D$29*SUMIF(Data!$G:$G,Neutral!$A25,Data!$DT:$DT)+'Rate History'!$D$30*SUMIF(Data!$G:$G,Neutral!$A25,Data!$DV:$DV)+'Rate History'!$D$31*SUMIF(Data!$G:$G,Neutral!$A25,Data!$DW:$DW))</f>
        <v>5718330.9837174239</v>
      </c>
      <c r="C25" s="169">
        <f>$C$5*('Rate History'!$C$4*SUMIF(Data!$G:$G,Neutral!$A25,Data!$CU:$CU)+'Rate History'!$C$5*SUMIF(Data!$G:$G,Neutral!$A25,Data!$CV:$CV)+'Rate History'!$C$6*SUMIF(Data!$G:$G,Neutral!$A25,Data!$CW:$CW)+'Rate History'!$C$7*SUMIF(Data!$G:$G,Neutral!$A25,Data!$CX:$CX)+'Rate History'!$C$8*SUMIF(Data!$G:$G,Neutral!$A25,Data!$CY:$CY)+'Rate History'!$C$9*SUMIF(Data!$G:$G,Neutral!$A25,Data!$CZ:$CZ)+'Rate History'!$C$10*SUMIF(Data!$G:$G,Neutral!$A25,Data!$DA:$DA)+'Rate History'!$C$11*SUMIF(Data!$G:$G,Neutral!$A25,Data!$DB:$DB)+'Rate History'!$C$12*SUMIF(Data!$G:$G,Neutral!$A25,Data!$DC:$DC)+'Rate History'!$C$13*SUMIF(Data!$G:$G,Neutral!$A25,Data!$DD:$DD)+'Rate History'!$C$14*SUMIF(Data!$G:$G,Neutral!$A25,Data!$DE:$DE)+'Rate History'!$C$15*SUMIF(Data!$G:$G,Neutral!$A25,Data!$DF:$DF)+'Rate History'!$C$16*SUMIF(Data!$G:$G,Neutral!$A25,Data!$DG:$DG)+'Rate History'!$C$17*SUMIF(Data!$G:$G,Neutral!$A25,Data!$DH:$DH)+'Rate History'!$C$18*SUMIF(Data!$G:$G,Neutral!$A25,Data!$DI:$DI)+'Rate History'!$C$19*SUMIF(Data!$G:$G,Neutral!$A25,Data!$DJ:$DJ)+'Rate History'!$C$20*SUMIF(Data!$G:$G,Neutral!$A25,Data!$DK:$DK)+'Rate History'!$C$21*SUMIF(Data!$G:$G,Neutral!$A25,Data!$DL:$DL)+'Rate History'!$C$22*SUMIF(Data!$G:$G,Neutral!$A25,Data!$DM:$DM)+'Rate History'!$C$23*SUMIF(Data!$G:$G,Neutral!$A25,Data!$DN:$DN)+'Rate History'!$C$24*SUMIF(Data!$G:$G,Neutral!$A25,Data!$DO:$DO)+'Rate History'!$C$25*SUMIF(Data!$G:$G,Neutral!$A25,Data!$DP:$DP)+'Rate History'!$C$26*SUMIF(Data!$G:$G,Neutral!$A25,Data!$DQ:$DQ)+'Rate History'!$C$27*SUMIF(Data!$G:$G,Neutral!$A25,Data!$DR:$DR)+'Rate History'!$C$28*SUMIF(Data!$G:$G,Neutral!$A25,Data!$DS:$DS)+'Rate History'!$C$29*SUMIF(Data!$G:$G,Neutral!$A25,Data!$DT:$DT)+'Rate History'!$C$30*SUMIF(Data!$G:$G,Neutral!$A25,Data!$DV:$DV)+'Rate History'!$C$31*SUMIF(Data!$G:$G,Neutral!$A25,Data!$DW:$DW))</f>
        <v>5696661.4515269967</v>
      </c>
      <c r="D25" s="170">
        <f t="shared" si="1"/>
        <v>-21669.532190427184</v>
      </c>
      <c r="E25" s="168">
        <f t="shared" si="0"/>
        <v>-3.7894854726195056E-3</v>
      </c>
    </row>
    <row r="26" spans="1:5" x14ac:dyDescent="0.25">
      <c r="A26" s="92" t="s">
        <v>442</v>
      </c>
      <c r="B26" s="169">
        <f>$B$5*('Rate History'!$D$4*SUMIF(Data!$G:$G,Neutral!$A26,Data!$CU:$CU)+'Rate History'!$D$5*SUMIF(Data!$G:$G,Neutral!$A26,Data!$CV:$CV)+'Rate History'!$D$6*SUMIF(Data!$G:$G,Neutral!$A26,Data!$CW:$CW)+'Rate History'!$D$7*SUMIF(Data!$G:$G,Neutral!$A26,Data!$CX:$CX)+'Rate History'!$D$8*SUMIF(Data!$G:$G,Neutral!$A26,Data!$CY:$CY)+'Rate History'!$D$9*SUMIF(Data!$G:$G,Neutral!$A26,Data!$CZ:$CZ)+'Rate History'!$D$10*SUMIF(Data!$G:$G,Neutral!$A26,Data!$DA:$DA)+'Rate History'!$D$11*SUMIF(Data!$G:$G,Neutral!$A26,Data!$DB:$DB)+'Rate History'!$D$12*SUMIF(Data!$G:$G,Neutral!$A26,Data!$DC:$DC)+'Rate History'!$D$13*SUMIF(Data!$G:$G,Neutral!$A26,Data!$DD:$DD)+'Rate History'!$D$14*SUMIF(Data!$G:$G,Neutral!$A26,Data!$DE:$DE)+'Rate History'!$D$15*SUMIF(Data!$G:$G,Neutral!$A26,Data!$DF:$DF)+'Rate History'!$D$16*SUMIF(Data!$G:$G,Neutral!$A26,Data!$DG:$DG)+'Rate History'!$D$17*SUMIF(Data!$G:$G,Neutral!$A26,Data!$DH:$DH)+'Rate History'!$D$18*SUMIF(Data!$G:$G,Neutral!$A26,Data!$DI:$DI)+'Rate History'!$D$19*SUMIF(Data!$G:$G,Neutral!$A26,Data!$DJ:$DJ)+'Rate History'!$D$20*SUMIF(Data!$G:$G,Neutral!$A26,Data!$DK:$DK)+'Rate History'!$D$21*SUMIF(Data!$G:$G,Neutral!$A26,Data!$DL:$DL)+'Rate History'!$D$22*SUMIF(Data!$G:$G,Neutral!$A26,Data!$DM:$DM)+'Rate History'!$D$23*SUMIF(Data!$G:$G,Neutral!$A26,Data!$DN:$DN)+'Rate History'!$D$24*SUMIF(Data!$G:$G,Neutral!$A26,Data!$DO:$DO)+'Rate History'!$D$25*SUMIF(Data!$G:$G,Neutral!$A26,Data!$DP:$DP)+'Rate History'!$D$26*SUMIF(Data!$G:$G,Neutral!$A26,Data!$DQ:$DQ)+'Rate History'!$D$27*SUMIF(Data!$G:$G,Neutral!$A26,Data!$DR:$DR)+'Rate History'!$D$28*SUMIF(Data!$G:$G,Neutral!$A26,Data!$DS:$DS)+'Rate History'!$D$29*SUMIF(Data!$G:$G,Neutral!$A26,Data!$DT:$DT)+'Rate History'!$D$30*SUMIF(Data!$G:$G,Neutral!$A26,Data!$DV:$DV)+'Rate History'!$D$31*SUMIF(Data!$G:$G,Neutral!$A26,Data!$DW:$DW))</f>
        <v>71981023.994239062</v>
      </c>
      <c r="C26" s="169">
        <f>$C$5*('Rate History'!$C$4*SUMIF(Data!$G:$G,Neutral!$A26,Data!$CU:$CU)+'Rate History'!$C$5*SUMIF(Data!$G:$G,Neutral!$A26,Data!$CV:$CV)+'Rate History'!$C$6*SUMIF(Data!$G:$G,Neutral!$A26,Data!$CW:$CW)+'Rate History'!$C$7*SUMIF(Data!$G:$G,Neutral!$A26,Data!$CX:$CX)+'Rate History'!$C$8*SUMIF(Data!$G:$G,Neutral!$A26,Data!$CY:$CY)+'Rate History'!$C$9*SUMIF(Data!$G:$G,Neutral!$A26,Data!$CZ:$CZ)+'Rate History'!$C$10*SUMIF(Data!$G:$G,Neutral!$A26,Data!$DA:$DA)+'Rate History'!$C$11*SUMIF(Data!$G:$G,Neutral!$A26,Data!$DB:$DB)+'Rate History'!$C$12*SUMIF(Data!$G:$G,Neutral!$A26,Data!$DC:$DC)+'Rate History'!$C$13*SUMIF(Data!$G:$G,Neutral!$A26,Data!$DD:$DD)+'Rate History'!$C$14*SUMIF(Data!$G:$G,Neutral!$A26,Data!$DE:$DE)+'Rate History'!$C$15*SUMIF(Data!$G:$G,Neutral!$A26,Data!$DF:$DF)+'Rate History'!$C$16*SUMIF(Data!$G:$G,Neutral!$A26,Data!$DG:$DG)+'Rate History'!$C$17*SUMIF(Data!$G:$G,Neutral!$A26,Data!$DH:$DH)+'Rate History'!$C$18*SUMIF(Data!$G:$G,Neutral!$A26,Data!$DI:$DI)+'Rate History'!$C$19*SUMIF(Data!$G:$G,Neutral!$A26,Data!$DJ:$DJ)+'Rate History'!$C$20*SUMIF(Data!$G:$G,Neutral!$A26,Data!$DK:$DK)+'Rate History'!$C$21*SUMIF(Data!$G:$G,Neutral!$A26,Data!$DL:$DL)+'Rate History'!$C$22*SUMIF(Data!$G:$G,Neutral!$A26,Data!$DM:$DM)+'Rate History'!$C$23*SUMIF(Data!$G:$G,Neutral!$A26,Data!$DN:$DN)+'Rate History'!$C$24*SUMIF(Data!$G:$G,Neutral!$A26,Data!$DO:$DO)+'Rate History'!$C$25*SUMIF(Data!$G:$G,Neutral!$A26,Data!$DP:$DP)+'Rate History'!$C$26*SUMIF(Data!$G:$G,Neutral!$A26,Data!$DQ:$DQ)+'Rate History'!$C$27*SUMIF(Data!$G:$G,Neutral!$A26,Data!$DR:$DR)+'Rate History'!$C$28*SUMIF(Data!$G:$G,Neutral!$A26,Data!$DS:$DS)+'Rate History'!$C$29*SUMIF(Data!$G:$G,Neutral!$A26,Data!$DT:$DT)+'Rate History'!$C$30*SUMIF(Data!$G:$G,Neutral!$A26,Data!$DV:$DV)+'Rate History'!$C$31*SUMIF(Data!$G:$G,Neutral!$A26,Data!$DW:$DW))</f>
        <v>72675369.415133223</v>
      </c>
      <c r="D26" s="170">
        <f t="shared" si="1"/>
        <v>694345.42089416087</v>
      </c>
      <c r="E26" s="168">
        <f t="shared" si="0"/>
        <v>9.6462287192487315E-3</v>
      </c>
    </row>
    <row r="27" spans="1:5" x14ac:dyDescent="0.25">
      <c r="A27" s="92" t="s">
        <v>375</v>
      </c>
      <c r="B27" s="169">
        <f>$B$5*('Rate History'!$D$4*SUMIF(Data!$G:$G,Neutral!$A27,Data!$CU:$CU)+'Rate History'!$D$5*SUMIF(Data!$G:$G,Neutral!$A27,Data!$CV:$CV)+'Rate History'!$D$6*SUMIF(Data!$G:$G,Neutral!$A27,Data!$CW:$CW)+'Rate History'!$D$7*SUMIF(Data!$G:$G,Neutral!$A27,Data!$CX:$CX)+'Rate History'!$D$8*SUMIF(Data!$G:$G,Neutral!$A27,Data!$CY:$CY)+'Rate History'!$D$9*SUMIF(Data!$G:$G,Neutral!$A27,Data!$CZ:$CZ)+'Rate History'!$D$10*SUMIF(Data!$G:$G,Neutral!$A27,Data!$DA:$DA)+'Rate History'!$D$11*SUMIF(Data!$G:$G,Neutral!$A27,Data!$DB:$DB)+'Rate History'!$D$12*SUMIF(Data!$G:$G,Neutral!$A27,Data!$DC:$DC)+'Rate History'!$D$13*SUMIF(Data!$G:$G,Neutral!$A27,Data!$DD:$DD)+'Rate History'!$D$14*SUMIF(Data!$G:$G,Neutral!$A27,Data!$DE:$DE)+'Rate History'!$D$15*SUMIF(Data!$G:$G,Neutral!$A27,Data!$DF:$DF)+'Rate History'!$D$16*SUMIF(Data!$G:$G,Neutral!$A27,Data!$DG:$DG)+'Rate History'!$D$17*SUMIF(Data!$G:$G,Neutral!$A27,Data!$DH:$DH)+'Rate History'!$D$18*SUMIF(Data!$G:$G,Neutral!$A27,Data!$DI:$DI)+'Rate History'!$D$19*SUMIF(Data!$G:$G,Neutral!$A27,Data!$DJ:$DJ)+'Rate History'!$D$20*SUMIF(Data!$G:$G,Neutral!$A27,Data!$DK:$DK)+'Rate History'!$D$21*SUMIF(Data!$G:$G,Neutral!$A27,Data!$DL:$DL)+'Rate History'!$D$22*SUMIF(Data!$G:$G,Neutral!$A27,Data!$DM:$DM)+'Rate History'!$D$23*SUMIF(Data!$G:$G,Neutral!$A27,Data!$DN:$DN)+'Rate History'!$D$24*SUMIF(Data!$G:$G,Neutral!$A27,Data!$DO:$DO)+'Rate History'!$D$25*SUMIF(Data!$G:$G,Neutral!$A27,Data!$DP:$DP)+'Rate History'!$D$26*SUMIF(Data!$G:$G,Neutral!$A27,Data!$DQ:$DQ)+'Rate History'!$D$27*SUMIF(Data!$G:$G,Neutral!$A27,Data!$DR:$DR)+'Rate History'!$D$28*SUMIF(Data!$G:$G,Neutral!$A27,Data!$DS:$DS)+'Rate History'!$D$29*SUMIF(Data!$G:$G,Neutral!$A27,Data!$DT:$DT)+'Rate History'!$D$30*SUMIF(Data!$G:$G,Neutral!$A27,Data!$DV:$DV)+'Rate History'!$D$31*SUMIF(Data!$G:$G,Neutral!$A27,Data!$DW:$DW))</f>
        <v>8071453.2308331635</v>
      </c>
      <c r="C27" s="169">
        <f>$C$5*('Rate History'!$C$4*SUMIF(Data!$G:$G,Neutral!$A27,Data!$CU:$CU)+'Rate History'!$C$5*SUMIF(Data!$G:$G,Neutral!$A27,Data!$CV:$CV)+'Rate History'!$C$6*SUMIF(Data!$G:$G,Neutral!$A27,Data!$CW:$CW)+'Rate History'!$C$7*SUMIF(Data!$G:$G,Neutral!$A27,Data!$CX:$CX)+'Rate History'!$C$8*SUMIF(Data!$G:$G,Neutral!$A27,Data!$CY:$CY)+'Rate History'!$C$9*SUMIF(Data!$G:$G,Neutral!$A27,Data!$CZ:$CZ)+'Rate History'!$C$10*SUMIF(Data!$G:$G,Neutral!$A27,Data!$DA:$DA)+'Rate History'!$C$11*SUMIF(Data!$G:$G,Neutral!$A27,Data!$DB:$DB)+'Rate History'!$C$12*SUMIF(Data!$G:$G,Neutral!$A27,Data!$DC:$DC)+'Rate History'!$C$13*SUMIF(Data!$G:$G,Neutral!$A27,Data!$DD:$DD)+'Rate History'!$C$14*SUMIF(Data!$G:$G,Neutral!$A27,Data!$DE:$DE)+'Rate History'!$C$15*SUMIF(Data!$G:$G,Neutral!$A27,Data!$DF:$DF)+'Rate History'!$C$16*SUMIF(Data!$G:$G,Neutral!$A27,Data!$DG:$DG)+'Rate History'!$C$17*SUMIF(Data!$G:$G,Neutral!$A27,Data!$DH:$DH)+'Rate History'!$C$18*SUMIF(Data!$G:$G,Neutral!$A27,Data!$DI:$DI)+'Rate History'!$C$19*SUMIF(Data!$G:$G,Neutral!$A27,Data!$DJ:$DJ)+'Rate History'!$C$20*SUMIF(Data!$G:$G,Neutral!$A27,Data!$DK:$DK)+'Rate History'!$C$21*SUMIF(Data!$G:$G,Neutral!$A27,Data!$DL:$DL)+'Rate History'!$C$22*SUMIF(Data!$G:$G,Neutral!$A27,Data!$DM:$DM)+'Rate History'!$C$23*SUMIF(Data!$G:$G,Neutral!$A27,Data!$DN:$DN)+'Rate History'!$C$24*SUMIF(Data!$G:$G,Neutral!$A27,Data!$DO:$DO)+'Rate History'!$C$25*SUMIF(Data!$G:$G,Neutral!$A27,Data!$DP:$DP)+'Rate History'!$C$26*SUMIF(Data!$G:$G,Neutral!$A27,Data!$DQ:$DQ)+'Rate History'!$C$27*SUMIF(Data!$G:$G,Neutral!$A27,Data!$DR:$DR)+'Rate History'!$C$28*SUMIF(Data!$G:$G,Neutral!$A27,Data!$DS:$DS)+'Rate History'!$C$29*SUMIF(Data!$G:$G,Neutral!$A27,Data!$DT:$DT)+'Rate History'!$C$30*SUMIF(Data!$G:$G,Neutral!$A27,Data!$DV:$DV)+'Rate History'!$C$31*SUMIF(Data!$G:$G,Neutral!$A27,Data!$DW:$DW))</f>
        <v>8141459.9380424665</v>
      </c>
      <c r="D27" s="170">
        <f t="shared" si="1"/>
        <v>70006.707209303044</v>
      </c>
      <c r="E27" s="168">
        <f t="shared" si="0"/>
        <v>8.6733708549379413E-3</v>
      </c>
    </row>
    <row r="28" spans="1:5" x14ac:dyDescent="0.25">
      <c r="A28" s="92" t="s">
        <v>377</v>
      </c>
      <c r="B28" s="169">
        <f>$B$5*('Rate History'!$D$4*SUMIF(Data!$G:$G,Neutral!$A28,Data!$CU:$CU)+'Rate History'!$D$5*SUMIF(Data!$G:$G,Neutral!$A28,Data!$CV:$CV)+'Rate History'!$D$6*SUMIF(Data!$G:$G,Neutral!$A28,Data!$CW:$CW)+'Rate History'!$D$7*SUMIF(Data!$G:$G,Neutral!$A28,Data!$CX:$CX)+'Rate History'!$D$8*SUMIF(Data!$G:$G,Neutral!$A28,Data!$CY:$CY)+'Rate History'!$D$9*SUMIF(Data!$G:$G,Neutral!$A28,Data!$CZ:$CZ)+'Rate History'!$D$10*SUMIF(Data!$G:$G,Neutral!$A28,Data!$DA:$DA)+'Rate History'!$D$11*SUMIF(Data!$G:$G,Neutral!$A28,Data!$DB:$DB)+'Rate History'!$D$12*SUMIF(Data!$G:$G,Neutral!$A28,Data!$DC:$DC)+'Rate History'!$D$13*SUMIF(Data!$G:$G,Neutral!$A28,Data!$DD:$DD)+'Rate History'!$D$14*SUMIF(Data!$G:$G,Neutral!$A28,Data!$DE:$DE)+'Rate History'!$D$15*SUMIF(Data!$G:$G,Neutral!$A28,Data!$DF:$DF)+'Rate History'!$D$16*SUMIF(Data!$G:$G,Neutral!$A28,Data!$DG:$DG)+'Rate History'!$D$17*SUMIF(Data!$G:$G,Neutral!$A28,Data!$DH:$DH)+'Rate History'!$D$18*SUMIF(Data!$G:$G,Neutral!$A28,Data!$DI:$DI)+'Rate History'!$D$19*SUMIF(Data!$G:$G,Neutral!$A28,Data!$DJ:$DJ)+'Rate History'!$D$20*SUMIF(Data!$G:$G,Neutral!$A28,Data!$DK:$DK)+'Rate History'!$D$21*SUMIF(Data!$G:$G,Neutral!$A28,Data!$DL:$DL)+'Rate History'!$D$22*SUMIF(Data!$G:$G,Neutral!$A28,Data!$DM:$DM)+'Rate History'!$D$23*SUMIF(Data!$G:$G,Neutral!$A28,Data!$DN:$DN)+'Rate History'!$D$24*SUMIF(Data!$G:$G,Neutral!$A28,Data!$DO:$DO)+'Rate History'!$D$25*SUMIF(Data!$G:$G,Neutral!$A28,Data!$DP:$DP)+'Rate History'!$D$26*SUMIF(Data!$G:$G,Neutral!$A28,Data!$DQ:$DQ)+'Rate History'!$D$27*SUMIF(Data!$G:$G,Neutral!$A28,Data!$DR:$DR)+'Rate History'!$D$28*SUMIF(Data!$G:$G,Neutral!$A28,Data!$DS:$DS)+'Rate History'!$D$29*SUMIF(Data!$G:$G,Neutral!$A28,Data!$DT:$DT)+'Rate History'!$D$30*SUMIF(Data!$G:$G,Neutral!$A28,Data!$DV:$DV)+'Rate History'!$D$31*SUMIF(Data!$G:$G,Neutral!$A28,Data!$DW:$DW))</f>
        <v>11140558.335711196</v>
      </c>
      <c r="C28" s="169">
        <f>$C$5*('Rate History'!$C$4*SUMIF(Data!$G:$G,Neutral!$A28,Data!$CU:$CU)+'Rate History'!$C$5*SUMIF(Data!$G:$G,Neutral!$A28,Data!$CV:$CV)+'Rate History'!$C$6*SUMIF(Data!$G:$G,Neutral!$A28,Data!$CW:$CW)+'Rate History'!$C$7*SUMIF(Data!$G:$G,Neutral!$A28,Data!$CX:$CX)+'Rate History'!$C$8*SUMIF(Data!$G:$G,Neutral!$A28,Data!$CY:$CY)+'Rate History'!$C$9*SUMIF(Data!$G:$G,Neutral!$A28,Data!$CZ:$CZ)+'Rate History'!$C$10*SUMIF(Data!$G:$G,Neutral!$A28,Data!$DA:$DA)+'Rate History'!$C$11*SUMIF(Data!$G:$G,Neutral!$A28,Data!$DB:$DB)+'Rate History'!$C$12*SUMIF(Data!$G:$G,Neutral!$A28,Data!$DC:$DC)+'Rate History'!$C$13*SUMIF(Data!$G:$G,Neutral!$A28,Data!$DD:$DD)+'Rate History'!$C$14*SUMIF(Data!$G:$G,Neutral!$A28,Data!$DE:$DE)+'Rate History'!$C$15*SUMIF(Data!$G:$G,Neutral!$A28,Data!$DF:$DF)+'Rate History'!$C$16*SUMIF(Data!$G:$G,Neutral!$A28,Data!$DG:$DG)+'Rate History'!$C$17*SUMIF(Data!$G:$G,Neutral!$A28,Data!$DH:$DH)+'Rate History'!$C$18*SUMIF(Data!$G:$G,Neutral!$A28,Data!$DI:$DI)+'Rate History'!$C$19*SUMIF(Data!$G:$G,Neutral!$A28,Data!$DJ:$DJ)+'Rate History'!$C$20*SUMIF(Data!$G:$G,Neutral!$A28,Data!$DK:$DK)+'Rate History'!$C$21*SUMIF(Data!$G:$G,Neutral!$A28,Data!$DL:$DL)+'Rate History'!$C$22*SUMIF(Data!$G:$G,Neutral!$A28,Data!$DM:$DM)+'Rate History'!$C$23*SUMIF(Data!$G:$G,Neutral!$A28,Data!$DN:$DN)+'Rate History'!$C$24*SUMIF(Data!$G:$G,Neutral!$A28,Data!$DO:$DO)+'Rate History'!$C$25*SUMIF(Data!$G:$G,Neutral!$A28,Data!$DP:$DP)+'Rate History'!$C$26*SUMIF(Data!$G:$G,Neutral!$A28,Data!$DQ:$DQ)+'Rate History'!$C$27*SUMIF(Data!$G:$G,Neutral!$A28,Data!$DR:$DR)+'Rate History'!$C$28*SUMIF(Data!$G:$G,Neutral!$A28,Data!$DS:$DS)+'Rate History'!$C$29*SUMIF(Data!$G:$G,Neutral!$A28,Data!$DT:$DT)+'Rate History'!$C$30*SUMIF(Data!$G:$G,Neutral!$A28,Data!$DV:$DV)+'Rate History'!$C$31*SUMIF(Data!$G:$G,Neutral!$A28,Data!$DW:$DW))</f>
        <v>11165036.501916336</v>
      </c>
      <c r="D28" s="170">
        <f t="shared" si="1"/>
        <v>24478.166205139831</v>
      </c>
      <c r="E28" s="168">
        <f t="shared" si="0"/>
        <v>2.1972117974262358E-3</v>
      </c>
    </row>
    <row r="29" spans="1:5" x14ac:dyDescent="0.25">
      <c r="A29" s="92" t="s">
        <v>379</v>
      </c>
      <c r="B29" s="169">
        <f>$B$5*('Rate History'!$D$4*SUMIF(Data!$G:$G,Neutral!$A29,Data!$CU:$CU)+'Rate History'!$D$5*SUMIF(Data!$G:$G,Neutral!$A29,Data!$CV:$CV)+'Rate History'!$D$6*SUMIF(Data!$G:$G,Neutral!$A29,Data!$CW:$CW)+'Rate History'!$D$7*SUMIF(Data!$G:$G,Neutral!$A29,Data!$CX:$CX)+'Rate History'!$D$8*SUMIF(Data!$G:$G,Neutral!$A29,Data!$CY:$CY)+'Rate History'!$D$9*SUMIF(Data!$G:$G,Neutral!$A29,Data!$CZ:$CZ)+'Rate History'!$D$10*SUMIF(Data!$G:$G,Neutral!$A29,Data!$DA:$DA)+'Rate History'!$D$11*SUMIF(Data!$G:$G,Neutral!$A29,Data!$DB:$DB)+'Rate History'!$D$12*SUMIF(Data!$G:$G,Neutral!$A29,Data!$DC:$DC)+'Rate History'!$D$13*SUMIF(Data!$G:$G,Neutral!$A29,Data!$DD:$DD)+'Rate History'!$D$14*SUMIF(Data!$G:$G,Neutral!$A29,Data!$DE:$DE)+'Rate History'!$D$15*SUMIF(Data!$G:$G,Neutral!$A29,Data!$DF:$DF)+'Rate History'!$D$16*SUMIF(Data!$G:$G,Neutral!$A29,Data!$DG:$DG)+'Rate History'!$D$17*SUMIF(Data!$G:$G,Neutral!$A29,Data!$DH:$DH)+'Rate History'!$D$18*SUMIF(Data!$G:$G,Neutral!$A29,Data!$DI:$DI)+'Rate History'!$D$19*SUMIF(Data!$G:$G,Neutral!$A29,Data!$DJ:$DJ)+'Rate History'!$D$20*SUMIF(Data!$G:$G,Neutral!$A29,Data!$DK:$DK)+'Rate History'!$D$21*SUMIF(Data!$G:$G,Neutral!$A29,Data!$DL:$DL)+'Rate History'!$D$22*SUMIF(Data!$G:$G,Neutral!$A29,Data!$DM:$DM)+'Rate History'!$D$23*SUMIF(Data!$G:$G,Neutral!$A29,Data!$DN:$DN)+'Rate History'!$D$24*SUMIF(Data!$G:$G,Neutral!$A29,Data!$DO:$DO)+'Rate History'!$D$25*SUMIF(Data!$G:$G,Neutral!$A29,Data!$DP:$DP)+'Rate History'!$D$26*SUMIF(Data!$G:$G,Neutral!$A29,Data!$DQ:$DQ)+'Rate History'!$D$27*SUMIF(Data!$G:$G,Neutral!$A29,Data!$DR:$DR)+'Rate History'!$D$28*SUMIF(Data!$G:$G,Neutral!$A29,Data!$DS:$DS)+'Rate History'!$D$29*SUMIF(Data!$G:$G,Neutral!$A29,Data!$DT:$DT)+'Rate History'!$D$30*SUMIF(Data!$G:$G,Neutral!$A29,Data!$DV:$DV)+'Rate History'!$D$31*SUMIF(Data!$G:$G,Neutral!$A29,Data!$DW:$DW))</f>
        <v>12678747.132338632</v>
      </c>
      <c r="C29" s="169">
        <f>$C$5*('Rate History'!$C$4*SUMIF(Data!$G:$G,Neutral!$A29,Data!$CU:$CU)+'Rate History'!$C$5*SUMIF(Data!$G:$G,Neutral!$A29,Data!$CV:$CV)+'Rate History'!$C$6*SUMIF(Data!$G:$G,Neutral!$A29,Data!$CW:$CW)+'Rate History'!$C$7*SUMIF(Data!$G:$G,Neutral!$A29,Data!$CX:$CX)+'Rate History'!$C$8*SUMIF(Data!$G:$G,Neutral!$A29,Data!$CY:$CY)+'Rate History'!$C$9*SUMIF(Data!$G:$G,Neutral!$A29,Data!$CZ:$CZ)+'Rate History'!$C$10*SUMIF(Data!$G:$G,Neutral!$A29,Data!$DA:$DA)+'Rate History'!$C$11*SUMIF(Data!$G:$G,Neutral!$A29,Data!$DB:$DB)+'Rate History'!$C$12*SUMIF(Data!$G:$G,Neutral!$A29,Data!$DC:$DC)+'Rate History'!$C$13*SUMIF(Data!$G:$G,Neutral!$A29,Data!$DD:$DD)+'Rate History'!$C$14*SUMIF(Data!$G:$G,Neutral!$A29,Data!$DE:$DE)+'Rate History'!$C$15*SUMIF(Data!$G:$G,Neutral!$A29,Data!$DF:$DF)+'Rate History'!$C$16*SUMIF(Data!$G:$G,Neutral!$A29,Data!$DG:$DG)+'Rate History'!$C$17*SUMIF(Data!$G:$G,Neutral!$A29,Data!$DH:$DH)+'Rate History'!$C$18*SUMIF(Data!$G:$G,Neutral!$A29,Data!$DI:$DI)+'Rate History'!$C$19*SUMIF(Data!$G:$G,Neutral!$A29,Data!$DJ:$DJ)+'Rate History'!$C$20*SUMIF(Data!$G:$G,Neutral!$A29,Data!$DK:$DK)+'Rate History'!$C$21*SUMIF(Data!$G:$G,Neutral!$A29,Data!$DL:$DL)+'Rate History'!$C$22*SUMIF(Data!$G:$G,Neutral!$A29,Data!$DM:$DM)+'Rate History'!$C$23*SUMIF(Data!$G:$G,Neutral!$A29,Data!$DN:$DN)+'Rate History'!$C$24*SUMIF(Data!$G:$G,Neutral!$A29,Data!$DO:$DO)+'Rate History'!$C$25*SUMIF(Data!$G:$G,Neutral!$A29,Data!$DP:$DP)+'Rate History'!$C$26*SUMIF(Data!$G:$G,Neutral!$A29,Data!$DQ:$DQ)+'Rate History'!$C$27*SUMIF(Data!$G:$G,Neutral!$A29,Data!$DR:$DR)+'Rate History'!$C$28*SUMIF(Data!$G:$G,Neutral!$A29,Data!$DS:$DS)+'Rate History'!$C$29*SUMIF(Data!$G:$G,Neutral!$A29,Data!$DT:$DT)+'Rate History'!$C$30*SUMIF(Data!$G:$G,Neutral!$A29,Data!$DV:$DV)+'Rate History'!$C$31*SUMIF(Data!$G:$G,Neutral!$A29,Data!$DW:$DW))</f>
        <v>12758409.888166856</v>
      </c>
      <c r="D29" s="170">
        <f t="shared" si="1"/>
        <v>79662.755828224123</v>
      </c>
      <c r="E29" s="168">
        <f t="shared" si="0"/>
        <v>6.2831725403715106E-3</v>
      </c>
    </row>
    <row r="30" spans="1:5" x14ac:dyDescent="0.25">
      <c r="A30" s="92" t="s">
        <v>381</v>
      </c>
      <c r="B30" s="169">
        <f>$B$5*('Rate History'!$D$4*SUMIF(Data!$G:$G,Neutral!$A30,Data!$CU:$CU)+'Rate History'!$D$5*SUMIF(Data!$G:$G,Neutral!$A30,Data!$CV:$CV)+'Rate History'!$D$6*SUMIF(Data!$G:$G,Neutral!$A30,Data!$CW:$CW)+'Rate History'!$D$7*SUMIF(Data!$G:$G,Neutral!$A30,Data!$CX:$CX)+'Rate History'!$D$8*SUMIF(Data!$G:$G,Neutral!$A30,Data!$CY:$CY)+'Rate History'!$D$9*SUMIF(Data!$G:$G,Neutral!$A30,Data!$CZ:$CZ)+'Rate History'!$D$10*SUMIF(Data!$G:$G,Neutral!$A30,Data!$DA:$DA)+'Rate History'!$D$11*SUMIF(Data!$G:$G,Neutral!$A30,Data!$DB:$DB)+'Rate History'!$D$12*SUMIF(Data!$G:$G,Neutral!$A30,Data!$DC:$DC)+'Rate History'!$D$13*SUMIF(Data!$G:$G,Neutral!$A30,Data!$DD:$DD)+'Rate History'!$D$14*SUMIF(Data!$G:$G,Neutral!$A30,Data!$DE:$DE)+'Rate History'!$D$15*SUMIF(Data!$G:$G,Neutral!$A30,Data!$DF:$DF)+'Rate History'!$D$16*SUMIF(Data!$G:$G,Neutral!$A30,Data!$DG:$DG)+'Rate History'!$D$17*SUMIF(Data!$G:$G,Neutral!$A30,Data!$DH:$DH)+'Rate History'!$D$18*SUMIF(Data!$G:$G,Neutral!$A30,Data!$DI:$DI)+'Rate History'!$D$19*SUMIF(Data!$G:$G,Neutral!$A30,Data!$DJ:$DJ)+'Rate History'!$D$20*SUMIF(Data!$G:$G,Neutral!$A30,Data!$DK:$DK)+'Rate History'!$D$21*SUMIF(Data!$G:$G,Neutral!$A30,Data!$DL:$DL)+'Rate History'!$D$22*SUMIF(Data!$G:$G,Neutral!$A30,Data!$DM:$DM)+'Rate History'!$D$23*SUMIF(Data!$G:$G,Neutral!$A30,Data!$DN:$DN)+'Rate History'!$D$24*SUMIF(Data!$G:$G,Neutral!$A30,Data!$DO:$DO)+'Rate History'!$D$25*SUMIF(Data!$G:$G,Neutral!$A30,Data!$DP:$DP)+'Rate History'!$D$26*SUMIF(Data!$G:$G,Neutral!$A30,Data!$DQ:$DQ)+'Rate History'!$D$27*SUMIF(Data!$G:$G,Neutral!$A30,Data!$DR:$DR)+'Rate History'!$D$28*SUMIF(Data!$G:$G,Neutral!$A30,Data!$DS:$DS)+'Rate History'!$D$29*SUMIF(Data!$G:$G,Neutral!$A30,Data!$DT:$DT)+'Rate History'!$D$30*SUMIF(Data!$G:$G,Neutral!$A30,Data!$DV:$DV)+'Rate History'!$D$31*SUMIF(Data!$G:$G,Neutral!$A30,Data!$DW:$DW))</f>
        <v>12072940.488173421</v>
      </c>
      <c r="C30" s="169">
        <f>$C$5*('Rate History'!$C$4*SUMIF(Data!$G:$G,Neutral!$A30,Data!$CU:$CU)+'Rate History'!$C$5*SUMIF(Data!$G:$G,Neutral!$A30,Data!$CV:$CV)+'Rate History'!$C$6*SUMIF(Data!$G:$G,Neutral!$A30,Data!$CW:$CW)+'Rate History'!$C$7*SUMIF(Data!$G:$G,Neutral!$A30,Data!$CX:$CX)+'Rate History'!$C$8*SUMIF(Data!$G:$G,Neutral!$A30,Data!$CY:$CY)+'Rate History'!$C$9*SUMIF(Data!$G:$G,Neutral!$A30,Data!$CZ:$CZ)+'Rate History'!$C$10*SUMIF(Data!$G:$G,Neutral!$A30,Data!$DA:$DA)+'Rate History'!$C$11*SUMIF(Data!$G:$G,Neutral!$A30,Data!$DB:$DB)+'Rate History'!$C$12*SUMIF(Data!$G:$G,Neutral!$A30,Data!$DC:$DC)+'Rate History'!$C$13*SUMIF(Data!$G:$G,Neutral!$A30,Data!$DD:$DD)+'Rate History'!$C$14*SUMIF(Data!$G:$G,Neutral!$A30,Data!$DE:$DE)+'Rate History'!$C$15*SUMIF(Data!$G:$G,Neutral!$A30,Data!$DF:$DF)+'Rate History'!$C$16*SUMIF(Data!$G:$G,Neutral!$A30,Data!$DG:$DG)+'Rate History'!$C$17*SUMIF(Data!$G:$G,Neutral!$A30,Data!$DH:$DH)+'Rate History'!$C$18*SUMIF(Data!$G:$G,Neutral!$A30,Data!$DI:$DI)+'Rate History'!$C$19*SUMIF(Data!$G:$G,Neutral!$A30,Data!$DJ:$DJ)+'Rate History'!$C$20*SUMIF(Data!$G:$G,Neutral!$A30,Data!$DK:$DK)+'Rate History'!$C$21*SUMIF(Data!$G:$G,Neutral!$A30,Data!$DL:$DL)+'Rate History'!$C$22*SUMIF(Data!$G:$G,Neutral!$A30,Data!$DM:$DM)+'Rate History'!$C$23*SUMIF(Data!$G:$G,Neutral!$A30,Data!$DN:$DN)+'Rate History'!$C$24*SUMIF(Data!$G:$G,Neutral!$A30,Data!$DO:$DO)+'Rate History'!$C$25*SUMIF(Data!$G:$G,Neutral!$A30,Data!$DP:$DP)+'Rate History'!$C$26*SUMIF(Data!$G:$G,Neutral!$A30,Data!$DQ:$DQ)+'Rate History'!$C$27*SUMIF(Data!$G:$G,Neutral!$A30,Data!$DR:$DR)+'Rate History'!$C$28*SUMIF(Data!$G:$G,Neutral!$A30,Data!$DS:$DS)+'Rate History'!$C$29*SUMIF(Data!$G:$G,Neutral!$A30,Data!$DT:$DT)+'Rate History'!$C$30*SUMIF(Data!$G:$G,Neutral!$A30,Data!$DV:$DV)+'Rate History'!$C$31*SUMIF(Data!$G:$G,Neutral!$A30,Data!$DW:$DW))</f>
        <v>11940361.062737713</v>
      </c>
      <c r="D30" s="170">
        <f t="shared" si="1"/>
        <v>-132579.42543570884</v>
      </c>
      <c r="E30" s="168">
        <f t="shared" si="0"/>
        <v>-1.0981535572512996E-2</v>
      </c>
    </row>
    <row r="31" spans="1:5" x14ac:dyDescent="0.25">
      <c r="A31" s="91" t="s">
        <v>1093</v>
      </c>
      <c r="B31" s="169">
        <f>$B$5*('Rate History'!$D$4*SUMIF(Data!$G:$G,Neutral!$A31,Data!$CU:$CU)+'Rate History'!$D$5*SUMIF(Data!$G:$G,Neutral!$A31,Data!$CV:$CV)+'Rate History'!$D$6*SUMIF(Data!$G:$G,Neutral!$A31,Data!$CW:$CW)+'Rate History'!$D$7*SUMIF(Data!$G:$G,Neutral!$A31,Data!$CX:$CX)+'Rate History'!$D$8*SUMIF(Data!$G:$G,Neutral!$A31,Data!$CY:$CY)+'Rate History'!$D$9*SUMIF(Data!$G:$G,Neutral!$A31,Data!$CZ:$CZ)+'Rate History'!$D$10*SUMIF(Data!$G:$G,Neutral!$A31,Data!$DA:$DA)+'Rate History'!$D$11*SUMIF(Data!$G:$G,Neutral!$A31,Data!$DB:$DB)+'Rate History'!$D$12*SUMIF(Data!$G:$G,Neutral!$A31,Data!$DC:$DC)+'Rate History'!$D$13*SUMIF(Data!$G:$G,Neutral!$A31,Data!$DD:$DD)+'Rate History'!$D$14*SUMIF(Data!$G:$G,Neutral!$A31,Data!$DE:$DE)+'Rate History'!$D$15*SUMIF(Data!$G:$G,Neutral!$A31,Data!$DF:$DF)+'Rate History'!$D$16*SUMIF(Data!$G:$G,Neutral!$A31,Data!$DG:$DG)+'Rate History'!$D$17*SUMIF(Data!$G:$G,Neutral!$A31,Data!$DH:$DH)+'Rate History'!$D$18*SUMIF(Data!$G:$G,Neutral!$A31,Data!$DI:$DI)+'Rate History'!$D$19*SUMIF(Data!$G:$G,Neutral!$A31,Data!$DJ:$DJ)+'Rate History'!$D$20*SUMIF(Data!$G:$G,Neutral!$A31,Data!$DK:$DK)+'Rate History'!$D$21*SUMIF(Data!$G:$G,Neutral!$A31,Data!$DL:$DL)+'Rate History'!$D$22*SUMIF(Data!$G:$G,Neutral!$A31,Data!$DM:$DM)+'Rate History'!$D$23*SUMIF(Data!$G:$G,Neutral!$A31,Data!$DN:$DN)+'Rate History'!$D$24*SUMIF(Data!$G:$G,Neutral!$A31,Data!$DO:$DO)+'Rate History'!$D$25*SUMIF(Data!$G:$G,Neutral!$A31,Data!$DP:$DP)+'Rate History'!$D$26*SUMIF(Data!$G:$G,Neutral!$A31,Data!$DQ:$DQ)+'Rate History'!$D$27*SUMIF(Data!$G:$G,Neutral!$A31,Data!$DR:$DR)+'Rate History'!$D$28*SUMIF(Data!$G:$G,Neutral!$A31,Data!$DS:$DS)+'Rate History'!$D$29*SUMIF(Data!$G:$G,Neutral!$A31,Data!$DT:$DT)+'Rate History'!$D$30*SUMIF(Data!$G:$G,Neutral!$A31,Data!$DV:$DV)+'Rate History'!$D$31*SUMIF(Data!$G:$G,Neutral!$A31,Data!$DW:$DW))</f>
        <v>0</v>
      </c>
      <c r="C31" s="169">
        <f>$C$5*('Rate History'!$C$4*SUMIF(Data!$G:$G,Neutral!$A31,Data!$CU:$CU)+'Rate History'!$C$5*SUMIF(Data!$G:$G,Neutral!$A31,Data!$CV:$CV)+'Rate History'!$C$6*SUMIF(Data!$G:$G,Neutral!$A31,Data!$CW:$CW)+'Rate History'!$C$7*SUMIF(Data!$G:$G,Neutral!$A31,Data!$CX:$CX)+'Rate History'!$C$8*SUMIF(Data!$G:$G,Neutral!$A31,Data!$CY:$CY)+'Rate History'!$C$9*SUMIF(Data!$G:$G,Neutral!$A31,Data!$CZ:$CZ)+'Rate History'!$C$10*SUMIF(Data!$G:$G,Neutral!$A31,Data!$DA:$DA)+'Rate History'!$C$11*SUMIF(Data!$G:$G,Neutral!$A31,Data!$DB:$DB)+'Rate History'!$C$12*SUMIF(Data!$G:$G,Neutral!$A31,Data!$DC:$DC)+'Rate History'!$C$13*SUMIF(Data!$G:$G,Neutral!$A31,Data!$DD:$DD)+'Rate History'!$C$14*SUMIF(Data!$G:$G,Neutral!$A31,Data!$DE:$DE)+'Rate History'!$C$15*SUMIF(Data!$G:$G,Neutral!$A31,Data!$DF:$DF)+'Rate History'!$C$16*SUMIF(Data!$G:$G,Neutral!$A31,Data!$DG:$DG)+'Rate History'!$C$17*SUMIF(Data!$G:$G,Neutral!$A31,Data!$DH:$DH)+'Rate History'!$C$18*SUMIF(Data!$G:$G,Neutral!$A31,Data!$DI:$DI)+'Rate History'!$C$19*SUMIF(Data!$G:$G,Neutral!$A31,Data!$DJ:$DJ)+'Rate History'!$C$20*SUMIF(Data!$G:$G,Neutral!$A31,Data!$DK:$DK)+'Rate History'!$C$21*SUMIF(Data!$G:$G,Neutral!$A31,Data!$DL:$DL)+'Rate History'!$C$22*SUMIF(Data!$G:$G,Neutral!$A31,Data!$DM:$DM)+'Rate History'!$C$23*SUMIF(Data!$G:$G,Neutral!$A31,Data!$DN:$DN)+'Rate History'!$C$24*SUMIF(Data!$G:$G,Neutral!$A31,Data!$DO:$DO)+'Rate History'!$C$25*SUMIF(Data!$G:$G,Neutral!$A31,Data!$DP:$DP)+'Rate History'!$C$26*SUMIF(Data!$G:$G,Neutral!$A31,Data!$DQ:$DQ)+'Rate History'!$C$27*SUMIF(Data!$G:$G,Neutral!$A31,Data!$DR:$DR)+'Rate History'!$C$28*SUMIF(Data!$G:$G,Neutral!$A31,Data!$DS:$DS)+'Rate History'!$C$29*SUMIF(Data!$G:$G,Neutral!$A31,Data!$DT:$DT)+'Rate History'!$C$30*SUMIF(Data!$G:$G,Neutral!$A31,Data!$DV:$DV)+'Rate History'!$C$31*SUMIF(Data!$G:$G,Neutral!$A31,Data!$DW:$DW))</f>
        <v>0</v>
      </c>
      <c r="D31" s="170">
        <f t="shared" si="1"/>
        <v>0</v>
      </c>
      <c r="E31" s="168" t="str">
        <f t="shared" si="0"/>
        <v/>
      </c>
    </row>
    <row r="32" spans="1:5" x14ac:dyDescent="0.25">
      <c r="A32" s="92" t="s">
        <v>383</v>
      </c>
      <c r="B32" s="169">
        <f>$B$5*('Rate History'!$D$4*SUMIF(Data!$G:$G,Neutral!$A32,Data!$CU:$CU)+'Rate History'!$D$5*SUMIF(Data!$G:$G,Neutral!$A32,Data!$CV:$CV)+'Rate History'!$D$6*SUMIF(Data!$G:$G,Neutral!$A32,Data!$CW:$CW)+'Rate History'!$D$7*SUMIF(Data!$G:$G,Neutral!$A32,Data!$CX:$CX)+'Rate History'!$D$8*SUMIF(Data!$G:$G,Neutral!$A32,Data!$CY:$CY)+'Rate History'!$D$9*SUMIF(Data!$G:$G,Neutral!$A32,Data!$CZ:$CZ)+'Rate History'!$D$10*SUMIF(Data!$G:$G,Neutral!$A32,Data!$DA:$DA)+'Rate History'!$D$11*SUMIF(Data!$G:$G,Neutral!$A32,Data!$DB:$DB)+'Rate History'!$D$12*SUMIF(Data!$G:$G,Neutral!$A32,Data!$DC:$DC)+'Rate History'!$D$13*SUMIF(Data!$G:$G,Neutral!$A32,Data!$DD:$DD)+'Rate History'!$D$14*SUMIF(Data!$G:$G,Neutral!$A32,Data!$DE:$DE)+'Rate History'!$D$15*SUMIF(Data!$G:$G,Neutral!$A32,Data!$DF:$DF)+'Rate History'!$D$16*SUMIF(Data!$G:$G,Neutral!$A32,Data!$DG:$DG)+'Rate History'!$D$17*SUMIF(Data!$G:$G,Neutral!$A32,Data!$DH:$DH)+'Rate History'!$D$18*SUMIF(Data!$G:$G,Neutral!$A32,Data!$DI:$DI)+'Rate History'!$D$19*SUMIF(Data!$G:$G,Neutral!$A32,Data!$DJ:$DJ)+'Rate History'!$D$20*SUMIF(Data!$G:$G,Neutral!$A32,Data!$DK:$DK)+'Rate History'!$D$21*SUMIF(Data!$G:$G,Neutral!$A32,Data!$DL:$DL)+'Rate History'!$D$22*SUMIF(Data!$G:$G,Neutral!$A32,Data!$DM:$DM)+'Rate History'!$D$23*SUMIF(Data!$G:$G,Neutral!$A32,Data!$DN:$DN)+'Rate History'!$D$24*SUMIF(Data!$G:$G,Neutral!$A32,Data!$DO:$DO)+'Rate History'!$D$25*SUMIF(Data!$G:$G,Neutral!$A32,Data!$DP:$DP)+'Rate History'!$D$26*SUMIF(Data!$G:$G,Neutral!$A32,Data!$DQ:$DQ)+'Rate History'!$D$27*SUMIF(Data!$G:$G,Neutral!$A32,Data!$DR:$DR)+'Rate History'!$D$28*SUMIF(Data!$G:$G,Neutral!$A32,Data!$DS:$DS)+'Rate History'!$D$29*SUMIF(Data!$G:$G,Neutral!$A32,Data!$DT:$DT)+'Rate History'!$D$30*SUMIF(Data!$G:$G,Neutral!$A32,Data!$DV:$DV)+'Rate History'!$D$31*SUMIF(Data!$G:$G,Neutral!$A32,Data!$DW:$DW))</f>
        <v>13548555.559791455</v>
      </c>
      <c r="C32" s="169">
        <f>$C$5*('Rate History'!$C$4*SUMIF(Data!$G:$G,Neutral!$A32,Data!$CU:$CU)+'Rate History'!$C$5*SUMIF(Data!$G:$G,Neutral!$A32,Data!$CV:$CV)+'Rate History'!$C$6*SUMIF(Data!$G:$G,Neutral!$A32,Data!$CW:$CW)+'Rate History'!$C$7*SUMIF(Data!$G:$G,Neutral!$A32,Data!$CX:$CX)+'Rate History'!$C$8*SUMIF(Data!$G:$G,Neutral!$A32,Data!$CY:$CY)+'Rate History'!$C$9*SUMIF(Data!$G:$G,Neutral!$A32,Data!$CZ:$CZ)+'Rate History'!$C$10*SUMIF(Data!$G:$G,Neutral!$A32,Data!$DA:$DA)+'Rate History'!$C$11*SUMIF(Data!$G:$G,Neutral!$A32,Data!$DB:$DB)+'Rate History'!$C$12*SUMIF(Data!$G:$G,Neutral!$A32,Data!$DC:$DC)+'Rate History'!$C$13*SUMIF(Data!$G:$G,Neutral!$A32,Data!$DD:$DD)+'Rate History'!$C$14*SUMIF(Data!$G:$G,Neutral!$A32,Data!$DE:$DE)+'Rate History'!$C$15*SUMIF(Data!$G:$G,Neutral!$A32,Data!$DF:$DF)+'Rate History'!$C$16*SUMIF(Data!$G:$G,Neutral!$A32,Data!$DG:$DG)+'Rate History'!$C$17*SUMIF(Data!$G:$G,Neutral!$A32,Data!$DH:$DH)+'Rate History'!$C$18*SUMIF(Data!$G:$G,Neutral!$A32,Data!$DI:$DI)+'Rate History'!$C$19*SUMIF(Data!$G:$G,Neutral!$A32,Data!$DJ:$DJ)+'Rate History'!$C$20*SUMIF(Data!$G:$G,Neutral!$A32,Data!$DK:$DK)+'Rate History'!$C$21*SUMIF(Data!$G:$G,Neutral!$A32,Data!$DL:$DL)+'Rate History'!$C$22*SUMIF(Data!$G:$G,Neutral!$A32,Data!$DM:$DM)+'Rate History'!$C$23*SUMIF(Data!$G:$G,Neutral!$A32,Data!$DN:$DN)+'Rate History'!$C$24*SUMIF(Data!$G:$G,Neutral!$A32,Data!$DO:$DO)+'Rate History'!$C$25*SUMIF(Data!$G:$G,Neutral!$A32,Data!$DP:$DP)+'Rate History'!$C$26*SUMIF(Data!$G:$G,Neutral!$A32,Data!$DQ:$DQ)+'Rate History'!$C$27*SUMIF(Data!$G:$G,Neutral!$A32,Data!$DR:$DR)+'Rate History'!$C$28*SUMIF(Data!$G:$G,Neutral!$A32,Data!$DS:$DS)+'Rate History'!$C$29*SUMIF(Data!$G:$G,Neutral!$A32,Data!$DT:$DT)+'Rate History'!$C$30*SUMIF(Data!$G:$G,Neutral!$A32,Data!$DV:$DV)+'Rate History'!$C$31*SUMIF(Data!$G:$G,Neutral!$A32,Data!$DW:$DW))</f>
        <v>13524605.744151291</v>
      </c>
      <c r="D32" s="170">
        <f t="shared" si="1"/>
        <v>-23949.815640164539</v>
      </c>
      <c r="E32" s="168">
        <f t="shared" si="0"/>
        <v>-1.7677025078039527E-3</v>
      </c>
    </row>
    <row r="33" spans="1:5" x14ac:dyDescent="0.25">
      <c r="A33" s="92" t="s">
        <v>434</v>
      </c>
      <c r="B33" s="169">
        <f>$B$5*('Rate History'!$D$4*SUMIF(Data!$G:$G,Neutral!$A33,Data!$CU:$CU)+'Rate History'!$D$5*SUMIF(Data!$G:$G,Neutral!$A33,Data!$CV:$CV)+'Rate History'!$D$6*SUMIF(Data!$G:$G,Neutral!$A33,Data!$CW:$CW)+'Rate History'!$D$7*SUMIF(Data!$G:$G,Neutral!$A33,Data!$CX:$CX)+'Rate History'!$D$8*SUMIF(Data!$G:$G,Neutral!$A33,Data!$CY:$CY)+'Rate History'!$D$9*SUMIF(Data!$G:$G,Neutral!$A33,Data!$CZ:$CZ)+'Rate History'!$D$10*SUMIF(Data!$G:$G,Neutral!$A33,Data!$DA:$DA)+'Rate History'!$D$11*SUMIF(Data!$G:$G,Neutral!$A33,Data!$DB:$DB)+'Rate History'!$D$12*SUMIF(Data!$G:$G,Neutral!$A33,Data!$DC:$DC)+'Rate History'!$D$13*SUMIF(Data!$G:$G,Neutral!$A33,Data!$DD:$DD)+'Rate History'!$D$14*SUMIF(Data!$G:$G,Neutral!$A33,Data!$DE:$DE)+'Rate History'!$D$15*SUMIF(Data!$G:$G,Neutral!$A33,Data!$DF:$DF)+'Rate History'!$D$16*SUMIF(Data!$G:$G,Neutral!$A33,Data!$DG:$DG)+'Rate History'!$D$17*SUMIF(Data!$G:$G,Neutral!$A33,Data!$DH:$DH)+'Rate History'!$D$18*SUMIF(Data!$G:$G,Neutral!$A33,Data!$DI:$DI)+'Rate History'!$D$19*SUMIF(Data!$G:$G,Neutral!$A33,Data!$DJ:$DJ)+'Rate History'!$D$20*SUMIF(Data!$G:$G,Neutral!$A33,Data!$DK:$DK)+'Rate History'!$D$21*SUMIF(Data!$G:$G,Neutral!$A33,Data!$DL:$DL)+'Rate History'!$D$22*SUMIF(Data!$G:$G,Neutral!$A33,Data!$DM:$DM)+'Rate History'!$D$23*SUMIF(Data!$G:$G,Neutral!$A33,Data!$DN:$DN)+'Rate History'!$D$24*SUMIF(Data!$G:$G,Neutral!$A33,Data!$DO:$DO)+'Rate History'!$D$25*SUMIF(Data!$G:$G,Neutral!$A33,Data!$DP:$DP)+'Rate History'!$D$26*SUMIF(Data!$G:$G,Neutral!$A33,Data!$DQ:$DQ)+'Rate History'!$D$27*SUMIF(Data!$G:$G,Neutral!$A33,Data!$DR:$DR)+'Rate History'!$D$28*SUMIF(Data!$G:$G,Neutral!$A33,Data!$DS:$DS)+'Rate History'!$D$29*SUMIF(Data!$G:$G,Neutral!$A33,Data!$DT:$DT)+'Rate History'!$D$30*SUMIF(Data!$G:$G,Neutral!$A33,Data!$DV:$DV)+'Rate History'!$D$31*SUMIF(Data!$G:$G,Neutral!$A33,Data!$DW:$DW))</f>
        <v>9480096.4329773802</v>
      </c>
      <c r="C33" s="169">
        <f>$C$5*('Rate History'!$C$4*SUMIF(Data!$G:$G,Neutral!$A33,Data!$CU:$CU)+'Rate History'!$C$5*SUMIF(Data!$G:$G,Neutral!$A33,Data!$CV:$CV)+'Rate History'!$C$6*SUMIF(Data!$G:$G,Neutral!$A33,Data!$CW:$CW)+'Rate History'!$C$7*SUMIF(Data!$G:$G,Neutral!$A33,Data!$CX:$CX)+'Rate History'!$C$8*SUMIF(Data!$G:$G,Neutral!$A33,Data!$CY:$CY)+'Rate History'!$C$9*SUMIF(Data!$G:$G,Neutral!$A33,Data!$CZ:$CZ)+'Rate History'!$C$10*SUMIF(Data!$G:$G,Neutral!$A33,Data!$DA:$DA)+'Rate History'!$C$11*SUMIF(Data!$G:$G,Neutral!$A33,Data!$DB:$DB)+'Rate History'!$C$12*SUMIF(Data!$G:$G,Neutral!$A33,Data!$DC:$DC)+'Rate History'!$C$13*SUMIF(Data!$G:$G,Neutral!$A33,Data!$DD:$DD)+'Rate History'!$C$14*SUMIF(Data!$G:$G,Neutral!$A33,Data!$DE:$DE)+'Rate History'!$C$15*SUMIF(Data!$G:$G,Neutral!$A33,Data!$DF:$DF)+'Rate History'!$C$16*SUMIF(Data!$G:$G,Neutral!$A33,Data!$DG:$DG)+'Rate History'!$C$17*SUMIF(Data!$G:$G,Neutral!$A33,Data!$DH:$DH)+'Rate History'!$C$18*SUMIF(Data!$G:$G,Neutral!$A33,Data!$DI:$DI)+'Rate History'!$C$19*SUMIF(Data!$G:$G,Neutral!$A33,Data!$DJ:$DJ)+'Rate History'!$C$20*SUMIF(Data!$G:$G,Neutral!$A33,Data!$DK:$DK)+'Rate History'!$C$21*SUMIF(Data!$G:$G,Neutral!$A33,Data!$DL:$DL)+'Rate History'!$C$22*SUMIF(Data!$G:$G,Neutral!$A33,Data!$DM:$DM)+'Rate History'!$C$23*SUMIF(Data!$G:$G,Neutral!$A33,Data!$DN:$DN)+'Rate History'!$C$24*SUMIF(Data!$G:$G,Neutral!$A33,Data!$DO:$DO)+'Rate History'!$C$25*SUMIF(Data!$G:$G,Neutral!$A33,Data!$DP:$DP)+'Rate History'!$C$26*SUMIF(Data!$G:$G,Neutral!$A33,Data!$DQ:$DQ)+'Rate History'!$C$27*SUMIF(Data!$G:$G,Neutral!$A33,Data!$DR:$DR)+'Rate History'!$C$28*SUMIF(Data!$G:$G,Neutral!$A33,Data!$DS:$DS)+'Rate History'!$C$29*SUMIF(Data!$G:$G,Neutral!$A33,Data!$DT:$DT)+'Rate History'!$C$30*SUMIF(Data!$G:$G,Neutral!$A33,Data!$DV:$DV)+'Rate History'!$C$31*SUMIF(Data!$G:$G,Neutral!$A33,Data!$DW:$DW))</f>
        <v>9437452.2058167253</v>
      </c>
      <c r="D33" s="170">
        <f t="shared" si="1"/>
        <v>-42644.227160654962</v>
      </c>
      <c r="E33" s="168">
        <f t="shared" si="0"/>
        <v>-4.4982904406239083E-3</v>
      </c>
    </row>
    <row r="34" spans="1:5" x14ac:dyDescent="0.25">
      <c r="A34" s="92" t="s">
        <v>385</v>
      </c>
      <c r="B34" s="169">
        <f>$B$5*('Rate History'!$D$4*SUMIF(Data!$G:$G,Neutral!$A34,Data!$CU:$CU)+'Rate History'!$D$5*SUMIF(Data!$G:$G,Neutral!$A34,Data!$CV:$CV)+'Rate History'!$D$6*SUMIF(Data!$G:$G,Neutral!$A34,Data!$CW:$CW)+'Rate History'!$D$7*SUMIF(Data!$G:$G,Neutral!$A34,Data!$CX:$CX)+'Rate History'!$D$8*SUMIF(Data!$G:$G,Neutral!$A34,Data!$CY:$CY)+'Rate History'!$D$9*SUMIF(Data!$G:$G,Neutral!$A34,Data!$CZ:$CZ)+'Rate History'!$D$10*SUMIF(Data!$G:$G,Neutral!$A34,Data!$DA:$DA)+'Rate History'!$D$11*SUMIF(Data!$G:$G,Neutral!$A34,Data!$DB:$DB)+'Rate History'!$D$12*SUMIF(Data!$G:$G,Neutral!$A34,Data!$DC:$DC)+'Rate History'!$D$13*SUMIF(Data!$G:$G,Neutral!$A34,Data!$DD:$DD)+'Rate History'!$D$14*SUMIF(Data!$G:$G,Neutral!$A34,Data!$DE:$DE)+'Rate History'!$D$15*SUMIF(Data!$G:$G,Neutral!$A34,Data!$DF:$DF)+'Rate History'!$D$16*SUMIF(Data!$G:$G,Neutral!$A34,Data!$DG:$DG)+'Rate History'!$D$17*SUMIF(Data!$G:$G,Neutral!$A34,Data!$DH:$DH)+'Rate History'!$D$18*SUMIF(Data!$G:$G,Neutral!$A34,Data!$DI:$DI)+'Rate History'!$D$19*SUMIF(Data!$G:$G,Neutral!$A34,Data!$DJ:$DJ)+'Rate History'!$D$20*SUMIF(Data!$G:$G,Neutral!$A34,Data!$DK:$DK)+'Rate History'!$D$21*SUMIF(Data!$G:$G,Neutral!$A34,Data!$DL:$DL)+'Rate History'!$D$22*SUMIF(Data!$G:$G,Neutral!$A34,Data!$DM:$DM)+'Rate History'!$D$23*SUMIF(Data!$G:$G,Neutral!$A34,Data!$DN:$DN)+'Rate History'!$D$24*SUMIF(Data!$G:$G,Neutral!$A34,Data!$DO:$DO)+'Rate History'!$D$25*SUMIF(Data!$G:$G,Neutral!$A34,Data!$DP:$DP)+'Rate History'!$D$26*SUMIF(Data!$G:$G,Neutral!$A34,Data!$DQ:$DQ)+'Rate History'!$D$27*SUMIF(Data!$G:$G,Neutral!$A34,Data!$DR:$DR)+'Rate History'!$D$28*SUMIF(Data!$G:$G,Neutral!$A34,Data!$DS:$DS)+'Rate History'!$D$29*SUMIF(Data!$G:$G,Neutral!$A34,Data!$DT:$DT)+'Rate History'!$D$30*SUMIF(Data!$G:$G,Neutral!$A34,Data!$DV:$DV)+'Rate History'!$D$31*SUMIF(Data!$G:$G,Neutral!$A34,Data!$DW:$DW))</f>
        <v>10047130.042818112</v>
      </c>
      <c r="C34" s="169">
        <f>$C$5*('Rate History'!$C$4*SUMIF(Data!$G:$G,Neutral!$A34,Data!$CU:$CU)+'Rate History'!$C$5*SUMIF(Data!$G:$G,Neutral!$A34,Data!$CV:$CV)+'Rate History'!$C$6*SUMIF(Data!$G:$G,Neutral!$A34,Data!$CW:$CW)+'Rate History'!$C$7*SUMIF(Data!$G:$G,Neutral!$A34,Data!$CX:$CX)+'Rate History'!$C$8*SUMIF(Data!$G:$G,Neutral!$A34,Data!$CY:$CY)+'Rate History'!$C$9*SUMIF(Data!$G:$G,Neutral!$A34,Data!$CZ:$CZ)+'Rate History'!$C$10*SUMIF(Data!$G:$G,Neutral!$A34,Data!$DA:$DA)+'Rate History'!$C$11*SUMIF(Data!$G:$G,Neutral!$A34,Data!$DB:$DB)+'Rate History'!$C$12*SUMIF(Data!$G:$G,Neutral!$A34,Data!$DC:$DC)+'Rate History'!$C$13*SUMIF(Data!$G:$G,Neutral!$A34,Data!$DD:$DD)+'Rate History'!$C$14*SUMIF(Data!$G:$G,Neutral!$A34,Data!$DE:$DE)+'Rate History'!$C$15*SUMIF(Data!$G:$G,Neutral!$A34,Data!$DF:$DF)+'Rate History'!$C$16*SUMIF(Data!$G:$G,Neutral!$A34,Data!$DG:$DG)+'Rate History'!$C$17*SUMIF(Data!$G:$G,Neutral!$A34,Data!$DH:$DH)+'Rate History'!$C$18*SUMIF(Data!$G:$G,Neutral!$A34,Data!$DI:$DI)+'Rate History'!$C$19*SUMIF(Data!$G:$G,Neutral!$A34,Data!$DJ:$DJ)+'Rate History'!$C$20*SUMIF(Data!$G:$G,Neutral!$A34,Data!$DK:$DK)+'Rate History'!$C$21*SUMIF(Data!$G:$G,Neutral!$A34,Data!$DL:$DL)+'Rate History'!$C$22*SUMIF(Data!$G:$G,Neutral!$A34,Data!$DM:$DM)+'Rate History'!$C$23*SUMIF(Data!$G:$G,Neutral!$A34,Data!$DN:$DN)+'Rate History'!$C$24*SUMIF(Data!$G:$G,Neutral!$A34,Data!$DO:$DO)+'Rate History'!$C$25*SUMIF(Data!$G:$G,Neutral!$A34,Data!$DP:$DP)+'Rate History'!$C$26*SUMIF(Data!$G:$G,Neutral!$A34,Data!$DQ:$DQ)+'Rate History'!$C$27*SUMIF(Data!$G:$G,Neutral!$A34,Data!$DR:$DR)+'Rate History'!$C$28*SUMIF(Data!$G:$G,Neutral!$A34,Data!$DS:$DS)+'Rate History'!$C$29*SUMIF(Data!$G:$G,Neutral!$A34,Data!$DT:$DT)+'Rate History'!$C$30*SUMIF(Data!$G:$G,Neutral!$A34,Data!$DV:$DV)+'Rate History'!$C$31*SUMIF(Data!$G:$G,Neutral!$A34,Data!$DW:$DW))</f>
        <v>10103896.913414503</v>
      </c>
      <c r="D34" s="170">
        <f t="shared" si="1"/>
        <v>56766.870596390218</v>
      </c>
      <c r="E34" s="168">
        <f t="shared" si="0"/>
        <v>5.6500583106285467E-3</v>
      </c>
    </row>
    <row r="35" spans="1:5" x14ac:dyDescent="0.25">
      <c r="A35" s="92" t="s">
        <v>363</v>
      </c>
      <c r="B35" s="169">
        <f>$B$5*('Rate History'!$D$4*SUMIF(Data!$G:$G,Neutral!$A35,Data!$CU:$CU)+'Rate History'!$D$5*SUMIF(Data!$G:$G,Neutral!$A35,Data!$CV:$CV)+'Rate History'!$D$6*SUMIF(Data!$G:$G,Neutral!$A35,Data!$CW:$CW)+'Rate History'!$D$7*SUMIF(Data!$G:$G,Neutral!$A35,Data!$CX:$CX)+'Rate History'!$D$8*SUMIF(Data!$G:$G,Neutral!$A35,Data!$CY:$CY)+'Rate History'!$D$9*SUMIF(Data!$G:$G,Neutral!$A35,Data!$CZ:$CZ)+'Rate History'!$D$10*SUMIF(Data!$G:$G,Neutral!$A35,Data!$DA:$DA)+'Rate History'!$D$11*SUMIF(Data!$G:$G,Neutral!$A35,Data!$DB:$DB)+'Rate History'!$D$12*SUMIF(Data!$G:$G,Neutral!$A35,Data!$DC:$DC)+'Rate History'!$D$13*SUMIF(Data!$G:$G,Neutral!$A35,Data!$DD:$DD)+'Rate History'!$D$14*SUMIF(Data!$G:$G,Neutral!$A35,Data!$DE:$DE)+'Rate History'!$D$15*SUMIF(Data!$G:$G,Neutral!$A35,Data!$DF:$DF)+'Rate History'!$D$16*SUMIF(Data!$G:$G,Neutral!$A35,Data!$DG:$DG)+'Rate History'!$D$17*SUMIF(Data!$G:$G,Neutral!$A35,Data!$DH:$DH)+'Rate History'!$D$18*SUMIF(Data!$G:$G,Neutral!$A35,Data!$DI:$DI)+'Rate History'!$D$19*SUMIF(Data!$G:$G,Neutral!$A35,Data!$DJ:$DJ)+'Rate History'!$D$20*SUMIF(Data!$G:$G,Neutral!$A35,Data!$DK:$DK)+'Rate History'!$D$21*SUMIF(Data!$G:$G,Neutral!$A35,Data!$DL:$DL)+'Rate History'!$D$22*SUMIF(Data!$G:$G,Neutral!$A35,Data!$DM:$DM)+'Rate History'!$D$23*SUMIF(Data!$G:$G,Neutral!$A35,Data!$DN:$DN)+'Rate History'!$D$24*SUMIF(Data!$G:$G,Neutral!$A35,Data!$DO:$DO)+'Rate History'!$D$25*SUMIF(Data!$G:$G,Neutral!$A35,Data!$DP:$DP)+'Rate History'!$D$26*SUMIF(Data!$G:$G,Neutral!$A35,Data!$DQ:$DQ)+'Rate History'!$D$27*SUMIF(Data!$G:$G,Neutral!$A35,Data!$DR:$DR)+'Rate History'!$D$28*SUMIF(Data!$G:$G,Neutral!$A35,Data!$DS:$DS)+'Rate History'!$D$29*SUMIF(Data!$G:$G,Neutral!$A35,Data!$DT:$DT)+'Rate History'!$D$30*SUMIF(Data!$G:$G,Neutral!$A35,Data!$DV:$DV)+'Rate History'!$D$31*SUMIF(Data!$G:$G,Neutral!$A35,Data!$DW:$DW))</f>
        <v>8028049.0434899554</v>
      </c>
      <c r="C35" s="169">
        <f>$C$5*('Rate History'!$C$4*SUMIF(Data!$G:$G,Neutral!$A35,Data!$CU:$CU)+'Rate History'!$C$5*SUMIF(Data!$G:$G,Neutral!$A35,Data!$CV:$CV)+'Rate History'!$C$6*SUMIF(Data!$G:$G,Neutral!$A35,Data!$CW:$CW)+'Rate History'!$C$7*SUMIF(Data!$G:$G,Neutral!$A35,Data!$CX:$CX)+'Rate History'!$C$8*SUMIF(Data!$G:$G,Neutral!$A35,Data!$CY:$CY)+'Rate History'!$C$9*SUMIF(Data!$G:$G,Neutral!$A35,Data!$CZ:$CZ)+'Rate History'!$C$10*SUMIF(Data!$G:$G,Neutral!$A35,Data!$DA:$DA)+'Rate History'!$C$11*SUMIF(Data!$G:$G,Neutral!$A35,Data!$DB:$DB)+'Rate History'!$C$12*SUMIF(Data!$G:$G,Neutral!$A35,Data!$DC:$DC)+'Rate History'!$C$13*SUMIF(Data!$G:$G,Neutral!$A35,Data!$DD:$DD)+'Rate History'!$C$14*SUMIF(Data!$G:$G,Neutral!$A35,Data!$DE:$DE)+'Rate History'!$C$15*SUMIF(Data!$G:$G,Neutral!$A35,Data!$DF:$DF)+'Rate History'!$C$16*SUMIF(Data!$G:$G,Neutral!$A35,Data!$DG:$DG)+'Rate History'!$C$17*SUMIF(Data!$G:$G,Neutral!$A35,Data!$DH:$DH)+'Rate History'!$C$18*SUMIF(Data!$G:$G,Neutral!$A35,Data!$DI:$DI)+'Rate History'!$C$19*SUMIF(Data!$G:$G,Neutral!$A35,Data!$DJ:$DJ)+'Rate History'!$C$20*SUMIF(Data!$G:$G,Neutral!$A35,Data!$DK:$DK)+'Rate History'!$C$21*SUMIF(Data!$G:$G,Neutral!$A35,Data!$DL:$DL)+'Rate History'!$C$22*SUMIF(Data!$G:$G,Neutral!$A35,Data!$DM:$DM)+'Rate History'!$C$23*SUMIF(Data!$G:$G,Neutral!$A35,Data!$DN:$DN)+'Rate History'!$C$24*SUMIF(Data!$G:$G,Neutral!$A35,Data!$DO:$DO)+'Rate History'!$C$25*SUMIF(Data!$G:$G,Neutral!$A35,Data!$DP:$DP)+'Rate History'!$C$26*SUMIF(Data!$G:$G,Neutral!$A35,Data!$DQ:$DQ)+'Rate History'!$C$27*SUMIF(Data!$G:$G,Neutral!$A35,Data!$DR:$DR)+'Rate History'!$C$28*SUMIF(Data!$G:$G,Neutral!$A35,Data!$DS:$DS)+'Rate History'!$C$29*SUMIF(Data!$G:$G,Neutral!$A35,Data!$DT:$DT)+'Rate History'!$C$30*SUMIF(Data!$G:$G,Neutral!$A35,Data!$DV:$DV)+'Rate History'!$C$31*SUMIF(Data!$G:$G,Neutral!$A35,Data!$DW:$DW))</f>
        <v>8005837.4446470719</v>
      </c>
      <c r="D35" s="170">
        <f t="shared" si="1"/>
        <v>-22211.598842883483</v>
      </c>
      <c r="E35" s="168">
        <f t="shared" si="0"/>
        <v>-2.7667492715300669E-3</v>
      </c>
    </row>
    <row r="36" spans="1:5" x14ac:dyDescent="0.25">
      <c r="A36" s="92" t="s">
        <v>447</v>
      </c>
      <c r="B36" s="169">
        <f>$B$5*('Rate History'!$D$4*SUMIF(Data!$G:$G,Neutral!$A36,Data!$CU:$CU)+'Rate History'!$D$5*SUMIF(Data!$G:$G,Neutral!$A36,Data!$CV:$CV)+'Rate History'!$D$6*SUMIF(Data!$G:$G,Neutral!$A36,Data!$CW:$CW)+'Rate History'!$D$7*SUMIF(Data!$G:$G,Neutral!$A36,Data!$CX:$CX)+'Rate History'!$D$8*SUMIF(Data!$G:$G,Neutral!$A36,Data!$CY:$CY)+'Rate History'!$D$9*SUMIF(Data!$G:$G,Neutral!$A36,Data!$CZ:$CZ)+'Rate History'!$D$10*SUMIF(Data!$G:$G,Neutral!$A36,Data!$DA:$DA)+'Rate History'!$D$11*SUMIF(Data!$G:$G,Neutral!$A36,Data!$DB:$DB)+'Rate History'!$D$12*SUMIF(Data!$G:$G,Neutral!$A36,Data!$DC:$DC)+'Rate History'!$D$13*SUMIF(Data!$G:$G,Neutral!$A36,Data!$DD:$DD)+'Rate History'!$D$14*SUMIF(Data!$G:$G,Neutral!$A36,Data!$DE:$DE)+'Rate History'!$D$15*SUMIF(Data!$G:$G,Neutral!$A36,Data!$DF:$DF)+'Rate History'!$D$16*SUMIF(Data!$G:$G,Neutral!$A36,Data!$DG:$DG)+'Rate History'!$D$17*SUMIF(Data!$G:$G,Neutral!$A36,Data!$DH:$DH)+'Rate History'!$D$18*SUMIF(Data!$G:$G,Neutral!$A36,Data!$DI:$DI)+'Rate History'!$D$19*SUMIF(Data!$G:$G,Neutral!$A36,Data!$DJ:$DJ)+'Rate History'!$D$20*SUMIF(Data!$G:$G,Neutral!$A36,Data!$DK:$DK)+'Rate History'!$D$21*SUMIF(Data!$G:$G,Neutral!$A36,Data!$DL:$DL)+'Rate History'!$D$22*SUMIF(Data!$G:$G,Neutral!$A36,Data!$DM:$DM)+'Rate History'!$D$23*SUMIF(Data!$G:$G,Neutral!$A36,Data!$DN:$DN)+'Rate History'!$D$24*SUMIF(Data!$G:$G,Neutral!$A36,Data!$DO:$DO)+'Rate History'!$D$25*SUMIF(Data!$G:$G,Neutral!$A36,Data!$DP:$DP)+'Rate History'!$D$26*SUMIF(Data!$G:$G,Neutral!$A36,Data!$DQ:$DQ)+'Rate History'!$D$27*SUMIF(Data!$G:$G,Neutral!$A36,Data!$DR:$DR)+'Rate History'!$D$28*SUMIF(Data!$G:$G,Neutral!$A36,Data!$DS:$DS)+'Rate History'!$D$29*SUMIF(Data!$G:$G,Neutral!$A36,Data!$DT:$DT)+'Rate History'!$D$30*SUMIF(Data!$G:$G,Neutral!$A36,Data!$DV:$DV)+'Rate History'!$D$31*SUMIF(Data!$G:$G,Neutral!$A36,Data!$DW:$DW))</f>
        <v>4071294.9677061196</v>
      </c>
      <c r="C36" s="169">
        <f>$C$5*('Rate History'!$C$4*SUMIF(Data!$G:$G,Neutral!$A36,Data!$CU:$CU)+'Rate History'!$C$5*SUMIF(Data!$G:$G,Neutral!$A36,Data!$CV:$CV)+'Rate History'!$C$6*SUMIF(Data!$G:$G,Neutral!$A36,Data!$CW:$CW)+'Rate History'!$C$7*SUMIF(Data!$G:$G,Neutral!$A36,Data!$CX:$CX)+'Rate History'!$C$8*SUMIF(Data!$G:$G,Neutral!$A36,Data!$CY:$CY)+'Rate History'!$C$9*SUMIF(Data!$G:$G,Neutral!$A36,Data!$CZ:$CZ)+'Rate History'!$C$10*SUMIF(Data!$G:$G,Neutral!$A36,Data!$DA:$DA)+'Rate History'!$C$11*SUMIF(Data!$G:$G,Neutral!$A36,Data!$DB:$DB)+'Rate History'!$C$12*SUMIF(Data!$G:$G,Neutral!$A36,Data!$DC:$DC)+'Rate History'!$C$13*SUMIF(Data!$G:$G,Neutral!$A36,Data!$DD:$DD)+'Rate History'!$C$14*SUMIF(Data!$G:$G,Neutral!$A36,Data!$DE:$DE)+'Rate History'!$C$15*SUMIF(Data!$G:$G,Neutral!$A36,Data!$DF:$DF)+'Rate History'!$C$16*SUMIF(Data!$G:$G,Neutral!$A36,Data!$DG:$DG)+'Rate History'!$C$17*SUMIF(Data!$G:$G,Neutral!$A36,Data!$DH:$DH)+'Rate History'!$C$18*SUMIF(Data!$G:$G,Neutral!$A36,Data!$DI:$DI)+'Rate History'!$C$19*SUMIF(Data!$G:$G,Neutral!$A36,Data!$DJ:$DJ)+'Rate History'!$C$20*SUMIF(Data!$G:$G,Neutral!$A36,Data!$DK:$DK)+'Rate History'!$C$21*SUMIF(Data!$G:$G,Neutral!$A36,Data!$DL:$DL)+'Rate History'!$C$22*SUMIF(Data!$G:$G,Neutral!$A36,Data!$DM:$DM)+'Rate History'!$C$23*SUMIF(Data!$G:$G,Neutral!$A36,Data!$DN:$DN)+'Rate History'!$C$24*SUMIF(Data!$G:$G,Neutral!$A36,Data!$DO:$DO)+'Rate History'!$C$25*SUMIF(Data!$G:$G,Neutral!$A36,Data!$DP:$DP)+'Rate History'!$C$26*SUMIF(Data!$G:$G,Neutral!$A36,Data!$DQ:$DQ)+'Rate History'!$C$27*SUMIF(Data!$G:$G,Neutral!$A36,Data!$DR:$DR)+'Rate History'!$C$28*SUMIF(Data!$G:$G,Neutral!$A36,Data!$DS:$DS)+'Rate History'!$C$29*SUMIF(Data!$G:$G,Neutral!$A36,Data!$DT:$DT)+'Rate History'!$C$30*SUMIF(Data!$G:$G,Neutral!$A36,Data!$DV:$DV)+'Rate History'!$C$31*SUMIF(Data!$G:$G,Neutral!$A36,Data!$DW:$DW))</f>
        <v>4087460.1738292873</v>
      </c>
      <c r="D36" s="170">
        <f t="shared" si="1"/>
        <v>16165.206123167649</v>
      </c>
      <c r="E36" s="168">
        <f t="shared" si="0"/>
        <v>3.9705317967358121E-3</v>
      </c>
    </row>
    <row r="37" spans="1:5" x14ac:dyDescent="0.25">
      <c r="A37" s="92" t="s">
        <v>387</v>
      </c>
      <c r="B37" s="169">
        <f>$B$5*('Rate History'!$D$4*SUMIF(Data!$G:$G,Neutral!$A37,Data!$CU:$CU)+'Rate History'!$D$5*SUMIF(Data!$G:$G,Neutral!$A37,Data!$CV:$CV)+'Rate History'!$D$6*SUMIF(Data!$G:$G,Neutral!$A37,Data!$CW:$CW)+'Rate History'!$D$7*SUMIF(Data!$G:$G,Neutral!$A37,Data!$CX:$CX)+'Rate History'!$D$8*SUMIF(Data!$G:$G,Neutral!$A37,Data!$CY:$CY)+'Rate History'!$D$9*SUMIF(Data!$G:$G,Neutral!$A37,Data!$CZ:$CZ)+'Rate History'!$D$10*SUMIF(Data!$G:$G,Neutral!$A37,Data!$DA:$DA)+'Rate History'!$D$11*SUMIF(Data!$G:$G,Neutral!$A37,Data!$DB:$DB)+'Rate History'!$D$12*SUMIF(Data!$G:$G,Neutral!$A37,Data!$DC:$DC)+'Rate History'!$D$13*SUMIF(Data!$G:$G,Neutral!$A37,Data!$DD:$DD)+'Rate History'!$D$14*SUMIF(Data!$G:$G,Neutral!$A37,Data!$DE:$DE)+'Rate History'!$D$15*SUMIF(Data!$G:$G,Neutral!$A37,Data!$DF:$DF)+'Rate History'!$D$16*SUMIF(Data!$G:$G,Neutral!$A37,Data!$DG:$DG)+'Rate History'!$D$17*SUMIF(Data!$G:$G,Neutral!$A37,Data!$DH:$DH)+'Rate History'!$D$18*SUMIF(Data!$G:$G,Neutral!$A37,Data!$DI:$DI)+'Rate History'!$D$19*SUMIF(Data!$G:$G,Neutral!$A37,Data!$DJ:$DJ)+'Rate History'!$D$20*SUMIF(Data!$G:$G,Neutral!$A37,Data!$DK:$DK)+'Rate History'!$D$21*SUMIF(Data!$G:$G,Neutral!$A37,Data!$DL:$DL)+'Rate History'!$D$22*SUMIF(Data!$G:$G,Neutral!$A37,Data!$DM:$DM)+'Rate History'!$D$23*SUMIF(Data!$G:$G,Neutral!$A37,Data!$DN:$DN)+'Rate History'!$D$24*SUMIF(Data!$G:$G,Neutral!$A37,Data!$DO:$DO)+'Rate History'!$D$25*SUMIF(Data!$G:$G,Neutral!$A37,Data!$DP:$DP)+'Rate History'!$D$26*SUMIF(Data!$G:$G,Neutral!$A37,Data!$DQ:$DQ)+'Rate History'!$D$27*SUMIF(Data!$G:$G,Neutral!$A37,Data!$DR:$DR)+'Rate History'!$D$28*SUMIF(Data!$G:$G,Neutral!$A37,Data!$DS:$DS)+'Rate History'!$D$29*SUMIF(Data!$G:$G,Neutral!$A37,Data!$DT:$DT)+'Rate History'!$D$30*SUMIF(Data!$G:$G,Neutral!$A37,Data!$DV:$DV)+'Rate History'!$D$31*SUMIF(Data!$G:$G,Neutral!$A37,Data!$DW:$DW))</f>
        <v>9205011.3351115827</v>
      </c>
      <c r="C37" s="169">
        <f>$C$5*('Rate History'!$C$4*SUMIF(Data!$G:$G,Neutral!$A37,Data!$CU:$CU)+'Rate History'!$C$5*SUMIF(Data!$G:$G,Neutral!$A37,Data!$CV:$CV)+'Rate History'!$C$6*SUMIF(Data!$G:$G,Neutral!$A37,Data!$CW:$CW)+'Rate History'!$C$7*SUMIF(Data!$G:$G,Neutral!$A37,Data!$CX:$CX)+'Rate History'!$C$8*SUMIF(Data!$G:$G,Neutral!$A37,Data!$CY:$CY)+'Rate History'!$C$9*SUMIF(Data!$G:$G,Neutral!$A37,Data!$CZ:$CZ)+'Rate History'!$C$10*SUMIF(Data!$G:$G,Neutral!$A37,Data!$DA:$DA)+'Rate History'!$C$11*SUMIF(Data!$G:$G,Neutral!$A37,Data!$DB:$DB)+'Rate History'!$C$12*SUMIF(Data!$G:$G,Neutral!$A37,Data!$DC:$DC)+'Rate History'!$C$13*SUMIF(Data!$G:$G,Neutral!$A37,Data!$DD:$DD)+'Rate History'!$C$14*SUMIF(Data!$G:$G,Neutral!$A37,Data!$DE:$DE)+'Rate History'!$C$15*SUMIF(Data!$G:$G,Neutral!$A37,Data!$DF:$DF)+'Rate History'!$C$16*SUMIF(Data!$G:$G,Neutral!$A37,Data!$DG:$DG)+'Rate History'!$C$17*SUMIF(Data!$G:$G,Neutral!$A37,Data!$DH:$DH)+'Rate History'!$C$18*SUMIF(Data!$G:$G,Neutral!$A37,Data!$DI:$DI)+'Rate History'!$C$19*SUMIF(Data!$G:$G,Neutral!$A37,Data!$DJ:$DJ)+'Rate History'!$C$20*SUMIF(Data!$G:$G,Neutral!$A37,Data!$DK:$DK)+'Rate History'!$C$21*SUMIF(Data!$G:$G,Neutral!$A37,Data!$DL:$DL)+'Rate History'!$C$22*SUMIF(Data!$G:$G,Neutral!$A37,Data!$DM:$DM)+'Rate History'!$C$23*SUMIF(Data!$G:$G,Neutral!$A37,Data!$DN:$DN)+'Rate History'!$C$24*SUMIF(Data!$G:$G,Neutral!$A37,Data!$DO:$DO)+'Rate History'!$C$25*SUMIF(Data!$G:$G,Neutral!$A37,Data!$DP:$DP)+'Rate History'!$C$26*SUMIF(Data!$G:$G,Neutral!$A37,Data!$DQ:$DQ)+'Rate History'!$C$27*SUMIF(Data!$G:$G,Neutral!$A37,Data!$DR:$DR)+'Rate History'!$C$28*SUMIF(Data!$G:$G,Neutral!$A37,Data!$DS:$DS)+'Rate History'!$C$29*SUMIF(Data!$G:$G,Neutral!$A37,Data!$DT:$DT)+'Rate History'!$C$30*SUMIF(Data!$G:$G,Neutral!$A37,Data!$DV:$DV)+'Rate History'!$C$31*SUMIF(Data!$G:$G,Neutral!$A37,Data!$DW:$DW))</f>
        <v>9224784.7891046293</v>
      </c>
      <c r="D37" s="170">
        <f t="shared" si="1"/>
        <v>19773.453993046656</v>
      </c>
      <c r="E37" s="168">
        <f t="shared" si="0"/>
        <v>2.148118375218379E-3</v>
      </c>
    </row>
    <row r="38" spans="1:5" x14ac:dyDescent="0.25">
      <c r="A38" s="92" t="s">
        <v>389</v>
      </c>
      <c r="B38" s="169">
        <f>$B$5*('Rate History'!$D$4*SUMIF(Data!$G:$G,Neutral!$A38,Data!$CU:$CU)+'Rate History'!$D$5*SUMIF(Data!$G:$G,Neutral!$A38,Data!$CV:$CV)+'Rate History'!$D$6*SUMIF(Data!$G:$G,Neutral!$A38,Data!$CW:$CW)+'Rate History'!$D$7*SUMIF(Data!$G:$G,Neutral!$A38,Data!$CX:$CX)+'Rate History'!$D$8*SUMIF(Data!$G:$G,Neutral!$A38,Data!$CY:$CY)+'Rate History'!$D$9*SUMIF(Data!$G:$G,Neutral!$A38,Data!$CZ:$CZ)+'Rate History'!$D$10*SUMIF(Data!$G:$G,Neutral!$A38,Data!$DA:$DA)+'Rate History'!$D$11*SUMIF(Data!$G:$G,Neutral!$A38,Data!$DB:$DB)+'Rate History'!$D$12*SUMIF(Data!$G:$G,Neutral!$A38,Data!$DC:$DC)+'Rate History'!$D$13*SUMIF(Data!$G:$G,Neutral!$A38,Data!$DD:$DD)+'Rate History'!$D$14*SUMIF(Data!$G:$G,Neutral!$A38,Data!$DE:$DE)+'Rate History'!$D$15*SUMIF(Data!$G:$G,Neutral!$A38,Data!$DF:$DF)+'Rate History'!$D$16*SUMIF(Data!$G:$G,Neutral!$A38,Data!$DG:$DG)+'Rate History'!$D$17*SUMIF(Data!$G:$G,Neutral!$A38,Data!$DH:$DH)+'Rate History'!$D$18*SUMIF(Data!$G:$G,Neutral!$A38,Data!$DI:$DI)+'Rate History'!$D$19*SUMIF(Data!$G:$G,Neutral!$A38,Data!$DJ:$DJ)+'Rate History'!$D$20*SUMIF(Data!$G:$G,Neutral!$A38,Data!$DK:$DK)+'Rate History'!$D$21*SUMIF(Data!$G:$G,Neutral!$A38,Data!$DL:$DL)+'Rate History'!$D$22*SUMIF(Data!$G:$G,Neutral!$A38,Data!$DM:$DM)+'Rate History'!$D$23*SUMIF(Data!$G:$G,Neutral!$A38,Data!$DN:$DN)+'Rate History'!$D$24*SUMIF(Data!$G:$G,Neutral!$A38,Data!$DO:$DO)+'Rate History'!$D$25*SUMIF(Data!$G:$G,Neutral!$A38,Data!$DP:$DP)+'Rate History'!$D$26*SUMIF(Data!$G:$G,Neutral!$A38,Data!$DQ:$DQ)+'Rate History'!$D$27*SUMIF(Data!$G:$G,Neutral!$A38,Data!$DR:$DR)+'Rate History'!$D$28*SUMIF(Data!$G:$G,Neutral!$A38,Data!$DS:$DS)+'Rate History'!$D$29*SUMIF(Data!$G:$G,Neutral!$A38,Data!$DT:$DT)+'Rate History'!$D$30*SUMIF(Data!$G:$G,Neutral!$A38,Data!$DV:$DV)+'Rate History'!$D$31*SUMIF(Data!$G:$G,Neutral!$A38,Data!$DW:$DW))</f>
        <v>3624445.1823085425</v>
      </c>
      <c r="C38" s="169">
        <f>$C$5*('Rate History'!$C$4*SUMIF(Data!$G:$G,Neutral!$A38,Data!$CU:$CU)+'Rate History'!$C$5*SUMIF(Data!$G:$G,Neutral!$A38,Data!$CV:$CV)+'Rate History'!$C$6*SUMIF(Data!$G:$G,Neutral!$A38,Data!$CW:$CW)+'Rate History'!$C$7*SUMIF(Data!$G:$G,Neutral!$A38,Data!$CX:$CX)+'Rate History'!$C$8*SUMIF(Data!$G:$G,Neutral!$A38,Data!$CY:$CY)+'Rate History'!$C$9*SUMIF(Data!$G:$G,Neutral!$A38,Data!$CZ:$CZ)+'Rate History'!$C$10*SUMIF(Data!$G:$G,Neutral!$A38,Data!$DA:$DA)+'Rate History'!$C$11*SUMIF(Data!$G:$G,Neutral!$A38,Data!$DB:$DB)+'Rate History'!$C$12*SUMIF(Data!$G:$G,Neutral!$A38,Data!$DC:$DC)+'Rate History'!$C$13*SUMIF(Data!$G:$G,Neutral!$A38,Data!$DD:$DD)+'Rate History'!$C$14*SUMIF(Data!$G:$G,Neutral!$A38,Data!$DE:$DE)+'Rate History'!$C$15*SUMIF(Data!$G:$G,Neutral!$A38,Data!$DF:$DF)+'Rate History'!$C$16*SUMIF(Data!$G:$G,Neutral!$A38,Data!$DG:$DG)+'Rate History'!$C$17*SUMIF(Data!$G:$G,Neutral!$A38,Data!$DH:$DH)+'Rate History'!$C$18*SUMIF(Data!$G:$G,Neutral!$A38,Data!$DI:$DI)+'Rate History'!$C$19*SUMIF(Data!$G:$G,Neutral!$A38,Data!$DJ:$DJ)+'Rate History'!$C$20*SUMIF(Data!$G:$G,Neutral!$A38,Data!$DK:$DK)+'Rate History'!$C$21*SUMIF(Data!$G:$G,Neutral!$A38,Data!$DL:$DL)+'Rate History'!$C$22*SUMIF(Data!$G:$G,Neutral!$A38,Data!$DM:$DM)+'Rate History'!$C$23*SUMIF(Data!$G:$G,Neutral!$A38,Data!$DN:$DN)+'Rate History'!$C$24*SUMIF(Data!$G:$G,Neutral!$A38,Data!$DO:$DO)+'Rate History'!$C$25*SUMIF(Data!$G:$G,Neutral!$A38,Data!$DP:$DP)+'Rate History'!$C$26*SUMIF(Data!$G:$G,Neutral!$A38,Data!$DQ:$DQ)+'Rate History'!$C$27*SUMIF(Data!$G:$G,Neutral!$A38,Data!$DR:$DR)+'Rate History'!$C$28*SUMIF(Data!$G:$G,Neutral!$A38,Data!$DS:$DS)+'Rate History'!$C$29*SUMIF(Data!$G:$G,Neutral!$A38,Data!$DT:$DT)+'Rate History'!$C$30*SUMIF(Data!$G:$G,Neutral!$A38,Data!$DV:$DV)+'Rate History'!$C$31*SUMIF(Data!$G:$G,Neutral!$A38,Data!$DW:$DW))</f>
        <v>3599582.9203660898</v>
      </c>
      <c r="D38" s="170">
        <f t="shared" si="1"/>
        <v>-24862.261942452751</v>
      </c>
      <c r="E38" s="168">
        <f t="shared" si="0"/>
        <v>-6.8596049027887518E-3</v>
      </c>
    </row>
    <row r="39" spans="1:5" x14ac:dyDescent="0.25">
      <c r="A39" s="92" t="s">
        <v>391</v>
      </c>
      <c r="B39" s="169">
        <f>$B$5*('Rate History'!$D$4*SUMIF(Data!$G:$G,Neutral!$A39,Data!$CU:$CU)+'Rate History'!$D$5*SUMIF(Data!$G:$G,Neutral!$A39,Data!$CV:$CV)+'Rate History'!$D$6*SUMIF(Data!$G:$G,Neutral!$A39,Data!$CW:$CW)+'Rate History'!$D$7*SUMIF(Data!$G:$G,Neutral!$A39,Data!$CX:$CX)+'Rate History'!$D$8*SUMIF(Data!$G:$G,Neutral!$A39,Data!$CY:$CY)+'Rate History'!$D$9*SUMIF(Data!$G:$G,Neutral!$A39,Data!$CZ:$CZ)+'Rate History'!$D$10*SUMIF(Data!$G:$G,Neutral!$A39,Data!$DA:$DA)+'Rate History'!$D$11*SUMIF(Data!$G:$G,Neutral!$A39,Data!$DB:$DB)+'Rate History'!$D$12*SUMIF(Data!$G:$G,Neutral!$A39,Data!$DC:$DC)+'Rate History'!$D$13*SUMIF(Data!$G:$G,Neutral!$A39,Data!$DD:$DD)+'Rate History'!$D$14*SUMIF(Data!$G:$G,Neutral!$A39,Data!$DE:$DE)+'Rate History'!$D$15*SUMIF(Data!$G:$G,Neutral!$A39,Data!$DF:$DF)+'Rate History'!$D$16*SUMIF(Data!$G:$G,Neutral!$A39,Data!$DG:$DG)+'Rate History'!$D$17*SUMIF(Data!$G:$G,Neutral!$A39,Data!$DH:$DH)+'Rate History'!$D$18*SUMIF(Data!$G:$G,Neutral!$A39,Data!$DI:$DI)+'Rate History'!$D$19*SUMIF(Data!$G:$G,Neutral!$A39,Data!$DJ:$DJ)+'Rate History'!$D$20*SUMIF(Data!$G:$G,Neutral!$A39,Data!$DK:$DK)+'Rate History'!$D$21*SUMIF(Data!$G:$G,Neutral!$A39,Data!$DL:$DL)+'Rate History'!$D$22*SUMIF(Data!$G:$G,Neutral!$A39,Data!$DM:$DM)+'Rate History'!$D$23*SUMIF(Data!$G:$G,Neutral!$A39,Data!$DN:$DN)+'Rate History'!$D$24*SUMIF(Data!$G:$G,Neutral!$A39,Data!$DO:$DO)+'Rate History'!$D$25*SUMIF(Data!$G:$G,Neutral!$A39,Data!$DP:$DP)+'Rate History'!$D$26*SUMIF(Data!$G:$G,Neutral!$A39,Data!$DQ:$DQ)+'Rate History'!$D$27*SUMIF(Data!$G:$G,Neutral!$A39,Data!$DR:$DR)+'Rate History'!$D$28*SUMIF(Data!$G:$G,Neutral!$A39,Data!$DS:$DS)+'Rate History'!$D$29*SUMIF(Data!$G:$G,Neutral!$A39,Data!$DT:$DT)+'Rate History'!$D$30*SUMIF(Data!$G:$G,Neutral!$A39,Data!$DV:$DV)+'Rate History'!$D$31*SUMIF(Data!$G:$G,Neutral!$A39,Data!$DW:$DW))</f>
        <v>7188207.1788687045</v>
      </c>
      <c r="C39" s="169">
        <f>$C$5*('Rate History'!$C$4*SUMIF(Data!$G:$G,Neutral!$A39,Data!$CU:$CU)+'Rate History'!$C$5*SUMIF(Data!$G:$G,Neutral!$A39,Data!$CV:$CV)+'Rate History'!$C$6*SUMIF(Data!$G:$G,Neutral!$A39,Data!$CW:$CW)+'Rate History'!$C$7*SUMIF(Data!$G:$G,Neutral!$A39,Data!$CX:$CX)+'Rate History'!$C$8*SUMIF(Data!$G:$G,Neutral!$A39,Data!$CY:$CY)+'Rate History'!$C$9*SUMIF(Data!$G:$G,Neutral!$A39,Data!$CZ:$CZ)+'Rate History'!$C$10*SUMIF(Data!$G:$G,Neutral!$A39,Data!$DA:$DA)+'Rate History'!$C$11*SUMIF(Data!$G:$G,Neutral!$A39,Data!$DB:$DB)+'Rate History'!$C$12*SUMIF(Data!$G:$G,Neutral!$A39,Data!$DC:$DC)+'Rate History'!$C$13*SUMIF(Data!$G:$G,Neutral!$A39,Data!$DD:$DD)+'Rate History'!$C$14*SUMIF(Data!$G:$G,Neutral!$A39,Data!$DE:$DE)+'Rate History'!$C$15*SUMIF(Data!$G:$G,Neutral!$A39,Data!$DF:$DF)+'Rate History'!$C$16*SUMIF(Data!$G:$G,Neutral!$A39,Data!$DG:$DG)+'Rate History'!$C$17*SUMIF(Data!$G:$G,Neutral!$A39,Data!$DH:$DH)+'Rate History'!$C$18*SUMIF(Data!$G:$G,Neutral!$A39,Data!$DI:$DI)+'Rate History'!$C$19*SUMIF(Data!$G:$G,Neutral!$A39,Data!$DJ:$DJ)+'Rate History'!$C$20*SUMIF(Data!$G:$G,Neutral!$A39,Data!$DK:$DK)+'Rate History'!$C$21*SUMIF(Data!$G:$G,Neutral!$A39,Data!$DL:$DL)+'Rate History'!$C$22*SUMIF(Data!$G:$G,Neutral!$A39,Data!$DM:$DM)+'Rate History'!$C$23*SUMIF(Data!$G:$G,Neutral!$A39,Data!$DN:$DN)+'Rate History'!$C$24*SUMIF(Data!$G:$G,Neutral!$A39,Data!$DO:$DO)+'Rate History'!$C$25*SUMIF(Data!$G:$G,Neutral!$A39,Data!$DP:$DP)+'Rate History'!$C$26*SUMIF(Data!$G:$G,Neutral!$A39,Data!$DQ:$DQ)+'Rate History'!$C$27*SUMIF(Data!$G:$G,Neutral!$A39,Data!$DR:$DR)+'Rate History'!$C$28*SUMIF(Data!$G:$G,Neutral!$A39,Data!$DS:$DS)+'Rate History'!$C$29*SUMIF(Data!$G:$G,Neutral!$A39,Data!$DT:$DT)+'Rate History'!$C$30*SUMIF(Data!$G:$G,Neutral!$A39,Data!$DV:$DV)+'Rate History'!$C$31*SUMIF(Data!$G:$G,Neutral!$A39,Data!$DW:$DW))</f>
        <v>7159308.7900286708</v>
      </c>
      <c r="D39" s="170">
        <f t="shared" si="1"/>
        <v>-28898.388840033673</v>
      </c>
      <c r="E39" s="168">
        <f t="shared" si="0"/>
        <v>-4.0202498510319455E-3</v>
      </c>
    </row>
    <row r="40" spans="1:5" x14ac:dyDescent="0.25">
      <c r="A40" s="92" t="s">
        <v>393</v>
      </c>
      <c r="B40" s="169">
        <f>$B$5*('Rate History'!$D$4*SUMIF(Data!$G:$G,Neutral!$A40,Data!$CU:$CU)+'Rate History'!$D$5*SUMIF(Data!$G:$G,Neutral!$A40,Data!$CV:$CV)+'Rate History'!$D$6*SUMIF(Data!$G:$G,Neutral!$A40,Data!$CW:$CW)+'Rate History'!$D$7*SUMIF(Data!$G:$G,Neutral!$A40,Data!$CX:$CX)+'Rate History'!$D$8*SUMIF(Data!$G:$G,Neutral!$A40,Data!$CY:$CY)+'Rate History'!$D$9*SUMIF(Data!$G:$G,Neutral!$A40,Data!$CZ:$CZ)+'Rate History'!$D$10*SUMIF(Data!$G:$G,Neutral!$A40,Data!$DA:$DA)+'Rate History'!$D$11*SUMIF(Data!$G:$G,Neutral!$A40,Data!$DB:$DB)+'Rate History'!$D$12*SUMIF(Data!$G:$G,Neutral!$A40,Data!$DC:$DC)+'Rate History'!$D$13*SUMIF(Data!$G:$G,Neutral!$A40,Data!$DD:$DD)+'Rate History'!$D$14*SUMIF(Data!$G:$G,Neutral!$A40,Data!$DE:$DE)+'Rate History'!$D$15*SUMIF(Data!$G:$G,Neutral!$A40,Data!$DF:$DF)+'Rate History'!$D$16*SUMIF(Data!$G:$G,Neutral!$A40,Data!$DG:$DG)+'Rate History'!$D$17*SUMIF(Data!$G:$G,Neutral!$A40,Data!$DH:$DH)+'Rate History'!$D$18*SUMIF(Data!$G:$G,Neutral!$A40,Data!$DI:$DI)+'Rate History'!$D$19*SUMIF(Data!$G:$G,Neutral!$A40,Data!$DJ:$DJ)+'Rate History'!$D$20*SUMIF(Data!$G:$G,Neutral!$A40,Data!$DK:$DK)+'Rate History'!$D$21*SUMIF(Data!$G:$G,Neutral!$A40,Data!$DL:$DL)+'Rate History'!$D$22*SUMIF(Data!$G:$G,Neutral!$A40,Data!$DM:$DM)+'Rate History'!$D$23*SUMIF(Data!$G:$G,Neutral!$A40,Data!$DN:$DN)+'Rate History'!$D$24*SUMIF(Data!$G:$G,Neutral!$A40,Data!$DO:$DO)+'Rate History'!$D$25*SUMIF(Data!$G:$G,Neutral!$A40,Data!$DP:$DP)+'Rate History'!$D$26*SUMIF(Data!$G:$G,Neutral!$A40,Data!$DQ:$DQ)+'Rate History'!$D$27*SUMIF(Data!$G:$G,Neutral!$A40,Data!$DR:$DR)+'Rate History'!$D$28*SUMIF(Data!$G:$G,Neutral!$A40,Data!$DS:$DS)+'Rate History'!$D$29*SUMIF(Data!$G:$G,Neutral!$A40,Data!$DT:$DT)+'Rate History'!$D$30*SUMIF(Data!$G:$G,Neutral!$A40,Data!$DV:$DV)+'Rate History'!$D$31*SUMIF(Data!$G:$G,Neutral!$A40,Data!$DW:$DW))</f>
        <v>1717691.1128305488</v>
      </c>
      <c r="C40" s="169">
        <f>$C$5*('Rate History'!$C$4*SUMIF(Data!$G:$G,Neutral!$A40,Data!$CU:$CU)+'Rate History'!$C$5*SUMIF(Data!$G:$G,Neutral!$A40,Data!$CV:$CV)+'Rate History'!$C$6*SUMIF(Data!$G:$G,Neutral!$A40,Data!$CW:$CW)+'Rate History'!$C$7*SUMIF(Data!$G:$G,Neutral!$A40,Data!$CX:$CX)+'Rate History'!$C$8*SUMIF(Data!$G:$G,Neutral!$A40,Data!$CY:$CY)+'Rate History'!$C$9*SUMIF(Data!$G:$G,Neutral!$A40,Data!$CZ:$CZ)+'Rate History'!$C$10*SUMIF(Data!$G:$G,Neutral!$A40,Data!$DA:$DA)+'Rate History'!$C$11*SUMIF(Data!$G:$G,Neutral!$A40,Data!$DB:$DB)+'Rate History'!$C$12*SUMIF(Data!$G:$G,Neutral!$A40,Data!$DC:$DC)+'Rate History'!$C$13*SUMIF(Data!$G:$G,Neutral!$A40,Data!$DD:$DD)+'Rate History'!$C$14*SUMIF(Data!$G:$G,Neutral!$A40,Data!$DE:$DE)+'Rate History'!$C$15*SUMIF(Data!$G:$G,Neutral!$A40,Data!$DF:$DF)+'Rate History'!$C$16*SUMIF(Data!$G:$G,Neutral!$A40,Data!$DG:$DG)+'Rate History'!$C$17*SUMIF(Data!$G:$G,Neutral!$A40,Data!$DH:$DH)+'Rate History'!$C$18*SUMIF(Data!$G:$G,Neutral!$A40,Data!$DI:$DI)+'Rate History'!$C$19*SUMIF(Data!$G:$G,Neutral!$A40,Data!$DJ:$DJ)+'Rate History'!$C$20*SUMIF(Data!$G:$G,Neutral!$A40,Data!$DK:$DK)+'Rate History'!$C$21*SUMIF(Data!$G:$G,Neutral!$A40,Data!$DL:$DL)+'Rate History'!$C$22*SUMIF(Data!$G:$G,Neutral!$A40,Data!$DM:$DM)+'Rate History'!$C$23*SUMIF(Data!$G:$G,Neutral!$A40,Data!$DN:$DN)+'Rate History'!$C$24*SUMIF(Data!$G:$G,Neutral!$A40,Data!$DO:$DO)+'Rate History'!$C$25*SUMIF(Data!$G:$G,Neutral!$A40,Data!$DP:$DP)+'Rate History'!$C$26*SUMIF(Data!$G:$G,Neutral!$A40,Data!$DQ:$DQ)+'Rate History'!$C$27*SUMIF(Data!$G:$G,Neutral!$A40,Data!$DR:$DR)+'Rate History'!$C$28*SUMIF(Data!$G:$G,Neutral!$A40,Data!$DS:$DS)+'Rate History'!$C$29*SUMIF(Data!$G:$G,Neutral!$A40,Data!$DT:$DT)+'Rate History'!$C$30*SUMIF(Data!$G:$G,Neutral!$A40,Data!$DV:$DV)+'Rate History'!$C$31*SUMIF(Data!$G:$G,Neutral!$A40,Data!$DW:$DW))</f>
        <v>1708852.6432589933</v>
      </c>
      <c r="D40" s="170">
        <f t="shared" si="1"/>
        <v>-8838.469571555499</v>
      </c>
      <c r="E40" s="168">
        <f t="shared" si="0"/>
        <v>-5.1455523670904729E-3</v>
      </c>
    </row>
    <row r="41" spans="1:5" x14ac:dyDescent="0.25">
      <c r="A41" s="92" t="s">
        <v>397</v>
      </c>
      <c r="B41" s="169">
        <f>$B$5*('Rate History'!$D$4*SUMIF(Data!$G:$G,Neutral!$A41,Data!$CU:$CU)+'Rate History'!$D$5*SUMIF(Data!$G:$G,Neutral!$A41,Data!$CV:$CV)+'Rate History'!$D$6*SUMIF(Data!$G:$G,Neutral!$A41,Data!$CW:$CW)+'Rate History'!$D$7*SUMIF(Data!$G:$G,Neutral!$A41,Data!$CX:$CX)+'Rate History'!$D$8*SUMIF(Data!$G:$G,Neutral!$A41,Data!$CY:$CY)+'Rate History'!$D$9*SUMIF(Data!$G:$G,Neutral!$A41,Data!$CZ:$CZ)+'Rate History'!$D$10*SUMIF(Data!$G:$G,Neutral!$A41,Data!$DA:$DA)+'Rate History'!$D$11*SUMIF(Data!$G:$G,Neutral!$A41,Data!$DB:$DB)+'Rate History'!$D$12*SUMIF(Data!$G:$G,Neutral!$A41,Data!$DC:$DC)+'Rate History'!$D$13*SUMIF(Data!$G:$G,Neutral!$A41,Data!$DD:$DD)+'Rate History'!$D$14*SUMIF(Data!$G:$G,Neutral!$A41,Data!$DE:$DE)+'Rate History'!$D$15*SUMIF(Data!$G:$G,Neutral!$A41,Data!$DF:$DF)+'Rate History'!$D$16*SUMIF(Data!$G:$G,Neutral!$A41,Data!$DG:$DG)+'Rate History'!$D$17*SUMIF(Data!$G:$G,Neutral!$A41,Data!$DH:$DH)+'Rate History'!$D$18*SUMIF(Data!$G:$G,Neutral!$A41,Data!$DI:$DI)+'Rate History'!$D$19*SUMIF(Data!$G:$G,Neutral!$A41,Data!$DJ:$DJ)+'Rate History'!$D$20*SUMIF(Data!$G:$G,Neutral!$A41,Data!$DK:$DK)+'Rate History'!$D$21*SUMIF(Data!$G:$G,Neutral!$A41,Data!$DL:$DL)+'Rate History'!$D$22*SUMIF(Data!$G:$G,Neutral!$A41,Data!$DM:$DM)+'Rate History'!$D$23*SUMIF(Data!$G:$G,Neutral!$A41,Data!$DN:$DN)+'Rate History'!$D$24*SUMIF(Data!$G:$G,Neutral!$A41,Data!$DO:$DO)+'Rate History'!$D$25*SUMIF(Data!$G:$G,Neutral!$A41,Data!$DP:$DP)+'Rate History'!$D$26*SUMIF(Data!$G:$G,Neutral!$A41,Data!$DQ:$DQ)+'Rate History'!$D$27*SUMIF(Data!$G:$G,Neutral!$A41,Data!$DR:$DR)+'Rate History'!$D$28*SUMIF(Data!$G:$G,Neutral!$A41,Data!$DS:$DS)+'Rate History'!$D$29*SUMIF(Data!$G:$G,Neutral!$A41,Data!$DT:$DT)+'Rate History'!$D$30*SUMIF(Data!$G:$G,Neutral!$A41,Data!$DV:$DV)+'Rate History'!$D$31*SUMIF(Data!$G:$G,Neutral!$A41,Data!$DW:$DW))</f>
        <v>39791943.003884599</v>
      </c>
      <c r="C41" s="169">
        <f>$C$5*('Rate History'!$C$4*SUMIF(Data!$G:$G,Neutral!$A41,Data!$CU:$CU)+'Rate History'!$C$5*SUMIF(Data!$G:$G,Neutral!$A41,Data!$CV:$CV)+'Rate History'!$C$6*SUMIF(Data!$G:$G,Neutral!$A41,Data!$CW:$CW)+'Rate History'!$C$7*SUMIF(Data!$G:$G,Neutral!$A41,Data!$CX:$CX)+'Rate History'!$C$8*SUMIF(Data!$G:$G,Neutral!$A41,Data!$CY:$CY)+'Rate History'!$C$9*SUMIF(Data!$G:$G,Neutral!$A41,Data!$CZ:$CZ)+'Rate History'!$C$10*SUMIF(Data!$G:$G,Neutral!$A41,Data!$DA:$DA)+'Rate History'!$C$11*SUMIF(Data!$G:$G,Neutral!$A41,Data!$DB:$DB)+'Rate History'!$C$12*SUMIF(Data!$G:$G,Neutral!$A41,Data!$DC:$DC)+'Rate History'!$C$13*SUMIF(Data!$G:$G,Neutral!$A41,Data!$DD:$DD)+'Rate History'!$C$14*SUMIF(Data!$G:$G,Neutral!$A41,Data!$DE:$DE)+'Rate History'!$C$15*SUMIF(Data!$G:$G,Neutral!$A41,Data!$DF:$DF)+'Rate History'!$C$16*SUMIF(Data!$G:$G,Neutral!$A41,Data!$DG:$DG)+'Rate History'!$C$17*SUMIF(Data!$G:$G,Neutral!$A41,Data!$DH:$DH)+'Rate History'!$C$18*SUMIF(Data!$G:$G,Neutral!$A41,Data!$DI:$DI)+'Rate History'!$C$19*SUMIF(Data!$G:$G,Neutral!$A41,Data!$DJ:$DJ)+'Rate History'!$C$20*SUMIF(Data!$G:$G,Neutral!$A41,Data!$DK:$DK)+'Rate History'!$C$21*SUMIF(Data!$G:$G,Neutral!$A41,Data!$DL:$DL)+'Rate History'!$C$22*SUMIF(Data!$G:$G,Neutral!$A41,Data!$DM:$DM)+'Rate History'!$C$23*SUMIF(Data!$G:$G,Neutral!$A41,Data!$DN:$DN)+'Rate History'!$C$24*SUMIF(Data!$G:$G,Neutral!$A41,Data!$DO:$DO)+'Rate History'!$C$25*SUMIF(Data!$G:$G,Neutral!$A41,Data!$DP:$DP)+'Rate History'!$C$26*SUMIF(Data!$G:$G,Neutral!$A41,Data!$DQ:$DQ)+'Rate History'!$C$27*SUMIF(Data!$G:$G,Neutral!$A41,Data!$DR:$DR)+'Rate History'!$C$28*SUMIF(Data!$G:$G,Neutral!$A41,Data!$DS:$DS)+'Rate History'!$C$29*SUMIF(Data!$G:$G,Neutral!$A41,Data!$DT:$DT)+'Rate History'!$C$30*SUMIF(Data!$G:$G,Neutral!$A41,Data!$DV:$DV)+'Rate History'!$C$31*SUMIF(Data!$G:$G,Neutral!$A41,Data!$DW:$DW))</f>
        <v>39269297.123543382</v>
      </c>
      <c r="D41" s="170">
        <f t="shared" si="1"/>
        <v>-522645.88034121692</v>
      </c>
      <c r="E41" s="168">
        <f t="shared" si="0"/>
        <v>-1.3134464941563543E-2</v>
      </c>
    </row>
    <row r="42" spans="1:5" x14ac:dyDescent="0.25">
      <c r="A42" s="92" t="s">
        <v>399</v>
      </c>
      <c r="B42" s="169">
        <f>$B$5*('Rate History'!$D$4*SUMIF(Data!$G:$G,Neutral!$A42,Data!$CU:$CU)+'Rate History'!$D$5*SUMIF(Data!$G:$G,Neutral!$A42,Data!$CV:$CV)+'Rate History'!$D$6*SUMIF(Data!$G:$G,Neutral!$A42,Data!$CW:$CW)+'Rate History'!$D$7*SUMIF(Data!$G:$G,Neutral!$A42,Data!$CX:$CX)+'Rate History'!$D$8*SUMIF(Data!$G:$G,Neutral!$A42,Data!$CY:$CY)+'Rate History'!$D$9*SUMIF(Data!$G:$G,Neutral!$A42,Data!$CZ:$CZ)+'Rate History'!$D$10*SUMIF(Data!$G:$G,Neutral!$A42,Data!$DA:$DA)+'Rate History'!$D$11*SUMIF(Data!$G:$G,Neutral!$A42,Data!$DB:$DB)+'Rate History'!$D$12*SUMIF(Data!$G:$G,Neutral!$A42,Data!$DC:$DC)+'Rate History'!$D$13*SUMIF(Data!$G:$G,Neutral!$A42,Data!$DD:$DD)+'Rate History'!$D$14*SUMIF(Data!$G:$G,Neutral!$A42,Data!$DE:$DE)+'Rate History'!$D$15*SUMIF(Data!$G:$G,Neutral!$A42,Data!$DF:$DF)+'Rate History'!$D$16*SUMIF(Data!$G:$G,Neutral!$A42,Data!$DG:$DG)+'Rate History'!$D$17*SUMIF(Data!$G:$G,Neutral!$A42,Data!$DH:$DH)+'Rate History'!$D$18*SUMIF(Data!$G:$G,Neutral!$A42,Data!$DI:$DI)+'Rate History'!$D$19*SUMIF(Data!$G:$G,Neutral!$A42,Data!$DJ:$DJ)+'Rate History'!$D$20*SUMIF(Data!$G:$G,Neutral!$A42,Data!$DK:$DK)+'Rate History'!$D$21*SUMIF(Data!$G:$G,Neutral!$A42,Data!$DL:$DL)+'Rate History'!$D$22*SUMIF(Data!$G:$G,Neutral!$A42,Data!$DM:$DM)+'Rate History'!$D$23*SUMIF(Data!$G:$G,Neutral!$A42,Data!$DN:$DN)+'Rate History'!$D$24*SUMIF(Data!$G:$G,Neutral!$A42,Data!$DO:$DO)+'Rate History'!$D$25*SUMIF(Data!$G:$G,Neutral!$A42,Data!$DP:$DP)+'Rate History'!$D$26*SUMIF(Data!$G:$G,Neutral!$A42,Data!$DQ:$DQ)+'Rate History'!$D$27*SUMIF(Data!$G:$G,Neutral!$A42,Data!$DR:$DR)+'Rate History'!$D$28*SUMIF(Data!$G:$G,Neutral!$A42,Data!$DS:$DS)+'Rate History'!$D$29*SUMIF(Data!$G:$G,Neutral!$A42,Data!$DT:$DT)+'Rate History'!$D$30*SUMIF(Data!$G:$G,Neutral!$A42,Data!$DV:$DV)+'Rate History'!$D$31*SUMIF(Data!$G:$G,Neutral!$A42,Data!$DW:$DW))</f>
        <v>15191112.738838201</v>
      </c>
      <c r="C42" s="169">
        <f>$C$5*('Rate History'!$C$4*SUMIF(Data!$G:$G,Neutral!$A42,Data!$CU:$CU)+'Rate History'!$C$5*SUMIF(Data!$G:$G,Neutral!$A42,Data!$CV:$CV)+'Rate History'!$C$6*SUMIF(Data!$G:$G,Neutral!$A42,Data!$CW:$CW)+'Rate History'!$C$7*SUMIF(Data!$G:$G,Neutral!$A42,Data!$CX:$CX)+'Rate History'!$C$8*SUMIF(Data!$G:$G,Neutral!$A42,Data!$CY:$CY)+'Rate History'!$C$9*SUMIF(Data!$G:$G,Neutral!$A42,Data!$CZ:$CZ)+'Rate History'!$C$10*SUMIF(Data!$G:$G,Neutral!$A42,Data!$DA:$DA)+'Rate History'!$C$11*SUMIF(Data!$G:$G,Neutral!$A42,Data!$DB:$DB)+'Rate History'!$C$12*SUMIF(Data!$G:$G,Neutral!$A42,Data!$DC:$DC)+'Rate History'!$C$13*SUMIF(Data!$G:$G,Neutral!$A42,Data!$DD:$DD)+'Rate History'!$C$14*SUMIF(Data!$G:$G,Neutral!$A42,Data!$DE:$DE)+'Rate History'!$C$15*SUMIF(Data!$G:$G,Neutral!$A42,Data!$DF:$DF)+'Rate History'!$C$16*SUMIF(Data!$G:$G,Neutral!$A42,Data!$DG:$DG)+'Rate History'!$C$17*SUMIF(Data!$G:$G,Neutral!$A42,Data!$DH:$DH)+'Rate History'!$C$18*SUMIF(Data!$G:$G,Neutral!$A42,Data!$DI:$DI)+'Rate History'!$C$19*SUMIF(Data!$G:$G,Neutral!$A42,Data!$DJ:$DJ)+'Rate History'!$C$20*SUMIF(Data!$G:$G,Neutral!$A42,Data!$DK:$DK)+'Rate History'!$C$21*SUMIF(Data!$G:$G,Neutral!$A42,Data!$DL:$DL)+'Rate History'!$C$22*SUMIF(Data!$G:$G,Neutral!$A42,Data!$DM:$DM)+'Rate History'!$C$23*SUMIF(Data!$G:$G,Neutral!$A42,Data!$DN:$DN)+'Rate History'!$C$24*SUMIF(Data!$G:$G,Neutral!$A42,Data!$DO:$DO)+'Rate History'!$C$25*SUMIF(Data!$G:$G,Neutral!$A42,Data!$DP:$DP)+'Rate History'!$C$26*SUMIF(Data!$G:$G,Neutral!$A42,Data!$DQ:$DQ)+'Rate History'!$C$27*SUMIF(Data!$G:$G,Neutral!$A42,Data!$DR:$DR)+'Rate History'!$C$28*SUMIF(Data!$G:$G,Neutral!$A42,Data!$DS:$DS)+'Rate History'!$C$29*SUMIF(Data!$G:$G,Neutral!$A42,Data!$DT:$DT)+'Rate History'!$C$30*SUMIF(Data!$G:$G,Neutral!$A42,Data!$DV:$DV)+'Rate History'!$C$31*SUMIF(Data!$G:$G,Neutral!$A42,Data!$DW:$DW))</f>
        <v>15176395.37450576</v>
      </c>
      <c r="D42" s="170">
        <f t="shared" si="1"/>
        <v>-14717.364332441241</v>
      </c>
      <c r="E42" s="168">
        <f t="shared" si="0"/>
        <v>-9.6881410766008226E-4</v>
      </c>
    </row>
    <row r="43" spans="1:5" x14ac:dyDescent="0.25">
      <c r="A43" s="92" t="s">
        <v>456</v>
      </c>
      <c r="B43" s="169">
        <f>$B$5*('Rate History'!$D$4*SUMIF(Data!$G:$G,Neutral!$A43,Data!$CU:$CU)+'Rate History'!$D$5*SUMIF(Data!$G:$G,Neutral!$A43,Data!$CV:$CV)+'Rate History'!$D$6*SUMIF(Data!$G:$G,Neutral!$A43,Data!$CW:$CW)+'Rate History'!$D$7*SUMIF(Data!$G:$G,Neutral!$A43,Data!$CX:$CX)+'Rate History'!$D$8*SUMIF(Data!$G:$G,Neutral!$A43,Data!$CY:$CY)+'Rate History'!$D$9*SUMIF(Data!$G:$G,Neutral!$A43,Data!$CZ:$CZ)+'Rate History'!$D$10*SUMIF(Data!$G:$G,Neutral!$A43,Data!$DA:$DA)+'Rate History'!$D$11*SUMIF(Data!$G:$G,Neutral!$A43,Data!$DB:$DB)+'Rate History'!$D$12*SUMIF(Data!$G:$G,Neutral!$A43,Data!$DC:$DC)+'Rate History'!$D$13*SUMIF(Data!$G:$G,Neutral!$A43,Data!$DD:$DD)+'Rate History'!$D$14*SUMIF(Data!$G:$G,Neutral!$A43,Data!$DE:$DE)+'Rate History'!$D$15*SUMIF(Data!$G:$G,Neutral!$A43,Data!$DF:$DF)+'Rate History'!$D$16*SUMIF(Data!$G:$G,Neutral!$A43,Data!$DG:$DG)+'Rate History'!$D$17*SUMIF(Data!$G:$G,Neutral!$A43,Data!$DH:$DH)+'Rate History'!$D$18*SUMIF(Data!$G:$G,Neutral!$A43,Data!$DI:$DI)+'Rate History'!$D$19*SUMIF(Data!$G:$G,Neutral!$A43,Data!$DJ:$DJ)+'Rate History'!$D$20*SUMIF(Data!$G:$G,Neutral!$A43,Data!$DK:$DK)+'Rate History'!$D$21*SUMIF(Data!$G:$G,Neutral!$A43,Data!$DL:$DL)+'Rate History'!$D$22*SUMIF(Data!$G:$G,Neutral!$A43,Data!$DM:$DM)+'Rate History'!$D$23*SUMIF(Data!$G:$G,Neutral!$A43,Data!$DN:$DN)+'Rate History'!$D$24*SUMIF(Data!$G:$G,Neutral!$A43,Data!$DO:$DO)+'Rate History'!$D$25*SUMIF(Data!$G:$G,Neutral!$A43,Data!$DP:$DP)+'Rate History'!$D$26*SUMIF(Data!$G:$G,Neutral!$A43,Data!$DQ:$DQ)+'Rate History'!$D$27*SUMIF(Data!$G:$G,Neutral!$A43,Data!$DR:$DR)+'Rate History'!$D$28*SUMIF(Data!$G:$G,Neutral!$A43,Data!$DS:$DS)+'Rate History'!$D$29*SUMIF(Data!$G:$G,Neutral!$A43,Data!$DT:$DT)+'Rate History'!$D$30*SUMIF(Data!$G:$G,Neutral!$A43,Data!$DV:$DV)+'Rate History'!$D$31*SUMIF(Data!$G:$G,Neutral!$A43,Data!$DW:$DW))</f>
        <v>22179708.304695867</v>
      </c>
      <c r="C43" s="169">
        <f>$C$5*('Rate History'!$C$4*SUMIF(Data!$G:$G,Neutral!$A43,Data!$CU:$CU)+'Rate History'!$C$5*SUMIF(Data!$G:$G,Neutral!$A43,Data!$CV:$CV)+'Rate History'!$C$6*SUMIF(Data!$G:$G,Neutral!$A43,Data!$CW:$CW)+'Rate History'!$C$7*SUMIF(Data!$G:$G,Neutral!$A43,Data!$CX:$CX)+'Rate History'!$C$8*SUMIF(Data!$G:$G,Neutral!$A43,Data!$CY:$CY)+'Rate History'!$C$9*SUMIF(Data!$G:$G,Neutral!$A43,Data!$CZ:$CZ)+'Rate History'!$C$10*SUMIF(Data!$G:$G,Neutral!$A43,Data!$DA:$DA)+'Rate History'!$C$11*SUMIF(Data!$G:$G,Neutral!$A43,Data!$DB:$DB)+'Rate History'!$C$12*SUMIF(Data!$G:$G,Neutral!$A43,Data!$DC:$DC)+'Rate History'!$C$13*SUMIF(Data!$G:$G,Neutral!$A43,Data!$DD:$DD)+'Rate History'!$C$14*SUMIF(Data!$G:$G,Neutral!$A43,Data!$DE:$DE)+'Rate History'!$C$15*SUMIF(Data!$G:$G,Neutral!$A43,Data!$DF:$DF)+'Rate History'!$C$16*SUMIF(Data!$G:$G,Neutral!$A43,Data!$DG:$DG)+'Rate History'!$C$17*SUMIF(Data!$G:$G,Neutral!$A43,Data!$DH:$DH)+'Rate History'!$C$18*SUMIF(Data!$G:$G,Neutral!$A43,Data!$DI:$DI)+'Rate History'!$C$19*SUMIF(Data!$G:$G,Neutral!$A43,Data!$DJ:$DJ)+'Rate History'!$C$20*SUMIF(Data!$G:$G,Neutral!$A43,Data!$DK:$DK)+'Rate History'!$C$21*SUMIF(Data!$G:$G,Neutral!$A43,Data!$DL:$DL)+'Rate History'!$C$22*SUMIF(Data!$G:$G,Neutral!$A43,Data!$DM:$DM)+'Rate History'!$C$23*SUMIF(Data!$G:$G,Neutral!$A43,Data!$DN:$DN)+'Rate History'!$C$24*SUMIF(Data!$G:$G,Neutral!$A43,Data!$DO:$DO)+'Rate History'!$C$25*SUMIF(Data!$G:$G,Neutral!$A43,Data!$DP:$DP)+'Rate History'!$C$26*SUMIF(Data!$G:$G,Neutral!$A43,Data!$DQ:$DQ)+'Rate History'!$C$27*SUMIF(Data!$G:$G,Neutral!$A43,Data!$DR:$DR)+'Rate History'!$C$28*SUMIF(Data!$G:$G,Neutral!$A43,Data!$DS:$DS)+'Rate History'!$C$29*SUMIF(Data!$G:$G,Neutral!$A43,Data!$DT:$DT)+'Rate History'!$C$30*SUMIF(Data!$G:$G,Neutral!$A43,Data!$DV:$DV)+'Rate History'!$C$31*SUMIF(Data!$G:$G,Neutral!$A43,Data!$DW:$DW))</f>
        <v>22130884.142522596</v>
      </c>
      <c r="D43" s="170">
        <f t="shared" si="1"/>
        <v>-48824.162173271179</v>
      </c>
      <c r="E43" s="168">
        <f t="shared" si="0"/>
        <v>-2.201298660133153E-3</v>
      </c>
    </row>
    <row r="44" spans="1:5" x14ac:dyDescent="0.25">
      <c r="A44" s="92" t="s">
        <v>401</v>
      </c>
      <c r="B44" s="169">
        <f>$B$5*('Rate History'!$D$4*SUMIF(Data!$G:$G,Neutral!$A44,Data!$CU:$CU)+'Rate History'!$D$5*SUMIF(Data!$G:$G,Neutral!$A44,Data!$CV:$CV)+'Rate History'!$D$6*SUMIF(Data!$G:$G,Neutral!$A44,Data!$CW:$CW)+'Rate History'!$D$7*SUMIF(Data!$G:$G,Neutral!$A44,Data!$CX:$CX)+'Rate History'!$D$8*SUMIF(Data!$G:$G,Neutral!$A44,Data!$CY:$CY)+'Rate History'!$D$9*SUMIF(Data!$G:$G,Neutral!$A44,Data!$CZ:$CZ)+'Rate History'!$D$10*SUMIF(Data!$G:$G,Neutral!$A44,Data!$DA:$DA)+'Rate History'!$D$11*SUMIF(Data!$G:$G,Neutral!$A44,Data!$DB:$DB)+'Rate History'!$D$12*SUMIF(Data!$G:$G,Neutral!$A44,Data!$DC:$DC)+'Rate History'!$D$13*SUMIF(Data!$G:$G,Neutral!$A44,Data!$DD:$DD)+'Rate History'!$D$14*SUMIF(Data!$G:$G,Neutral!$A44,Data!$DE:$DE)+'Rate History'!$D$15*SUMIF(Data!$G:$G,Neutral!$A44,Data!$DF:$DF)+'Rate History'!$D$16*SUMIF(Data!$G:$G,Neutral!$A44,Data!$DG:$DG)+'Rate History'!$D$17*SUMIF(Data!$G:$G,Neutral!$A44,Data!$DH:$DH)+'Rate History'!$D$18*SUMIF(Data!$G:$G,Neutral!$A44,Data!$DI:$DI)+'Rate History'!$D$19*SUMIF(Data!$G:$G,Neutral!$A44,Data!$DJ:$DJ)+'Rate History'!$D$20*SUMIF(Data!$G:$G,Neutral!$A44,Data!$DK:$DK)+'Rate History'!$D$21*SUMIF(Data!$G:$G,Neutral!$A44,Data!$DL:$DL)+'Rate History'!$D$22*SUMIF(Data!$G:$G,Neutral!$A44,Data!$DM:$DM)+'Rate History'!$D$23*SUMIF(Data!$G:$G,Neutral!$A44,Data!$DN:$DN)+'Rate History'!$D$24*SUMIF(Data!$G:$G,Neutral!$A44,Data!$DO:$DO)+'Rate History'!$D$25*SUMIF(Data!$G:$G,Neutral!$A44,Data!$DP:$DP)+'Rate History'!$D$26*SUMIF(Data!$G:$G,Neutral!$A44,Data!$DQ:$DQ)+'Rate History'!$D$27*SUMIF(Data!$G:$G,Neutral!$A44,Data!$DR:$DR)+'Rate History'!$D$28*SUMIF(Data!$G:$G,Neutral!$A44,Data!$DS:$DS)+'Rate History'!$D$29*SUMIF(Data!$G:$G,Neutral!$A44,Data!$DT:$DT)+'Rate History'!$D$30*SUMIF(Data!$G:$G,Neutral!$A44,Data!$DV:$DV)+'Rate History'!$D$31*SUMIF(Data!$G:$G,Neutral!$A44,Data!$DW:$DW))</f>
        <v>6635035.0467688749</v>
      </c>
      <c r="C44" s="169">
        <f>$C$5*('Rate History'!$C$4*SUMIF(Data!$G:$G,Neutral!$A44,Data!$CU:$CU)+'Rate History'!$C$5*SUMIF(Data!$G:$G,Neutral!$A44,Data!$CV:$CV)+'Rate History'!$C$6*SUMIF(Data!$G:$G,Neutral!$A44,Data!$CW:$CW)+'Rate History'!$C$7*SUMIF(Data!$G:$G,Neutral!$A44,Data!$CX:$CX)+'Rate History'!$C$8*SUMIF(Data!$G:$G,Neutral!$A44,Data!$CY:$CY)+'Rate History'!$C$9*SUMIF(Data!$G:$G,Neutral!$A44,Data!$CZ:$CZ)+'Rate History'!$C$10*SUMIF(Data!$G:$G,Neutral!$A44,Data!$DA:$DA)+'Rate History'!$C$11*SUMIF(Data!$G:$G,Neutral!$A44,Data!$DB:$DB)+'Rate History'!$C$12*SUMIF(Data!$G:$G,Neutral!$A44,Data!$DC:$DC)+'Rate History'!$C$13*SUMIF(Data!$G:$G,Neutral!$A44,Data!$DD:$DD)+'Rate History'!$C$14*SUMIF(Data!$G:$G,Neutral!$A44,Data!$DE:$DE)+'Rate History'!$C$15*SUMIF(Data!$G:$G,Neutral!$A44,Data!$DF:$DF)+'Rate History'!$C$16*SUMIF(Data!$G:$G,Neutral!$A44,Data!$DG:$DG)+'Rate History'!$C$17*SUMIF(Data!$G:$G,Neutral!$A44,Data!$DH:$DH)+'Rate History'!$C$18*SUMIF(Data!$G:$G,Neutral!$A44,Data!$DI:$DI)+'Rate History'!$C$19*SUMIF(Data!$G:$G,Neutral!$A44,Data!$DJ:$DJ)+'Rate History'!$C$20*SUMIF(Data!$G:$G,Neutral!$A44,Data!$DK:$DK)+'Rate History'!$C$21*SUMIF(Data!$G:$G,Neutral!$A44,Data!$DL:$DL)+'Rate History'!$C$22*SUMIF(Data!$G:$G,Neutral!$A44,Data!$DM:$DM)+'Rate History'!$C$23*SUMIF(Data!$G:$G,Neutral!$A44,Data!$DN:$DN)+'Rate History'!$C$24*SUMIF(Data!$G:$G,Neutral!$A44,Data!$DO:$DO)+'Rate History'!$C$25*SUMIF(Data!$G:$G,Neutral!$A44,Data!$DP:$DP)+'Rate History'!$C$26*SUMIF(Data!$G:$G,Neutral!$A44,Data!$DQ:$DQ)+'Rate History'!$C$27*SUMIF(Data!$G:$G,Neutral!$A44,Data!$DR:$DR)+'Rate History'!$C$28*SUMIF(Data!$G:$G,Neutral!$A44,Data!$DS:$DS)+'Rate History'!$C$29*SUMIF(Data!$G:$G,Neutral!$A44,Data!$DT:$DT)+'Rate History'!$C$30*SUMIF(Data!$G:$G,Neutral!$A44,Data!$DV:$DV)+'Rate History'!$C$31*SUMIF(Data!$G:$G,Neutral!$A44,Data!$DW:$DW))</f>
        <v>6662775.5325699933</v>
      </c>
      <c r="D44" s="170">
        <f t="shared" si="1"/>
        <v>27740.485801118426</v>
      </c>
      <c r="E44" s="168">
        <f t="shared" si="0"/>
        <v>4.1809102145779122E-3</v>
      </c>
    </row>
    <row r="45" spans="1:5" x14ac:dyDescent="0.25">
      <c r="A45" s="92" t="s">
        <v>402</v>
      </c>
      <c r="B45" s="169">
        <f>$B$5*('Rate History'!$D$4*SUMIF(Data!$G:$G,Neutral!$A45,Data!$CU:$CU)+'Rate History'!$D$5*SUMIF(Data!$G:$G,Neutral!$A45,Data!$CV:$CV)+'Rate History'!$D$6*SUMIF(Data!$G:$G,Neutral!$A45,Data!$CW:$CW)+'Rate History'!$D$7*SUMIF(Data!$G:$G,Neutral!$A45,Data!$CX:$CX)+'Rate History'!$D$8*SUMIF(Data!$G:$G,Neutral!$A45,Data!$CY:$CY)+'Rate History'!$D$9*SUMIF(Data!$G:$G,Neutral!$A45,Data!$CZ:$CZ)+'Rate History'!$D$10*SUMIF(Data!$G:$G,Neutral!$A45,Data!$DA:$DA)+'Rate History'!$D$11*SUMIF(Data!$G:$G,Neutral!$A45,Data!$DB:$DB)+'Rate History'!$D$12*SUMIF(Data!$G:$G,Neutral!$A45,Data!$DC:$DC)+'Rate History'!$D$13*SUMIF(Data!$G:$G,Neutral!$A45,Data!$DD:$DD)+'Rate History'!$D$14*SUMIF(Data!$G:$G,Neutral!$A45,Data!$DE:$DE)+'Rate History'!$D$15*SUMIF(Data!$G:$G,Neutral!$A45,Data!$DF:$DF)+'Rate History'!$D$16*SUMIF(Data!$G:$G,Neutral!$A45,Data!$DG:$DG)+'Rate History'!$D$17*SUMIF(Data!$G:$G,Neutral!$A45,Data!$DH:$DH)+'Rate History'!$D$18*SUMIF(Data!$G:$G,Neutral!$A45,Data!$DI:$DI)+'Rate History'!$D$19*SUMIF(Data!$G:$G,Neutral!$A45,Data!$DJ:$DJ)+'Rate History'!$D$20*SUMIF(Data!$G:$G,Neutral!$A45,Data!$DK:$DK)+'Rate History'!$D$21*SUMIF(Data!$G:$G,Neutral!$A45,Data!$DL:$DL)+'Rate History'!$D$22*SUMIF(Data!$G:$G,Neutral!$A45,Data!$DM:$DM)+'Rate History'!$D$23*SUMIF(Data!$G:$G,Neutral!$A45,Data!$DN:$DN)+'Rate History'!$D$24*SUMIF(Data!$G:$G,Neutral!$A45,Data!$DO:$DO)+'Rate History'!$D$25*SUMIF(Data!$G:$G,Neutral!$A45,Data!$DP:$DP)+'Rate History'!$D$26*SUMIF(Data!$G:$G,Neutral!$A45,Data!$DQ:$DQ)+'Rate History'!$D$27*SUMIF(Data!$G:$G,Neutral!$A45,Data!$DR:$DR)+'Rate History'!$D$28*SUMIF(Data!$G:$G,Neutral!$A45,Data!$DS:$DS)+'Rate History'!$D$29*SUMIF(Data!$G:$G,Neutral!$A45,Data!$DT:$DT)+'Rate History'!$D$30*SUMIF(Data!$G:$G,Neutral!$A45,Data!$DV:$DV)+'Rate History'!$D$31*SUMIF(Data!$G:$G,Neutral!$A45,Data!$DW:$DW))</f>
        <v>42910766.580243766</v>
      </c>
      <c r="C45" s="169">
        <f>$C$5*('Rate History'!$C$4*SUMIF(Data!$G:$G,Neutral!$A45,Data!$CU:$CU)+'Rate History'!$C$5*SUMIF(Data!$G:$G,Neutral!$A45,Data!$CV:$CV)+'Rate History'!$C$6*SUMIF(Data!$G:$G,Neutral!$A45,Data!$CW:$CW)+'Rate History'!$C$7*SUMIF(Data!$G:$G,Neutral!$A45,Data!$CX:$CX)+'Rate History'!$C$8*SUMIF(Data!$G:$G,Neutral!$A45,Data!$CY:$CY)+'Rate History'!$C$9*SUMIF(Data!$G:$G,Neutral!$A45,Data!$CZ:$CZ)+'Rate History'!$C$10*SUMIF(Data!$G:$G,Neutral!$A45,Data!$DA:$DA)+'Rate History'!$C$11*SUMIF(Data!$G:$G,Neutral!$A45,Data!$DB:$DB)+'Rate History'!$C$12*SUMIF(Data!$G:$G,Neutral!$A45,Data!$DC:$DC)+'Rate History'!$C$13*SUMIF(Data!$G:$G,Neutral!$A45,Data!$DD:$DD)+'Rate History'!$C$14*SUMIF(Data!$G:$G,Neutral!$A45,Data!$DE:$DE)+'Rate History'!$C$15*SUMIF(Data!$G:$G,Neutral!$A45,Data!$DF:$DF)+'Rate History'!$C$16*SUMIF(Data!$G:$G,Neutral!$A45,Data!$DG:$DG)+'Rate History'!$C$17*SUMIF(Data!$G:$G,Neutral!$A45,Data!$DH:$DH)+'Rate History'!$C$18*SUMIF(Data!$G:$G,Neutral!$A45,Data!$DI:$DI)+'Rate History'!$C$19*SUMIF(Data!$G:$G,Neutral!$A45,Data!$DJ:$DJ)+'Rate History'!$C$20*SUMIF(Data!$G:$G,Neutral!$A45,Data!$DK:$DK)+'Rate History'!$C$21*SUMIF(Data!$G:$G,Neutral!$A45,Data!$DL:$DL)+'Rate History'!$C$22*SUMIF(Data!$G:$G,Neutral!$A45,Data!$DM:$DM)+'Rate History'!$C$23*SUMIF(Data!$G:$G,Neutral!$A45,Data!$DN:$DN)+'Rate History'!$C$24*SUMIF(Data!$G:$G,Neutral!$A45,Data!$DO:$DO)+'Rate History'!$C$25*SUMIF(Data!$G:$G,Neutral!$A45,Data!$DP:$DP)+'Rate History'!$C$26*SUMIF(Data!$G:$G,Neutral!$A45,Data!$DQ:$DQ)+'Rate History'!$C$27*SUMIF(Data!$G:$G,Neutral!$A45,Data!$DR:$DR)+'Rate History'!$C$28*SUMIF(Data!$G:$G,Neutral!$A45,Data!$DS:$DS)+'Rate History'!$C$29*SUMIF(Data!$G:$G,Neutral!$A45,Data!$DT:$DT)+'Rate History'!$C$30*SUMIF(Data!$G:$G,Neutral!$A45,Data!$DV:$DV)+'Rate History'!$C$31*SUMIF(Data!$G:$G,Neutral!$A45,Data!$DW:$DW))</f>
        <v>43030375.786828354</v>
      </c>
      <c r="D45" s="170">
        <f t="shared" si="1"/>
        <v>119609.20658458769</v>
      </c>
      <c r="E45" s="168">
        <f t="shared" si="0"/>
        <v>2.7873938434755463E-3</v>
      </c>
    </row>
    <row r="46" spans="1:5" x14ac:dyDescent="0.25">
      <c r="A46" s="92" t="s">
        <v>404</v>
      </c>
      <c r="B46" s="169">
        <f>$B$5*('Rate History'!$D$4*SUMIF(Data!$G:$G,Neutral!$A46,Data!$CU:$CU)+'Rate History'!$D$5*SUMIF(Data!$G:$G,Neutral!$A46,Data!$CV:$CV)+'Rate History'!$D$6*SUMIF(Data!$G:$G,Neutral!$A46,Data!$CW:$CW)+'Rate History'!$D$7*SUMIF(Data!$G:$G,Neutral!$A46,Data!$CX:$CX)+'Rate History'!$D$8*SUMIF(Data!$G:$G,Neutral!$A46,Data!$CY:$CY)+'Rate History'!$D$9*SUMIF(Data!$G:$G,Neutral!$A46,Data!$CZ:$CZ)+'Rate History'!$D$10*SUMIF(Data!$G:$G,Neutral!$A46,Data!$DA:$DA)+'Rate History'!$D$11*SUMIF(Data!$G:$G,Neutral!$A46,Data!$DB:$DB)+'Rate History'!$D$12*SUMIF(Data!$G:$G,Neutral!$A46,Data!$DC:$DC)+'Rate History'!$D$13*SUMIF(Data!$G:$G,Neutral!$A46,Data!$DD:$DD)+'Rate History'!$D$14*SUMIF(Data!$G:$G,Neutral!$A46,Data!$DE:$DE)+'Rate History'!$D$15*SUMIF(Data!$G:$G,Neutral!$A46,Data!$DF:$DF)+'Rate History'!$D$16*SUMIF(Data!$G:$G,Neutral!$A46,Data!$DG:$DG)+'Rate History'!$D$17*SUMIF(Data!$G:$G,Neutral!$A46,Data!$DH:$DH)+'Rate History'!$D$18*SUMIF(Data!$G:$G,Neutral!$A46,Data!$DI:$DI)+'Rate History'!$D$19*SUMIF(Data!$G:$G,Neutral!$A46,Data!$DJ:$DJ)+'Rate History'!$D$20*SUMIF(Data!$G:$G,Neutral!$A46,Data!$DK:$DK)+'Rate History'!$D$21*SUMIF(Data!$G:$G,Neutral!$A46,Data!$DL:$DL)+'Rate History'!$D$22*SUMIF(Data!$G:$G,Neutral!$A46,Data!$DM:$DM)+'Rate History'!$D$23*SUMIF(Data!$G:$G,Neutral!$A46,Data!$DN:$DN)+'Rate History'!$D$24*SUMIF(Data!$G:$G,Neutral!$A46,Data!$DO:$DO)+'Rate History'!$D$25*SUMIF(Data!$G:$G,Neutral!$A46,Data!$DP:$DP)+'Rate History'!$D$26*SUMIF(Data!$G:$G,Neutral!$A46,Data!$DQ:$DQ)+'Rate History'!$D$27*SUMIF(Data!$G:$G,Neutral!$A46,Data!$DR:$DR)+'Rate History'!$D$28*SUMIF(Data!$G:$G,Neutral!$A46,Data!$DS:$DS)+'Rate History'!$D$29*SUMIF(Data!$G:$G,Neutral!$A46,Data!$DT:$DT)+'Rate History'!$D$30*SUMIF(Data!$G:$G,Neutral!$A46,Data!$DV:$DV)+'Rate History'!$D$31*SUMIF(Data!$G:$G,Neutral!$A46,Data!$DW:$DW))</f>
        <v>6799082.8035628097</v>
      </c>
      <c r="C46" s="169">
        <f>$C$5*('Rate History'!$C$4*SUMIF(Data!$G:$G,Neutral!$A46,Data!$CU:$CU)+'Rate History'!$C$5*SUMIF(Data!$G:$G,Neutral!$A46,Data!$CV:$CV)+'Rate History'!$C$6*SUMIF(Data!$G:$G,Neutral!$A46,Data!$CW:$CW)+'Rate History'!$C$7*SUMIF(Data!$G:$G,Neutral!$A46,Data!$CX:$CX)+'Rate History'!$C$8*SUMIF(Data!$G:$G,Neutral!$A46,Data!$CY:$CY)+'Rate History'!$C$9*SUMIF(Data!$G:$G,Neutral!$A46,Data!$CZ:$CZ)+'Rate History'!$C$10*SUMIF(Data!$G:$G,Neutral!$A46,Data!$DA:$DA)+'Rate History'!$C$11*SUMIF(Data!$G:$G,Neutral!$A46,Data!$DB:$DB)+'Rate History'!$C$12*SUMIF(Data!$G:$G,Neutral!$A46,Data!$DC:$DC)+'Rate History'!$C$13*SUMIF(Data!$G:$G,Neutral!$A46,Data!$DD:$DD)+'Rate History'!$C$14*SUMIF(Data!$G:$G,Neutral!$A46,Data!$DE:$DE)+'Rate History'!$C$15*SUMIF(Data!$G:$G,Neutral!$A46,Data!$DF:$DF)+'Rate History'!$C$16*SUMIF(Data!$G:$G,Neutral!$A46,Data!$DG:$DG)+'Rate History'!$C$17*SUMIF(Data!$G:$G,Neutral!$A46,Data!$DH:$DH)+'Rate History'!$C$18*SUMIF(Data!$G:$G,Neutral!$A46,Data!$DI:$DI)+'Rate History'!$C$19*SUMIF(Data!$G:$G,Neutral!$A46,Data!$DJ:$DJ)+'Rate History'!$C$20*SUMIF(Data!$G:$G,Neutral!$A46,Data!$DK:$DK)+'Rate History'!$C$21*SUMIF(Data!$G:$G,Neutral!$A46,Data!$DL:$DL)+'Rate History'!$C$22*SUMIF(Data!$G:$G,Neutral!$A46,Data!$DM:$DM)+'Rate History'!$C$23*SUMIF(Data!$G:$G,Neutral!$A46,Data!$DN:$DN)+'Rate History'!$C$24*SUMIF(Data!$G:$G,Neutral!$A46,Data!$DO:$DO)+'Rate History'!$C$25*SUMIF(Data!$G:$G,Neutral!$A46,Data!$DP:$DP)+'Rate History'!$C$26*SUMIF(Data!$G:$G,Neutral!$A46,Data!$DQ:$DQ)+'Rate History'!$C$27*SUMIF(Data!$G:$G,Neutral!$A46,Data!$DR:$DR)+'Rate History'!$C$28*SUMIF(Data!$G:$G,Neutral!$A46,Data!$DS:$DS)+'Rate History'!$C$29*SUMIF(Data!$G:$G,Neutral!$A46,Data!$DT:$DT)+'Rate History'!$C$30*SUMIF(Data!$G:$G,Neutral!$A46,Data!$DV:$DV)+'Rate History'!$C$31*SUMIF(Data!$G:$G,Neutral!$A46,Data!$DW:$DW))</f>
        <v>6794401.4490629174</v>
      </c>
      <c r="D46" s="170">
        <f t="shared" si="1"/>
        <v>-4681.3544998923317</v>
      </c>
      <c r="E46" s="168">
        <f t="shared" si="0"/>
        <v>-6.8852735510725651E-4</v>
      </c>
    </row>
    <row r="47" spans="1:5" x14ac:dyDescent="0.25">
      <c r="A47" s="92" t="s">
        <v>406</v>
      </c>
      <c r="B47" s="169">
        <f>$B$5*('Rate History'!$D$4*SUMIF(Data!$G:$G,Neutral!$A47,Data!$CU:$CU)+'Rate History'!$D$5*SUMIF(Data!$G:$G,Neutral!$A47,Data!$CV:$CV)+'Rate History'!$D$6*SUMIF(Data!$G:$G,Neutral!$A47,Data!$CW:$CW)+'Rate History'!$D$7*SUMIF(Data!$G:$G,Neutral!$A47,Data!$CX:$CX)+'Rate History'!$D$8*SUMIF(Data!$G:$G,Neutral!$A47,Data!$CY:$CY)+'Rate History'!$D$9*SUMIF(Data!$G:$G,Neutral!$A47,Data!$CZ:$CZ)+'Rate History'!$D$10*SUMIF(Data!$G:$G,Neutral!$A47,Data!$DA:$DA)+'Rate History'!$D$11*SUMIF(Data!$G:$G,Neutral!$A47,Data!$DB:$DB)+'Rate History'!$D$12*SUMIF(Data!$G:$G,Neutral!$A47,Data!$DC:$DC)+'Rate History'!$D$13*SUMIF(Data!$G:$G,Neutral!$A47,Data!$DD:$DD)+'Rate History'!$D$14*SUMIF(Data!$G:$G,Neutral!$A47,Data!$DE:$DE)+'Rate History'!$D$15*SUMIF(Data!$G:$G,Neutral!$A47,Data!$DF:$DF)+'Rate History'!$D$16*SUMIF(Data!$G:$G,Neutral!$A47,Data!$DG:$DG)+'Rate History'!$D$17*SUMIF(Data!$G:$G,Neutral!$A47,Data!$DH:$DH)+'Rate History'!$D$18*SUMIF(Data!$G:$G,Neutral!$A47,Data!$DI:$DI)+'Rate History'!$D$19*SUMIF(Data!$G:$G,Neutral!$A47,Data!$DJ:$DJ)+'Rate History'!$D$20*SUMIF(Data!$G:$G,Neutral!$A47,Data!$DK:$DK)+'Rate History'!$D$21*SUMIF(Data!$G:$G,Neutral!$A47,Data!$DL:$DL)+'Rate History'!$D$22*SUMIF(Data!$G:$G,Neutral!$A47,Data!$DM:$DM)+'Rate History'!$D$23*SUMIF(Data!$G:$G,Neutral!$A47,Data!$DN:$DN)+'Rate History'!$D$24*SUMIF(Data!$G:$G,Neutral!$A47,Data!$DO:$DO)+'Rate History'!$D$25*SUMIF(Data!$G:$G,Neutral!$A47,Data!$DP:$DP)+'Rate History'!$D$26*SUMIF(Data!$G:$G,Neutral!$A47,Data!$DQ:$DQ)+'Rate History'!$D$27*SUMIF(Data!$G:$G,Neutral!$A47,Data!$DR:$DR)+'Rate History'!$D$28*SUMIF(Data!$G:$G,Neutral!$A47,Data!$DS:$DS)+'Rate History'!$D$29*SUMIF(Data!$G:$G,Neutral!$A47,Data!$DT:$DT)+'Rate History'!$D$30*SUMIF(Data!$G:$G,Neutral!$A47,Data!$DV:$DV)+'Rate History'!$D$31*SUMIF(Data!$G:$G,Neutral!$A47,Data!$DW:$DW))</f>
        <v>9501481.6863439456</v>
      </c>
      <c r="C47" s="169">
        <f>$C$5*('Rate History'!$C$4*SUMIF(Data!$G:$G,Neutral!$A47,Data!$CU:$CU)+'Rate History'!$C$5*SUMIF(Data!$G:$G,Neutral!$A47,Data!$CV:$CV)+'Rate History'!$C$6*SUMIF(Data!$G:$G,Neutral!$A47,Data!$CW:$CW)+'Rate History'!$C$7*SUMIF(Data!$G:$G,Neutral!$A47,Data!$CX:$CX)+'Rate History'!$C$8*SUMIF(Data!$G:$G,Neutral!$A47,Data!$CY:$CY)+'Rate History'!$C$9*SUMIF(Data!$G:$G,Neutral!$A47,Data!$CZ:$CZ)+'Rate History'!$C$10*SUMIF(Data!$G:$G,Neutral!$A47,Data!$DA:$DA)+'Rate History'!$C$11*SUMIF(Data!$G:$G,Neutral!$A47,Data!$DB:$DB)+'Rate History'!$C$12*SUMIF(Data!$G:$G,Neutral!$A47,Data!$DC:$DC)+'Rate History'!$C$13*SUMIF(Data!$G:$G,Neutral!$A47,Data!$DD:$DD)+'Rate History'!$C$14*SUMIF(Data!$G:$G,Neutral!$A47,Data!$DE:$DE)+'Rate History'!$C$15*SUMIF(Data!$G:$G,Neutral!$A47,Data!$DF:$DF)+'Rate History'!$C$16*SUMIF(Data!$G:$G,Neutral!$A47,Data!$DG:$DG)+'Rate History'!$C$17*SUMIF(Data!$G:$G,Neutral!$A47,Data!$DH:$DH)+'Rate History'!$C$18*SUMIF(Data!$G:$G,Neutral!$A47,Data!$DI:$DI)+'Rate History'!$C$19*SUMIF(Data!$G:$G,Neutral!$A47,Data!$DJ:$DJ)+'Rate History'!$C$20*SUMIF(Data!$G:$G,Neutral!$A47,Data!$DK:$DK)+'Rate History'!$C$21*SUMIF(Data!$G:$G,Neutral!$A47,Data!$DL:$DL)+'Rate History'!$C$22*SUMIF(Data!$G:$G,Neutral!$A47,Data!$DM:$DM)+'Rate History'!$C$23*SUMIF(Data!$G:$G,Neutral!$A47,Data!$DN:$DN)+'Rate History'!$C$24*SUMIF(Data!$G:$G,Neutral!$A47,Data!$DO:$DO)+'Rate History'!$C$25*SUMIF(Data!$G:$G,Neutral!$A47,Data!$DP:$DP)+'Rate History'!$C$26*SUMIF(Data!$G:$G,Neutral!$A47,Data!$DQ:$DQ)+'Rate History'!$C$27*SUMIF(Data!$G:$G,Neutral!$A47,Data!$DR:$DR)+'Rate History'!$C$28*SUMIF(Data!$G:$G,Neutral!$A47,Data!$DS:$DS)+'Rate History'!$C$29*SUMIF(Data!$G:$G,Neutral!$A47,Data!$DT:$DT)+'Rate History'!$C$30*SUMIF(Data!$G:$G,Neutral!$A47,Data!$DV:$DV)+'Rate History'!$C$31*SUMIF(Data!$G:$G,Neutral!$A47,Data!$DW:$DW))</f>
        <v>9509328.528640572</v>
      </c>
      <c r="D47" s="170">
        <f t="shared" si="1"/>
        <v>7846.8422966264188</v>
      </c>
      <c r="E47" s="168">
        <f t="shared" si="0"/>
        <v>8.258545935950531E-4</v>
      </c>
    </row>
    <row r="48" spans="1:5" x14ac:dyDescent="0.25">
      <c r="A48" s="92" t="s">
        <v>410</v>
      </c>
      <c r="B48" s="169">
        <f>$B$5*('Rate History'!$D$4*SUMIF(Data!$G:$G,Neutral!$A48,Data!$CU:$CU)+'Rate History'!$D$5*SUMIF(Data!$G:$G,Neutral!$A48,Data!$CV:$CV)+'Rate History'!$D$6*SUMIF(Data!$G:$G,Neutral!$A48,Data!$CW:$CW)+'Rate History'!$D$7*SUMIF(Data!$G:$G,Neutral!$A48,Data!$CX:$CX)+'Rate History'!$D$8*SUMIF(Data!$G:$G,Neutral!$A48,Data!$CY:$CY)+'Rate History'!$D$9*SUMIF(Data!$G:$G,Neutral!$A48,Data!$CZ:$CZ)+'Rate History'!$D$10*SUMIF(Data!$G:$G,Neutral!$A48,Data!$DA:$DA)+'Rate History'!$D$11*SUMIF(Data!$G:$G,Neutral!$A48,Data!$DB:$DB)+'Rate History'!$D$12*SUMIF(Data!$G:$G,Neutral!$A48,Data!$DC:$DC)+'Rate History'!$D$13*SUMIF(Data!$G:$G,Neutral!$A48,Data!$DD:$DD)+'Rate History'!$D$14*SUMIF(Data!$G:$G,Neutral!$A48,Data!$DE:$DE)+'Rate History'!$D$15*SUMIF(Data!$G:$G,Neutral!$A48,Data!$DF:$DF)+'Rate History'!$D$16*SUMIF(Data!$G:$G,Neutral!$A48,Data!$DG:$DG)+'Rate History'!$D$17*SUMIF(Data!$G:$G,Neutral!$A48,Data!$DH:$DH)+'Rate History'!$D$18*SUMIF(Data!$G:$G,Neutral!$A48,Data!$DI:$DI)+'Rate History'!$D$19*SUMIF(Data!$G:$G,Neutral!$A48,Data!$DJ:$DJ)+'Rate History'!$D$20*SUMIF(Data!$G:$G,Neutral!$A48,Data!$DK:$DK)+'Rate History'!$D$21*SUMIF(Data!$G:$G,Neutral!$A48,Data!$DL:$DL)+'Rate History'!$D$22*SUMIF(Data!$G:$G,Neutral!$A48,Data!$DM:$DM)+'Rate History'!$D$23*SUMIF(Data!$G:$G,Neutral!$A48,Data!$DN:$DN)+'Rate History'!$D$24*SUMIF(Data!$G:$G,Neutral!$A48,Data!$DO:$DO)+'Rate History'!$D$25*SUMIF(Data!$G:$G,Neutral!$A48,Data!$DP:$DP)+'Rate History'!$D$26*SUMIF(Data!$G:$G,Neutral!$A48,Data!$DQ:$DQ)+'Rate History'!$D$27*SUMIF(Data!$G:$G,Neutral!$A48,Data!$DR:$DR)+'Rate History'!$D$28*SUMIF(Data!$G:$G,Neutral!$A48,Data!$DS:$DS)+'Rate History'!$D$29*SUMIF(Data!$G:$G,Neutral!$A48,Data!$DT:$DT)+'Rate History'!$D$30*SUMIF(Data!$G:$G,Neutral!$A48,Data!$DV:$DV)+'Rate History'!$D$31*SUMIF(Data!$G:$G,Neutral!$A48,Data!$DW:$DW))</f>
        <v>12068422.252174046</v>
      </c>
      <c r="C48" s="169">
        <f>$C$5*('Rate History'!$C$4*SUMIF(Data!$G:$G,Neutral!$A48,Data!$CU:$CU)+'Rate History'!$C$5*SUMIF(Data!$G:$G,Neutral!$A48,Data!$CV:$CV)+'Rate History'!$C$6*SUMIF(Data!$G:$G,Neutral!$A48,Data!$CW:$CW)+'Rate History'!$C$7*SUMIF(Data!$G:$G,Neutral!$A48,Data!$CX:$CX)+'Rate History'!$C$8*SUMIF(Data!$G:$G,Neutral!$A48,Data!$CY:$CY)+'Rate History'!$C$9*SUMIF(Data!$G:$G,Neutral!$A48,Data!$CZ:$CZ)+'Rate History'!$C$10*SUMIF(Data!$G:$G,Neutral!$A48,Data!$DA:$DA)+'Rate History'!$C$11*SUMIF(Data!$G:$G,Neutral!$A48,Data!$DB:$DB)+'Rate History'!$C$12*SUMIF(Data!$G:$G,Neutral!$A48,Data!$DC:$DC)+'Rate History'!$C$13*SUMIF(Data!$G:$G,Neutral!$A48,Data!$DD:$DD)+'Rate History'!$C$14*SUMIF(Data!$G:$G,Neutral!$A48,Data!$DE:$DE)+'Rate History'!$C$15*SUMIF(Data!$G:$G,Neutral!$A48,Data!$DF:$DF)+'Rate History'!$C$16*SUMIF(Data!$G:$G,Neutral!$A48,Data!$DG:$DG)+'Rate History'!$C$17*SUMIF(Data!$G:$G,Neutral!$A48,Data!$DH:$DH)+'Rate History'!$C$18*SUMIF(Data!$G:$G,Neutral!$A48,Data!$DI:$DI)+'Rate History'!$C$19*SUMIF(Data!$G:$G,Neutral!$A48,Data!$DJ:$DJ)+'Rate History'!$C$20*SUMIF(Data!$G:$G,Neutral!$A48,Data!$DK:$DK)+'Rate History'!$C$21*SUMIF(Data!$G:$G,Neutral!$A48,Data!$DL:$DL)+'Rate History'!$C$22*SUMIF(Data!$G:$G,Neutral!$A48,Data!$DM:$DM)+'Rate History'!$C$23*SUMIF(Data!$G:$G,Neutral!$A48,Data!$DN:$DN)+'Rate History'!$C$24*SUMIF(Data!$G:$G,Neutral!$A48,Data!$DO:$DO)+'Rate History'!$C$25*SUMIF(Data!$G:$G,Neutral!$A48,Data!$DP:$DP)+'Rate History'!$C$26*SUMIF(Data!$G:$G,Neutral!$A48,Data!$DQ:$DQ)+'Rate History'!$C$27*SUMIF(Data!$G:$G,Neutral!$A48,Data!$DR:$DR)+'Rate History'!$C$28*SUMIF(Data!$G:$G,Neutral!$A48,Data!$DS:$DS)+'Rate History'!$C$29*SUMIF(Data!$G:$G,Neutral!$A48,Data!$DT:$DT)+'Rate History'!$C$30*SUMIF(Data!$G:$G,Neutral!$A48,Data!$DV:$DV)+'Rate History'!$C$31*SUMIF(Data!$G:$G,Neutral!$A48,Data!$DW:$DW))</f>
        <v>12066892.123116231</v>
      </c>
      <c r="D48" s="170">
        <f t="shared" si="1"/>
        <v>-1530.1290578152984</v>
      </c>
      <c r="E48" s="168">
        <f t="shared" si="0"/>
        <v>-1.2678782908342936E-4</v>
      </c>
    </row>
    <row r="49" spans="1:5" x14ac:dyDescent="0.25">
      <c r="A49" s="92" t="s">
        <v>371</v>
      </c>
      <c r="B49" s="169">
        <f>$B$5*('Rate History'!$D$4*SUMIF(Data!$G:$G,Neutral!$A49,Data!$CU:$CU)+'Rate History'!$D$5*SUMIF(Data!$G:$G,Neutral!$A49,Data!$CV:$CV)+'Rate History'!$D$6*SUMIF(Data!$G:$G,Neutral!$A49,Data!$CW:$CW)+'Rate History'!$D$7*SUMIF(Data!$G:$G,Neutral!$A49,Data!$CX:$CX)+'Rate History'!$D$8*SUMIF(Data!$G:$G,Neutral!$A49,Data!$CY:$CY)+'Rate History'!$D$9*SUMIF(Data!$G:$G,Neutral!$A49,Data!$CZ:$CZ)+'Rate History'!$D$10*SUMIF(Data!$G:$G,Neutral!$A49,Data!$DA:$DA)+'Rate History'!$D$11*SUMIF(Data!$G:$G,Neutral!$A49,Data!$DB:$DB)+'Rate History'!$D$12*SUMIF(Data!$G:$G,Neutral!$A49,Data!$DC:$DC)+'Rate History'!$D$13*SUMIF(Data!$G:$G,Neutral!$A49,Data!$DD:$DD)+'Rate History'!$D$14*SUMIF(Data!$G:$G,Neutral!$A49,Data!$DE:$DE)+'Rate History'!$D$15*SUMIF(Data!$G:$G,Neutral!$A49,Data!$DF:$DF)+'Rate History'!$D$16*SUMIF(Data!$G:$G,Neutral!$A49,Data!$DG:$DG)+'Rate History'!$D$17*SUMIF(Data!$G:$G,Neutral!$A49,Data!$DH:$DH)+'Rate History'!$D$18*SUMIF(Data!$G:$G,Neutral!$A49,Data!$DI:$DI)+'Rate History'!$D$19*SUMIF(Data!$G:$G,Neutral!$A49,Data!$DJ:$DJ)+'Rate History'!$D$20*SUMIF(Data!$G:$G,Neutral!$A49,Data!$DK:$DK)+'Rate History'!$D$21*SUMIF(Data!$G:$G,Neutral!$A49,Data!$DL:$DL)+'Rate History'!$D$22*SUMIF(Data!$G:$G,Neutral!$A49,Data!$DM:$DM)+'Rate History'!$D$23*SUMIF(Data!$G:$G,Neutral!$A49,Data!$DN:$DN)+'Rate History'!$D$24*SUMIF(Data!$G:$G,Neutral!$A49,Data!$DO:$DO)+'Rate History'!$D$25*SUMIF(Data!$G:$G,Neutral!$A49,Data!$DP:$DP)+'Rate History'!$D$26*SUMIF(Data!$G:$G,Neutral!$A49,Data!$DQ:$DQ)+'Rate History'!$D$27*SUMIF(Data!$G:$G,Neutral!$A49,Data!$DR:$DR)+'Rate History'!$D$28*SUMIF(Data!$G:$G,Neutral!$A49,Data!$DS:$DS)+'Rate History'!$D$29*SUMIF(Data!$G:$G,Neutral!$A49,Data!$DT:$DT)+'Rate History'!$D$30*SUMIF(Data!$G:$G,Neutral!$A49,Data!$DV:$DV)+'Rate History'!$D$31*SUMIF(Data!$G:$G,Neutral!$A49,Data!$DW:$DW))</f>
        <v>11301238.543846026</v>
      </c>
      <c r="C49" s="169">
        <f>$C$5*('Rate History'!$C$4*SUMIF(Data!$G:$G,Neutral!$A49,Data!$CU:$CU)+'Rate History'!$C$5*SUMIF(Data!$G:$G,Neutral!$A49,Data!$CV:$CV)+'Rate History'!$C$6*SUMIF(Data!$G:$G,Neutral!$A49,Data!$CW:$CW)+'Rate History'!$C$7*SUMIF(Data!$G:$G,Neutral!$A49,Data!$CX:$CX)+'Rate History'!$C$8*SUMIF(Data!$G:$G,Neutral!$A49,Data!$CY:$CY)+'Rate History'!$C$9*SUMIF(Data!$G:$G,Neutral!$A49,Data!$CZ:$CZ)+'Rate History'!$C$10*SUMIF(Data!$G:$G,Neutral!$A49,Data!$DA:$DA)+'Rate History'!$C$11*SUMIF(Data!$G:$G,Neutral!$A49,Data!$DB:$DB)+'Rate History'!$C$12*SUMIF(Data!$G:$G,Neutral!$A49,Data!$DC:$DC)+'Rate History'!$C$13*SUMIF(Data!$G:$G,Neutral!$A49,Data!$DD:$DD)+'Rate History'!$C$14*SUMIF(Data!$G:$G,Neutral!$A49,Data!$DE:$DE)+'Rate History'!$C$15*SUMIF(Data!$G:$G,Neutral!$A49,Data!$DF:$DF)+'Rate History'!$C$16*SUMIF(Data!$G:$G,Neutral!$A49,Data!$DG:$DG)+'Rate History'!$C$17*SUMIF(Data!$G:$G,Neutral!$A49,Data!$DH:$DH)+'Rate History'!$C$18*SUMIF(Data!$G:$G,Neutral!$A49,Data!$DI:$DI)+'Rate History'!$C$19*SUMIF(Data!$G:$G,Neutral!$A49,Data!$DJ:$DJ)+'Rate History'!$C$20*SUMIF(Data!$G:$G,Neutral!$A49,Data!$DK:$DK)+'Rate History'!$C$21*SUMIF(Data!$G:$G,Neutral!$A49,Data!$DL:$DL)+'Rate History'!$C$22*SUMIF(Data!$G:$G,Neutral!$A49,Data!$DM:$DM)+'Rate History'!$C$23*SUMIF(Data!$G:$G,Neutral!$A49,Data!$DN:$DN)+'Rate History'!$C$24*SUMIF(Data!$G:$G,Neutral!$A49,Data!$DO:$DO)+'Rate History'!$C$25*SUMIF(Data!$G:$G,Neutral!$A49,Data!$DP:$DP)+'Rate History'!$C$26*SUMIF(Data!$G:$G,Neutral!$A49,Data!$DQ:$DQ)+'Rate History'!$C$27*SUMIF(Data!$G:$G,Neutral!$A49,Data!$DR:$DR)+'Rate History'!$C$28*SUMIF(Data!$G:$G,Neutral!$A49,Data!$DS:$DS)+'Rate History'!$C$29*SUMIF(Data!$G:$G,Neutral!$A49,Data!$DT:$DT)+'Rate History'!$C$30*SUMIF(Data!$G:$G,Neutral!$A49,Data!$DV:$DV)+'Rate History'!$C$31*SUMIF(Data!$G:$G,Neutral!$A49,Data!$DW:$DW))</f>
        <v>11266133.288516458</v>
      </c>
      <c r="D49" s="170">
        <f t="shared" si="1"/>
        <v>-35105.255329567939</v>
      </c>
      <c r="E49" s="168">
        <f t="shared" si="0"/>
        <v>-3.1063192935330214E-3</v>
      </c>
    </row>
    <row r="50" spans="1:5" x14ac:dyDescent="0.25">
      <c r="A50" s="92" t="s">
        <v>412</v>
      </c>
      <c r="B50" s="169">
        <f>$B$5*('Rate History'!$D$4*SUMIF(Data!$G:$G,Neutral!$A50,Data!$CU:$CU)+'Rate History'!$D$5*SUMIF(Data!$G:$G,Neutral!$A50,Data!$CV:$CV)+'Rate History'!$D$6*SUMIF(Data!$G:$G,Neutral!$A50,Data!$CW:$CW)+'Rate History'!$D$7*SUMIF(Data!$G:$G,Neutral!$A50,Data!$CX:$CX)+'Rate History'!$D$8*SUMIF(Data!$G:$G,Neutral!$A50,Data!$CY:$CY)+'Rate History'!$D$9*SUMIF(Data!$G:$G,Neutral!$A50,Data!$CZ:$CZ)+'Rate History'!$D$10*SUMIF(Data!$G:$G,Neutral!$A50,Data!$DA:$DA)+'Rate History'!$D$11*SUMIF(Data!$G:$G,Neutral!$A50,Data!$DB:$DB)+'Rate History'!$D$12*SUMIF(Data!$G:$G,Neutral!$A50,Data!$DC:$DC)+'Rate History'!$D$13*SUMIF(Data!$G:$G,Neutral!$A50,Data!$DD:$DD)+'Rate History'!$D$14*SUMIF(Data!$G:$G,Neutral!$A50,Data!$DE:$DE)+'Rate History'!$D$15*SUMIF(Data!$G:$G,Neutral!$A50,Data!$DF:$DF)+'Rate History'!$D$16*SUMIF(Data!$G:$G,Neutral!$A50,Data!$DG:$DG)+'Rate History'!$D$17*SUMIF(Data!$G:$G,Neutral!$A50,Data!$DH:$DH)+'Rate History'!$D$18*SUMIF(Data!$G:$G,Neutral!$A50,Data!$DI:$DI)+'Rate History'!$D$19*SUMIF(Data!$G:$G,Neutral!$A50,Data!$DJ:$DJ)+'Rate History'!$D$20*SUMIF(Data!$G:$G,Neutral!$A50,Data!$DK:$DK)+'Rate History'!$D$21*SUMIF(Data!$G:$G,Neutral!$A50,Data!$DL:$DL)+'Rate History'!$D$22*SUMIF(Data!$G:$G,Neutral!$A50,Data!$DM:$DM)+'Rate History'!$D$23*SUMIF(Data!$G:$G,Neutral!$A50,Data!$DN:$DN)+'Rate History'!$D$24*SUMIF(Data!$G:$G,Neutral!$A50,Data!$DO:$DO)+'Rate History'!$D$25*SUMIF(Data!$G:$G,Neutral!$A50,Data!$DP:$DP)+'Rate History'!$D$26*SUMIF(Data!$G:$G,Neutral!$A50,Data!$DQ:$DQ)+'Rate History'!$D$27*SUMIF(Data!$G:$G,Neutral!$A50,Data!$DR:$DR)+'Rate History'!$D$28*SUMIF(Data!$G:$G,Neutral!$A50,Data!$DS:$DS)+'Rate History'!$D$29*SUMIF(Data!$G:$G,Neutral!$A50,Data!$DT:$DT)+'Rate History'!$D$30*SUMIF(Data!$G:$G,Neutral!$A50,Data!$DV:$DV)+'Rate History'!$D$31*SUMIF(Data!$G:$G,Neutral!$A50,Data!$DW:$DW))</f>
        <v>17415324.652906276</v>
      </c>
      <c r="C50" s="169">
        <f>$C$5*('Rate History'!$C$4*SUMIF(Data!$G:$G,Neutral!$A50,Data!$CU:$CU)+'Rate History'!$C$5*SUMIF(Data!$G:$G,Neutral!$A50,Data!$CV:$CV)+'Rate History'!$C$6*SUMIF(Data!$G:$G,Neutral!$A50,Data!$CW:$CW)+'Rate History'!$C$7*SUMIF(Data!$G:$G,Neutral!$A50,Data!$CX:$CX)+'Rate History'!$C$8*SUMIF(Data!$G:$G,Neutral!$A50,Data!$CY:$CY)+'Rate History'!$C$9*SUMIF(Data!$G:$G,Neutral!$A50,Data!$CZ:$CZ)+'Rate History'!$C$10*SUMIF(Data!$G:$G,Neutral!$A50,Data!$DA:$DA)+'Rate History'!$C$11*SUMIF(Data!$G:$G,Neutral!$A50,Data!$DB:$DB)+'Rate History'!$C$12*SUMIF(Data!$G:$G,Neutral!$A50,Data!$DC:$DC)+'Rate History'!$C$13*SUMIF(Data!$G:$G,Neutral!$A50,Data!$DD:$DD)+'Rate History'!$C$14*SUMIF(Data!$G:$G,Neutral!$A50,Data!$DE:$DE)+'Rate History'!$C$15*SUMIF(Data!$G:$G,Neutral!$A50,Data!$DF:$DF)+'Rate History'!$C$16*SUMIF(Data!$G:$G,Neutral!$A50,Data!$DG:$DG)+'Rate History'!$C$17*SUMIF(Data!$G:$G,Neutral!$A50,Data!$DH:$DH)+'Rate History'!$C$18*SUMIF(Data!$G:$G,Neutral!$A50,Data!$DI:$DI)+'Rate History'!$C$19*SUMIF(Data!$G:$G,Neutral!$A50,Data!$DJ:$DJ)+'Rate History'!$C$20*SUMIF(Data!$G:$G,Neutral!$A50,Data!$DK:$DK)+'Rate History'!$C$21*SUMIF(Data!$G:$G,Neutral!$A50,Data!$DL:$DL)+'Rate History'!$C$22*SUMIF(Data!$G:$G,Neutral!$A50,Data!$DM:$DM)+'Rate History'!$C$23*SUMIF(Data!$G:$G,Neutral!$A50,Data!$DN:$DN)+'Rate History'!$C$24*SUMIF(Data!$G:$G,Neutral!$A50,Data!$DO:$DO)+'Rate History'!$C$25*SUMIF(Data!$G:$G,Neutral!$A50,Data!$DP:$DP)+'Rate History'!$C$26*SUMIF(Data!$G:$G,Neutral!$A50,Data!$DQ:$DQ)+'Rate History'!$C$27*SUMIF(Data!$G:$G,Neutral!$A50,Data!$DR:$DR)+'Rate History'!$C$28*SUMIF(Data!$G:$G,Neutral!$A50,Data!$DS:$DS)+'Rate History'!$C$29*SUMIF(Data!$G:$G,Neutral!$A50,Data!$DT:$DT)+'Rate History'!$C$30*SUMIF(Data!$G:$G,Neutral!$A50,Data!$DV:$DV)+'Rate History'!$C$31*SUMIF(Data!$G:$G,Neutral!$A50,Data!$DW:$DW))</f>
        <v>17425924.79753847</v>
      </c>
      <c r="D50" s="170">
        <f t="shared" si="1"/>
        <v>10600.144632194191</v>
      </c>
      <c r="E50" s="168">
        <f t="shared" si="0"/>
        <v>6.0866764435684719E-4</v>
      </c>
    </row>
    <row r="51" spans="1:5" x14ac:dyDescent="0.25">
      <c r="A51" s="92" t="s">
        <v>438</v>
      </c>
      <c r="B51" s="169">
        <f>$B$5*('Rate History'!$D$4*SUMIF(Data!$G:$G,Neutral!$A51,Data!$CU:$CU)+'Rate History'!$D$5*SUMIF(Data!$G:$G,Neutral!$A51,Data!$CV:$CV)+'Rate History'!$D$6*SUMIF(Data!$G:$G,Neutral!$A51,Data!$CW:$CW)+'Rate History'!$D$7*SUMIF(Data!$G:$G,Neutral!$A51,Data!$CX:$CX)+'Rate History'!$D$8*SUMIF(Data!$G:$G,Neutral!$A51,Data!$CY:$CY)+'Rate History'!$D$9*SUMIF(Data!$G:$G,Neutral!$A51,Data!$CZ:$CZ)+'Rate History'!$D$10*SUMIF(Data!$G:$G,Neutral!$A51,Data!$DA:$DA)+'Rate History'!$D$11*SUMIF(Data!$G:$G,Neutral!$A51,Data!$DB:$DB)+'Rate History'!$D$12*SUMIF(Data!$G:$G,Neutral!$A51,Data!$DC:$DC)+'Rate History'!$D$13*SUMIF(Data!$G:$G,Neutral!$A51,Data!$DD:$DD)+'Rate History'!$D$14*SUMIF(Data!$G:$G,Neutral!$A51,Data!$DE:$DE)+'Rate History'!$D$15*SUMIF(Data!$G:$G,Neutral!$A51,Data!$DF:$DF)+'Rate History'!$D$16*SUMIF(Data!$G:$G,Neutral!$A51,Data!$DG:$DG)+'Rate History'!$D$17*SUMIF(Data!$G:$G,Neutral!$A51,Data!$DH:$DH)+'Rate History'!$D$18*SUMIF(Data!$G:$G,Neutral!$A51,Data!$DI:$DI)+'Rate History'!$D$19*SUMIF(Data!$G:$G,Neutral!$A51,Data!$DJ:$DJ)+'Rate History'!$D$20*SUMIF(Data!$G:$G,Neutral!$A51,Data!$DK:$DK)+'Rate History'!$D$21*SUMIF(Data!$G:$G,Neutral!$A51,Data!$DL:$DL)+'Rate History'!$D$22*SUMIF(Data!$G:$G,Neutral!$A51,Data!$DM:$DM)+'Rate History'!$D$23*SUMIF(Data!$G:$G,Neutral!$A51,Data!$DN:$DN)+'Rate History'!$D$24*SUMIF(Data!$G:$G,Neutral!$A51,Data!$DO:$DO)+'Rate History'!$D$25*SUMIF(Data!$G:$G,Neutral!$A51,Data!$DP:$DP)+'Rate History'!$D$26*SUMIF(Data!$G:$G,Neutral!$A51,Data!$DQ:$DQ)+'Rate History'!$D$27*SUMIF(Data!$G:$G,Neutral!$A51,Data!$DR:$DR)+'Rate History'!$D$28*SUMIF(Data!$G:$G,Neutral!$A51,Data!$DS:$DS)+'Rate History'!$D$29*SUMIF(Data!$G:$G,Neutral!$A51,Data!$DT:$DT)+'Rate History'!$D$30*SUMIF(Data!$G:$G,Neutral!$A51,Data!$DV:$DV)+'Rate History'!$D$31*SUMIF(Data!$G:$G,Neutral!$A51,Data!$DW:$DW))</f>
        <v>5686605.7685498353</v>
      </c>
      <c r="C51" s="169">
        <f>$C$5*('Rate History'!$C$4*SUMIF(Data!$G:$G,Neutral!$A51,Data!$CU:$CU)+'Rate History'!$C$5*SUMIF(Data!$G:$G,Neutral!$A51,Data!$CV:$CV)+'Rate History'!$C$6*SUMIF(Data!$G:$G,Neutral!$A51,Data!$CW:$CW)+'Rate History'!$C$7*SUMIF(Data!$G:$G,Neutral!$A51,Data!$CX:$CX)+'Rate History'!$C$8*SUMIF(Data!$G:$G,Neutral!$A51,Data!$CY:$CY)+'Rate History'!$C$9*SUMIF(Data!$G:$G,Neutral!$A51,Data!$CZ:$CZ)+'Rate History'!$C$10*SUMIF(Data!$G:$G,Neutral!$A51,Data!$DA:$DA)+'Rate History'!$C$11*SUMIF(Data!$G:$G,Neutral!$A51,Data!$DB:$DB)+'Rate History'!$C$12*SUMIF(Data!$G:$G,Neutral!$A51,Data!$DC:$DC)+'Rate History'!$C$13*SUMIF(Data!$G:$G,Neutral!$A51,Data!$DD:$DD)+'Rate History'!$C$14*SUMIF(Data!$G:$G,Neutral!$A51,Data!$DE:$DE)+'Rate History'!$C$15*SUMIF(Data!$G:$G,Neutral!$A51,Data!$DF:$DF)+'Rate History'!$C$16*SUMIF(Data!$G:$G,Neutral!$A51,Data!$DG:$DG)+'Rate History'!$C$17*SUMIF(Data!$G:$G,Neutral!$A51,Data!$DH:$DH)+'Rate History'!$C$18*SUMIF(Data!$G:$G,Neutral!$A51,Data!$DI:$DI)+'Rate History'!$C$19*SUMIF(Data!$G:$G,Neutral!$A51,Data!$DJ:$DJ)+'Rate History'!$C$20*SUMIF(Data!$G:$G,Neutral!$A51,Data!$DK:$DK)+'Rate History'!$C$21*SUMIF(Data!$G:$G,Neutral!$A51,Data!$DL:$DL)+'Rate History'!$C$22*SUMIF(Data!$G:$G,Neutral!$A51,Data!$DM:$DM)+'Rate History'!$C$23*SUMIF(Data!$G:$G,Neutral!$A51,Data!$DN:$DN)+'Rate History'!$C$24*SUMIF(Data!$G:$G,Neutral!$A51,Data!$DO:$DO)+'Rate History'!$C$25*SUMIF(Data!$G:$G,Neutral!$A51,Data!$DP:$DP)+'Rate History'!$C$26*SUMIF(Data!$G:$G,Neutral!$A51,Data!$DQ:$DQ)+'Rate History'!$C$27*SUMIF(Data!$G:$G,Neutral!$A51,Data!$DR:$DR)+'Rate History'!$C$28*SUMIF(Data!$G:$G,Neutral!$A51,Data!$DS:$DS)+'Rate History'!$C$29*SUMIF(Data!$G:$G,Neutral!$A51,Data!$DT:$DT)+'Rate History'!$C$30*SUMIF(Data!$G:$G,Neutral!$A51,Data!$DV:$DV)+'Rate History'!$C$31*SUMIF(Data!$G:$G,Neutral!$A51,Data!$DW:$DW))</f>
        <v>5561176.9681445193</v>
      </c>
      <c r="D51" s="170">
        <f t="shared" si="1"/>
        <v>-125428.80040531605</v>
      </c>
      <c r="E51" s="168">
        <f t="shared" si="0"/>
        <v>-2.2056883404685562E-2</v>
      </c>
    </row>
    <row r="52" spans="1:5" x14ac:dyDescent="0.25">
      <c r="A52" s="92" t="s">
        <v>414</v>
      </c>
      <c r="B52" s="169">
        <f>$B$5*('Rate History'!$D$4*SUMIF(Data!$G:$G,Neutral!$A52,Data!$CU:$CU)+'Rate History'!$D$5*SUMIF(Data!$G:$G,Neutral!$A52,Data!$CV:$CV)+'Rate History'!$D$6*SUMIF(Data!$G:$G,Neutral!$A52,Data!$CW:$CW)+'Rate History'!$D$7*SUMIF(Data!$G:$G,Neutral!$A52,Data!$CX:$CX)+'Rate History'!$D$8*SUMIF(Data!$G:$G,Neutral!$A52,Data!$CY:$CY)+'Rate History'!$D$9*SUMIF(Data!$G:$G,Neutral!$A52,Data!$CZ:$CZ)+'Rate History'!$D$10*SUMIF(Data!$G:$G,Neutral!$A52,Data!$DA:$DA)+'Rate History'!$D$11*SUMIF(Data!$G:$G,Neutral!$A52,Data!$DB:$DB)+'Rate History'!$D$12*SUMIF(Data!$G:$G,Neutral!$A52,Data!$DC:$DC)+'Rate History'!$D$13*SUMIF(Data!$G:$G,Neutral!$A52,Data!$DD:$DD)+'Rate History'!$D$14*SUMIF(Data!$G:$G,Neutral!$A52,Data!$DE:$DE)+'Rate History'!$D$15*SUMIF(Data!$G:$G,Neutral!$A52,Data!$DF:$DF)+'Rate History'!$D$16*SUMIF(Data!$G:$G,Neutral!$A52,Data!$DG:$DG)+'Rate History'!$D$17*SUMIF(Data!$G:$G,Neutral!$A52,Data!$DH:$DH)+'Rate History'!$D$18*SUMIF(Data!$G:$G,Neutral!$A52,Data!$DI:$DI)+'Rate History'!$D$19*SUMIF(Data!$G:$G,Neutral!$A52,Data!$DJ:$DJ)+'Rate History'!$D$20*SUMIF(Data!$G:$G,Neutral!$A52,Data!$DK:$DK)+'Rate History'!$D$21*SUMIF(Data!$G:$G,Neutral!$A52,Data!$DL:$DL)+'Rate History'!$D$22*SUMIF(Data!$G:$G,Neutral!$A52,Data!$DM:$DM)+'Rate History'!$D$23*SUMIF(Data!$G:$G,Neutral!$A52,Data!$DN:$DN)+'Rate History'!$D$24*SUMIF(Data!$G:$G,Neutral!$A52,Data!$DO:$DO)+'Rate History'!$D$25*SUMIF(Data!$G:$G,Neutral!$A52,Data!$DP:$DP)+'Rate History'!$D$26*SUMIF(Data!$G:$G,Neutral!$A52,Data!$DQ:$DQ)+'Rate History'!$D$27*SUMIF(Data!$G:$G,Neutral!$A52,Data!$DR:$DR)+'Rate History'!$D$28*SUMIF(Data!$G:$G,Neutral!$A52,Data!$DS:$DS)+'Rate History'!$D$29*SUMIF(Data!$G:$G,Neutral!$A52,Data!$DT:$DT)+'Rate History'!$D$30*SUMIF(Data!$G:$G,Neutral!$A52,Data!$DV:$DV)+'Rate History'!$D$31*SUMIF(Data!$G:$G,Neutral!$A52,Data!$DW:$DW))</f>
        <v>7594388.5586029282</v>
      </c>
      <c r="C52" s="169">
        <f>$C$5*('Rate History'!$C$4*SUMIF(Data!$G:$G,Neutral!$A52,Data!$CU:$CU)+'Rate History'!$C$5*SUMIF(Data!$G:$G,Neutral!$A52,Data!$CV:$CV)+'Rate History'!$C$6*SUMIF(Data!$G:$G,Neutral!$A52,Data!$CW:$CW)+'Rate History'!$C$7*SUMIF(Data!$G:$G,Neutral!$A52,Data!$CX:$CX)+'Rate History'!$C$8*SUMIF(Data!$G:$G,Neutral!$A52,Data!$CY:$CY)+'Rate History'!$C$9*SUMIF(Data!$G:$G,Neutral!$A52,Data!$CZ:$CZ)+'Rate History'!$C$10*SUMIF(Data!$G:$G,Neutral!$A52,Data!$DA:$DA)+'Rate History'!$C$11*SUMIF(Data!$G:$G,Neutral!$A52,Data!$DB:$DB)+'Rate History'!$C$12*SUMIF(Data!$G:$G,Neutral!$A52,Data!$DC:$DC)+'Rate History'!$C$13*SUMIF(Data!$G:$G,Neutral!$A52,Data!$DD:$DD)+'Rate History'!$C$14*SUMIF(Data!$G:$G,Neutral!$A52,Data!$DE:$DE)+'Rate History'!$C$15*SUMIF(Data!$G:$G,Neutral!$A52,Data!$DF:$DF)+'Rate History'!$C$16*SUMIF(Data!$G:$G,Neutral!$A52,Data!$DG:$DG)+'Rate History'!$C$17*SUMIF(Data!$G:$G,Neutral!$A52,Data!$DH:$DH)+'Rate History'!$C$18*SUMIF(Data!$G:$G,Neutral!$A52,Data!$DI:$DI)+'Rate History'!$C$19*SUMIF(Data!$G:$G,Neutral!$A52,Data!$DJ:$DJ)+'Rate History'!$C$20*SUMIF(Data!$G:$G,Neutral!$A52,Data!$DK:$DK)+'Rate History'!$C$21*SUMIF(Data!$G:$G,Neutral!$A52,Data!$DL:$DL)+'Rate History'!$C$22*SUMIF(Data!$G:$G,Neutral!$A52,Data!$DM:$DM)+'Rate History'!$C$23*SUMIF(Data!$G:$G,Neutral!$A52,Data!$DN:$DN)+'Rate History'!$C$24*SUMIF(Data!$G:$G,Neutral!$A52,Data!$DO:$DO)+'Rate History'!$C$25*SUMIF(Data!$G:$G,Neutral!$A52,Data!$DP:$DP)+'Rate History'!$C$26*SUMIF(Data!$G:$G,Neutral!$A52,Data!$DQ:$DQ)+'Rate History'!$C$27*SUMIF(Data!$G:$G,Neutral!$A52,Data!$DR:$DR)+'Rate History'!$C$28*SUMIF(Data!$G:$G,Neutral!$A52,Data!$DS:$DS)+'Rate History'!$C$29*SUMIF(Data!$G:$G,Neutral!$A52,Data!$DT:$DT)+'Rate History'!$C$30*SUMIF(Data!$G:$G,Neutral!$A52,Data!$DV:$DV)+'Rate History'!$C$31*SUMIF(Data!$G:$G,Neutral!$A52,Data!$DW:$DW))</f>
        <v>7579987.0874392111</v>
      </c>
      <c r="D52" s="170">
        <f t="shared" si="1"/>
        <v>-14401.471163717099</v>
      </c>
      <c r="E52" s="168">
        <f t="shared" si="0"/>
        <v>-1.8963305673111897E-3</v>
      </c>
    </row>
    <row r="53" spans="1:5" x14ac:dyDescent="0.25">
      <c r="A53" s="92" t="s">
        <v>416</v>
      </c>
      <c r="B53" s="169">
        <f>$B$5*('Rate History'!$D$4*SUMIF(Data!$G:$G,Neutral!$A53,Data!$CU:$CU)+'Rate History'!$D$5*SUMIF(Data!$G:$G,Neutral!$A53,Data!$CV:$CV)+'Rate History'!$D$6*SUMIF(Data!$G:$G,Neutral!$A53,Data!$CW:$CW)+'Rate History'!$D$7*SUMIF(Data!$G:$G,Neutral!$A53,Data!$CX:$CX)+'Rate History'!$D$8*SUMIF(Data!$G:$G,Neutral!$A53,Data!$CY:$CY)+'Rate History'!$D$9*SUMIF(Data!$G:$G,Neutral!$A53,Data!$CZ:$CZ)+'Rate History'!$D$10*SUMIF(Data!$G:$G,Neutral!$A53,Data!$DA:$DA)+'Rate History'!$D$11*SUMIF(Data!$G:$G,Neutral!$A53,Data!$DB:$DB)+'Rate History'!$D$12*SUMIF(Data!$G:$G,Neutral!$A53,Data!$DC:$DC)+'Rate History'!$D$13*SUMIF(Data!$G:$G,Neutral!$A53,Data!$DD:$DD)+'Rate History'!$D$14*SUMIF(Data!$G:$G,Neutral!$A53,Data!$DE:$DE)+'Rate History'!$D$15*SUMIF(Data!$G:$G,Neutral!$A53,Data!$DF:$DF)+'Rate History'!$D$16*SUMIF(Data!$G:$G,Neutral!$A53,Data!$DG:$DG)+'Rate History'!$D$17*SUMIF(Data!$G:$G,Neutral!$A53,Data!$DH:$DH)+'Rate History'!$D$18*SUMIF(Data!$G:$G,Neutral!$A53,Data!$DI:$DI)+'Rate History'!$D$19*SUMIF(Data!$G:$G,Neutral!$A53,Data!$DJ:$DJ)+'Rate History'!$D$20*SUMIF(Data!$G:$G,Neutral!$A53,Data!$DK:$DK)+'Rate History'!$D$21*SUMIF(Data!$G:$G,Neutral!$A53,Data!$DL:$DL)+'Rate History'!$D$22*SUMIF(Data!$G:$G,Neutral!$A53,Data!$DM:$DM)+'Rate History'!$D$23*SUMIF(Data!$G:$G,Neutral!$A53,Data!$DN:$DN)+'Rate History'!$D$24*SUMIF(Data!$G:$G,Neutral!$A53,Data!$DO:$DO)+'Rate History'!$D$25*SUMIF(Data!$G:$G,Neutral!$A53,Data!$DP:$DP)+'Rate History'!$D$26*SUMIF(Data!$G:$G,Neutral!$A53,Data!$DQ:$DQ)+'Rate History'!$D$27*SUMIF(Data!$G:$G,Neutral!$A53,Data!$DR:$DR)+'Rate History'!$D$28*SUMIF(Data!$G:$G,Neutral!$A53,Data!$DS:$DS)+'Rate History'!$D$29*SUMIF(Data!$G:$G,Neutral!$A53,Data!$DT:$DT)+'Rate History'!$D$30*SUMIF(Data!$G:$G,Neutral!$A53,Data!$DV:$DV)+'Rate History'!$D$31*SUMIF(Data!$G:$G,Neutral!$A53,Data!$DW:$DW))</f>
        <v>8189338.1318352725</v>
      </c>
      <c r="C53" s="169">
        <f>$C$5*('Rate History'!$C$4*SUMIF(Data!$G:$G,Neutral!$A53,Data!$CU:$CU)+'Rate History'!$C$5*SUMIF(Data!$G:$G,Neutral!$A53,Data!$CV:$CV)+'Rate History'!$C$6*SUMIF(Data!$G:$G,Neutral!$A53,Data!$CW:$CW)+'Rate History'!$C$7*SUMIF(Data!$G:$G,Neutral!$A53,Data!$CX:$CX)+'Rate History'!$C$8*SUMIF(Data!$G:$G,Neutral!$A53,Data!$CY:$CY)+'Rate History'!$C$9*SUMIF(Data!$G:$G,Neutral!$A53,Data!$CZ:$CZ)+'Rate History'!$C$10*SUMIF(Data!$G:$G,Neutral!$A53,Data!$DA:$DA)+'Rate History'!$C$11*SUMIF(Data!$G:$G,Neutral!$A53,Data!$DB:$DB)+'Rate History'!$C$12*SUMIF(Data!$G:$G,Neutral!$A53,Data!$DC:$DC)+'Rate History'!$C$13*SUMIF(Data!$G:$G,Neutral!$A53,Data!$DD:$DD)+'Rate History'!$C$14*SUMIF(Data!$G:$G,Neutral!$A53,Data!$DE:$DE)+'Rate History'!$C$15*SUMIF(Data!$G:$G,Neutral!$A53,Data!$DF:$DF)+'Rate History'!$C$16*SUMIF(Data!$G:$G,Neutral!$A53,Data!$DG:$DG)+'Rate History'!$C$17*SUMIF(Data!$G:$G,Neutral!$A53,Data!$DH:$DH)+'Rate History'!$C$18*SUMIF(Data!$G:$G,Neutral!$A53,Data!$DI:$DI)+'Rate History'!$C$19*SUMIF(Data!$G:$G,Neutral!$A53,Data!$DJ:$DJ)+'Rate History'!$C$20*SUMIF(Data!$G:$G,Neutral!$A53,Data!$DK:$DK)+'Rate History'!$C$21*SUMIF(Data!$G:$G,Neutral!$A53,Data!$DL:$DL)+'Rate History'!$C$22*SUMIF(Data!$G:$G,Neutral!$A53,Data!$DM:$DM)+'Rate History'!$C$23*SUMIF(Data!$G:$G,Neutral!$A53,Data!$DN:$DN)+'Rate History'!$C$24*SUMIF(Data!$G:$G,Neutral!$A53,Data!$DO:$DO)+'Rate History'!$C$25*SUMIF(Data!$G:$G,Neutral!$A53,Data!$DP:$DP)+'Rate History'!$C$26*SUMIF(Data!$G:$G,Neutral!$A53,Data!$DQ:$DQ)+'Rate History'!$C$27*SUMIF(Data!$G:$G,Neutral!$A53,Data!$DR:$DR)+'Rate History'!$C$28*SUMIF(Data!$G:$G,Neutral!$A53,Data!$DS:$DS)+'Rate History'!$C$29*SUMIF(Data!$G:$G,Neutral!$A53,Data!$DT:$DT)+'Rate History'!$C$30*SUMIF(Data!$G:$G,Neutral!$A53,Data!$DV:$DV)+'Rate History'!$C$31*SUMIF(Data!$G:$G,Neutral!$A53,Data!$DW:$DW))</f>
        <v>8228464.6110164579</v>
      </c>
      <c r="D53" s="170">
        <f t="shared" si="1"/>
        <v>39126.479181185365</v>
      </c>
      <c r="E53" s="168">
        <f t="shared" si="0"/>
        <v>4.7777339940434137E-3</v>
      </c>
    </row>
    <row r="54" spans="1:5" x14ac:dyDescent="0.25">
      <c r="A54" s="92" t="s">
        <v>432</v>
      </c>
      <c r="B54" s="169">
        <f>$B$5*('Rate History'!$D$4*SUMIF(Data!$G:$G,Neutral!$A54,Data!$CU:$CU)+'Rate History'!$D$5*SUMIF(Data!$G:$G,Neutral!$A54,Data!$CV:$CV)+'Rate History'!$D$6*SUMIF(Data!$G:$G,Neutral!$A54,Data!$CW:$CW)+'Rate History'!$D$7*SUMIF(Data!$G:$G,Neutral!$A54,Data!$CX:$CX)+'Rate History'!$D$8*SUMIF(Data!$G:$G,Neutral!$A54,Data!$CY:$CY)+'Rate History'!$D$9*SUMIF(Data!$G:$G,Neutral!$A54,Data!$CZ:$CZ)+'Rate History'!$D$10*SUMIF(Data!$G:$G,Neutral!$A54,Data!$DA:$DA)+'Rate History'!$D$11*SUMIF(Data!$G:$G,Neutral!$A54,Data!$DB:$DB)+'Rate History'!$D$12*SUMIF(Data!$G:$G,Neutral!$A54,Data!$DC:$DC)+'Rate History'!$D$13*SUMIF(Data!$G:$G,Neutral!$A54,Data!$DD:$DD)+'Rate History'!$D$14*SUMIF(Data!$G:$G,Neutral!$A54,Data!$DE:$DE)+'Rate History'!$D$15*SUMIF(Data!$G:$G,Neutral!$A54,Data!$DF:$DF)+'Rate History'!$D$16*SUMIF(Data!$G:$G,Neutral!$A54,Data!$DG:$DG)+'Rate History'!$D$17*SUMIF(Data!$G:$G,Neutral!$A54,Data!$DH:$DH)+'Rate History'!$D$18*SUMIF(Data!$G:$G,Neutral!$A54,Data!$DI:$DI)+'Rate History'!$D$19*SUMIF(Data!$G:$G,Neutral!$A54,Data!$DJ:$DJ)+'Rate History'!$D$20*SUMIF(Data!$G:$G,Neutral!$A54,Data!$DK:$DK)+'Rate History'!$D$21*SUMIF(Data!$G:$G,Neutral!$A54,Data!$DL:$DL)+'Rate History'!$D$22*SUMIF(Data!$G:$G,Neutral!$A54,Data!$DM:$DM)+'Rate History'!$D$23*SUMIF(Data!$G:$G,Neutral!$A54,Data!$DN:$DN)+'Rate History'!$D$24*SUMIF(Data!$G:$G,Neutral!$A54,Data!$DO:$DO)+'Rate History'!$D$25*SUMIF(Data!$G:$G,Neutral!$A54,Data!$DP:$DP)+'Rate History'!$D$26*SUMIF(Data!$G:$G,Neutral!$A54,Data!$DQ:$DQ)+'Rate History'!$D$27*SUMIF(Data!$G:$G,Neutral!$A54,Data!$DR:$DR)+'Rate History'!$D$28*SUMIF(Data!$G:$G,Neutral!$A54,Data!$DS:$DS)+'Rate History'!$D$29*SUMIF(Data!$G:$G,Neutral!$A54,Data!$DT:$DT)+'Rate History'!$D$30*SUMIF(Data!$G:$G,Neutral!$A54,Data!$DV:$DV)+'Rate History'!$D$31*SUMIF(Data!$G:$G,Neutral!$A54,Data!$DW:$DW))</f>
        <v>2296474.1471820525</v>
      </c>
      <c r="C54" s="169">
        <f>$C$5*('Rate History'!$C$4*SUMIF(Data!$G:$G,Neutral!$A54,Data!$CU:$CU)+'Rate History'!$C$5*SUMIF(Data!$G:$G,Neutral!$A54,Data!$CV:$CV)+'Rate History'!$C$6*SUMIF(Data!$G:$G,Neutral!$A54,Data!$CW:$CW)+'Rate History'!$C$7*SUMIF(Data!$G:$G,Neutral!$A54,Data!$CX:$CX)+'Rate History'!$C$8*SUMIF(Data!$G:$G,Neutral!$A54,Data!$CY:$CY)+'Rate History'!$C$9*SUMIF(Data!$G:$G,Neutral!$A54,Data!$CZ:$CZ)+'Rate History'!$C$10*SUMIF(Data!$G:$G,Neutral!$A54,Data!$DA:$DA)+'Rate History'!$C$11*SUMIF(Data!$G:$G,Neutral!$A54,Data!$DB:$DB)+'Rate History'!$C$12*SUMIF(Data!$G:$G,Neutral!$A54,Data!$DC:$DC)+'Rate History'!$C$13*SUMIF(Data!$G:$G,Neutral!$A54,Data!$DD:$DD)+'Rate History'!$C$14*SUMIF(Data!$G:$G,Neutral!$A54,Data!$DE:$DE)+'Rate History'!$C$15*SUMIF(Data!$G:$G,Neutral!$A54,Data!$DF:$DF)+'Rate History'!$C$16*SUMIF(Data!$G:$G,Neutral!$A54,Data!$DG:$DG)+'Rate History'!$C$17*SUMIF(Data!$G:$G,Neutral!$A54,Data!$DH:$DH)+'Rate History'!$C$18*SUMIF(Data!$G:$G,Neutral!$A54,Data!$DI:$DI)+'Rate History'!$C$19*SUMIF(Data!$G:$G,Neutral!$A54,Data!$DJ:$DJ)+'Rate History'!$C$20*SUMIF(Data!$G:$G,Neutral!$A54,Data!$DK:$DK)+'Rate History'!$C$21*SUMIF(Data!$G:$G,Neutral!$A54,Data!$DL:$DL)+'Rate History'!$C$22*SUMIF(Data!$G:$G,Neutral!$A54,Data!$DM:$DM)+'Rate History'!$C$23*SUMIF(Data!$G:$G,Neutral!$A54,Data!$DN:$DN)+'Rate History'!$C$24*SUMIF(Data!$G:$G,Neutral!$A54,Data!$DO:$DO)+'Rate History'!$C$25*SUMIF(Data!$G:$G,Neutral!$A54,Data!$DP:$DP)+'Rate History'!$C$26*SUMIF(Data!$G:$G,Neutral!$A54,Data!$DQ:$DQ)+'Rate History'!$C$27*SUMIF(Data!$G:$G,Neutral!$A54,Data!$DR:$DR)+'Rate History'!$C$28*SUMIF(Data!$G:$G,Neutral!$A54,Data!$DS:$DS)+'Rate History'!$C$29*SUMIF(Data!$G:$G,Neutral!$A54,Data!$DT:$DT)+'Rate History'!$C$30*SUMIF(Data!$G:$G,Neutral!$A54,Data!$DV:$DV)+'Rate History'!$C$31*SUMIF(Data!$G:$G,Neutral!$A54,Data!$DW:$DW))</f>
        <v>2304979.4696687125</v>
      </c>
      <c r="D54" s="170">
        <f t="shared" si="1"/>
        <v>8505.3224866599776</v>
      </c>
      <c r="E54" s="168">
        <f t="shared" si="0"/>
        <v>3.7036439086835147E-3</v>
      </c>
    </row>
    <row r="55" spans="1:5" x14ac:dyDescent="0.25">
      <c r="A55" s="92" t="s">
        <v>418</v>
      </c>
      <c r="B55" s="169">
        <f>$B$5*('Rate History'!$D$4*SUMIF(Data!$G:$G,Neutral!$A55,Data!$CU:$CU)+'Rate History'!$D$5*SUMIF(Data!$G:$G,Neutral!$A55,Data!$CV:$CV)+'Rate History'!$D$6*SUMIF(Data!$G:$G,Neutral!$A55,Data!$CW:$CW)+'Rate History'!$D$7*SUMIF(Data!$G:$G,Neutral!$A55,Data!$CX:$CX)+'Rate History'!$D$8*SUMIF(Data!$G:$G,Neutral!$A55,Data!$CY:$CY)+'Rate History'!$D$9*SUMIF(Data!$G:$G,Neutral!$A55,Data!$CZ:$CZ)+'Rate History'!$D$10*SUMIF(Data!$G:$G,Neutral!$A55,Data!$DA:$DA)+'Rate History'!$D$11*SUMIF(Data!$G:$G,Neutral!$A55,Data!$DB:$DB)+'Rate History'!$D$12*SUMIF(Data!$G:$G,Neutral!$A55,Data!$DC:$DC)+'Rate History'!$D$13*SUMIF(Data!$G:$G,Neutral!$A55,Data!$DD:$DD)+'Rate History'!$D$14*SUMIF(Data!$G:$G,Neutral!$A55,Data!$DE:$DE)+'Rate History'!$D$15*SUMIF(Data!$G:$G,Neutral!$A55,Data!$DF:$DF)+'Rate History'!$D$16*SUMIF(Data!$G:$G,Neutral!$A55,Data!$DG:$DG)+'Rate History'!$D$17*SUMIF(Data!$G:$G,Neutral!$A55,Data!$DH:$DH)+'Rate History'!$D$18*SUMIF(Data!$G:$G,Neutral!$A55,Data!$DI:$DI)+'Rate History'!$D$19*SUMIF(Data!$G:$G,Neutral!$A55,Data!$DJ:$DJ)+'Rate History'!$D$20*SUMIF(Data!$G:$G,Neutral!$A55,Data!$DK:$DK)+'Rate History'!$D$21*SUMIF(Data!$G:$G,Neutral!$A55,Data!$DL:$DL)+'Rate History'!$D$22*SUMIF(Data!$G:$G,Neutral!$A55,Data!$DM:$DM)+'Rate History'!$D$23*SUMIF(Data!$G:$G,Neutral!$A55,Data!$DN:$DN)+'Rate History'!$D$24*SUMIF(Data!$G:$G,Neutral!$A55,Data!$DO:$DO)+'Rate History'!$D$25*SUMIF(Data!$G:$G,Neutral!$A55,Data!$DP:$DP)+'Rate History'!$D$26*SUMIF(Data!$G:$G,Neutral!$A55,Data!$DQ:$DQ)+'Rate History'!$D$27*SUMIF(Data!$G:$G,Neutral!$A55,Data!$DR:$DR)+'Rate History'!$D$28*SUMIF(Data!$G:$G,Neutral!$A55,Data!$DS:$DS)+'Rate History'!$D$29*SUMIF(Data!$G:$G,Neutral!$A55,Data!$DT:$DT)+'Rate History'!$D$30*SUMIF(Data!$G:$G,Neutral!$A55,Data!$DV:$DV)+'Rate History'!$D$31*SUMIF(Data!$G:$G,Neutral!$A55,Data!$DW:$DW))</f>
        <v>9139030.6624082699</v>
      </c>
      <c r="C55" s="169">
        <f>$C$5*('Rate History'!$C$4*SUMIF(Data!$G:$G,Neutral!$A55,Data!$CU:$CU)+'Rate History'!$C$5*SUMIF(Data!$G:$G,Neutral!$A55,Data!$CV:$CV)+'Rate History'!$C$6*SUMIF(Data!$G:$G,Neutral!$A55,Data!$CW:$CW)+'Rate History'!$C$7*SUMIF(Data!$G:$G,Neutral!$A55,Data!$CX:$CX)+'Rate History'!$C$8*SUMIF(Data!$G:$G,Neutral!$A55,Data!$CY:$CY)+'Rate History'!$C$9*SUMIF(Data!$G:$G,Neutral!$A55,Data!$CZ:$CZ)+'Rate History'!$C$10*SUMIF(Data!$G:$G,Neutral!$A55,Data!$DA:$DA)+'Rate History'!$C$11*SUMIF(Data!$G:$G,Neutral!$A55,Data!$DB:$DB)+'Rate History'!$C$12*SUMIF(Data!$G:$G,Neutral!$A55,Data!$DC:$DC)+'Rate History'!$C$13*SUMIF(Data!$G:$G,Neutral!$A55,Data!$DD:$DD)+'Rate History'!$C$14*SUMIF(Data!$G:$G,Neutral!$A55,Data!$DE:$DE)+'Rate History'!$C$15*SUMIF(Data!$G:$G,Neutral!$A55,Data!$DF:$DF)+'Rate History'!$C$16*SUMIF(Data!$G:$G,Neutral!$A55,Data!$DG:$DG)+'Rate History'!$C$17*SUMIF(Data!$G:$G,Neutral!$A55,Data!$DH:$DH)+'Rate History'!$C$18*SUMIF(Data!$G:$G,Neutral!$A55,Data!$DI:$DI)+'Rate History'!$C$19*SUMIF(Data!$G:$G,Neutral!$A55,Data!$DJ:$DJ)+'Rate History'!$C$20*SUMIF(Data!$G:$G,Neutral!$A55,Data!$DK:$DK)+'Rate History'!$C$21*SUMIF(Data!$G:$G,Neutral!$A55,Data!$DL:$DL)+'Rate History'!$C$22*SUMIF(Data!$G:$G,Neutral!$A55,Data!$DM:$DM)+'Rate History'!$C$23*SUMIF(Data!$G:$G,Neutral!$A55,Data!$DN:$DN)+'Rate History'!$C$24*SUMIF(Data!$G:$G,Neutral!$A55,Data!$DO:$DO)+'Rate History'!$C$25*SUMIF(Data!$G:$G,Neutral!$A55,Data!$DP:$DP)+'Rate History'!$C$26*SUMIF(Data!$G:$G,Neutral!$A55,Data!$DQ:$DQ)+'Rate History'!$C$27*SUMIF(Data!$G:$G,Neutral!$A55,Data!$DR:$DR)+'Rate History'!$C$28*SUMIF(Data!$G:$G,Neutral!$A55,Data!$DS:$DS)+'Rate History'!$C$29*SUMIF(Data!$G:$G,Neutral!$A55,Data!$DT:$DT)+'Rate History'!$C$30*SUMIF(Data!$G:$G,Neutral!$A55,Data!$DV:$DV)+'Rate History'!$C$31*SUMIF(Data!$G:$G,Neutral!$A55,Data!$DW:$DW))</f>
        <v>9108569.1435868125</v>
      </c>
      <c r="D55" s="170">
        <f t="shared" si="1"/>
        <v>-30461.518821457401</v>
      </c>
      <c r="E55" s="168">
        <f t="shared" si="0"/>
        <v>-3.3331236043178283E-3</v>
      </c>
    </row>
    <row r="56" spans="1:5" x14ac:dyDescent="0.25">
      <c r="A56" s="90" t="s">
        <v>457</v>
      </c>
      <c r="B56" s="169">
        <f>$B$5*('Rate History'!$D$4*SUMIF(Data!$G:$G,Neutral!$A56,Data!$CU:$CU)+'Rate History'!$D$5*SUMIF(Data!$G:$G,Neutral!$A56,Data!$CV:$CV)+'Rate History'!$D$6*SUMIF(Data!$G:$G,Neutral!$A56,Data!$CW:$CW)+'Rate History'!$D$7*SUMIF(Data!$G:$G,Neutral!$A56,Data!$CX:$CX)+'Rate History'!$D$8*SUMIF(Data!$G:$G,Neutral!$A56,Data!$CY:$CY)+'Rate History'!$D$9*SUMIF(Data!$G:$G,Neutral!$A56,Data!$CZ:$CZ)+'Rate History'!$D$10*SUMIF(Data!$G:$G,Neutral!$A56,Data!$DA:$DA)+'Rate History'!$D$11*SUMIF(Data!$G:$G,Neutral!$A56,Data!$DB:$DB)+'Rate History'!$D$12*SUMIF(Data!$G:$G,Neutral!$A56,Data!$DC:$DC)+'Rate History'!$D$13*SUMIF(Data!$G:$G,Neutral!$A56,Data!$DD:$DD)+'Rate History'!$D$14*SUMIF(Data!$G:$G,Neutral!$A56,Data!$DE:$DE)+'Rate History'!$D$15*SUMIF(Data!$G:$G,Neutral!$A56,Data!$DF:$DF)+'Rate History'!$D$16*SUMIF(Data!$G:$G,Neutral!$A56,Data!$DG:$DG)+'Rate History'!$D$17*SUMIF(Data!$G:$G,Neutral!$A56,Data!$DH:$DH)+'Rate History'!$D$18*SUMIF(Data!$G:$G,Neutral!$A56,Data!$DI:$DI)+'Rate History'!$D$19*SUMIF(Data!$G:$G,Neutral!$A56,Data!$DJ:$DJ)+'Rate History'!$D$20*SUMIF(Data!$G:$G,Neutral!$A56,Data!$DK:$DK)+'Rate History'!$D$21*SUMIF(Data!$G:$G,Neutral!$A56,Data!$DL:$DL)+'Rate History'!$D$22*SUMIF(Data!$G:$G,Neutral!$A56,Data!$DM:$DM)+'Rate History'!$D$23*SUMIF(Data!$G:$G,Neutral!$A56,Data!$DN:$DN)+'Rate History'!$D$24*SUMIF(Data!$G:$G,Neutral!$A56,Data!$DO:$DO)+'Rate History'!$D$25*SUMIF(Data!$G:$G,Neutral!$A56,Data!$DP:$DP)+'Rate History'!$D$26*SUMIF(Data!$G:$G,Neutral!$A56,Data!$DQ:$DQ)+'Rate History'!$D$27*SUMIF(Data!$G:$G,Neutral!$A56,Data!$DR:$DR)+'Rate History'!$D$28*SUMIF(Data!$G:$G,Neutral!$A56,Data!$DS:$DS)+'Rate History'!$D$29*SUMIF(Data!$G:$G,Neutral!$A56,Data!$DT:$DT)+'Rate History'!$D$30*SUMIF(Data!$G:$G,Neutral!$A56,Data!$DV:$DV)+'Rate History'!$D$31*SUMIF(Data!$G:$G,Neutral!$A56,Data!$DW:$DW))</f>
        <v>2102916.084507911</v>
      </c>
      <c r="C56" s="169">
        <f>$C$5*('Rate History'!$C$4*SUMIF(Data!$G:$G,Neutral!$A56,Data!$CU:$CU)+'Rate History'!$C$5*SUMIF(Data!$G:$G,Neutral!$A56,Data!$CV:$CV)+'Rate History'!$C$6*SUMIF(Data!$G:$G,Neutral!$A56,Data!$CW:$CW)+'Rate History'!$C$7*SUMIF(Data!$G:$G,Neutral!$A56,Data!$CX:$CX)+'Rate History'!$C$8*SUMIF(Data!$G:$G,Neutral!$A56,Data!$CY:$CY)+'Rate History'!$C$9*SUMIF(Data!$G:$G,Neutral!$A56,Data!$CZ:$CZ)+'Rate History'!$C$10*SUMIF(Data!$G:$G,Neutral!$A56,Data!$DA:$DA)+'Rate History'!$C$11*SUMIF(Data!$G:$G,Neutral!$A56,Data!$DB:$DB)+'Rate History'!$C$12*SUMIF(Data!$G:$G,Neutral!$A56,Data!$DC:$DC)+'Rate History'!$C$13*SUMIF(Data!$G:$G,Neutral!$A56,Data!$DD:$DD)+'Rate History'!$C$14*SUMIF(Data!$G:$G,Neutral!$A56,Data!$DE:$DE)+'Rate History'!$C$15*SUMIF(Data!$G:$G,Neutral!$A56,Data!$DF:$DF)+'Rate History'!$C$16*SUMIF(Data!$G:$G,Neutral!$A56,Data!$DG:$DG)+'Rate History'!$C$17*SUMIF(Data!$G:$G,Neutral!$A56,Data!$DH:$DH)+'Rate History'!$C$18*SUMIF(Data!$G:$G,Neutral!$A56,Data!$DI:$DI)+'Rate History'!$C$19*SUMIF(Data!$G:$G,Neutral!$A56,Data!$DJ:$DJ)+'Rate History'!$C$20*SUMIF(Data!$G:$G,Neutral!$A56,Data!$DK:$DK)+'Rate History'!$C$21*SUMIF(Data!$G:$G,Neutral!$A56,Data!$DL:$DL)+'Rate History'!$C$22*SUMIF(Data!$G:$G,Neutral!$A56,Data!$DM:$DM)+'Rate History'!$C$23*SUMIF(Data!$G:$G,Neutral!$A56,Data!$DN:$DN)+'Rate History'!$C$24*SUMIF(Data!$G:$G,Neutral!$A56,Data!$DO:$DO)+'Rate History'!$C$25*SUMIF(Data!$G:$G,Neutral!$A56,Data!$DP:$DP)+'Rate History'!$C$26*SUMIF(Data!$G:$G,Neutral!$A56,Data!$DQ:$DQ)+'Rate History'!$C$27*SUMIF(Data!$G:$G,Neutral!$A56,Data!$DR:$DR)+'Rate History'!$C$28*SUMIF(Data!$G:$G,Neutral!$A56,Data!$DS:$DS)+'Rate History'!$C$29*SUMIF(Data!$G:$G,Neutral!$A56,Data!$DT:$DT)+'Rate History'!$C$30*SUMIF(Data!$G:$G,Neutral!$A56,Data!$DV:$DV)+'Rate History'!$C$31*SUMIF(Data!$G:$G,Neutral!$A56,Data!$DW:$DW))</f>
        <v>2154416.6649218774</v>
      </c>
      <c r="D56" s="170">
        <f t="shared" si="1"/>
        <v>51500.58041396644</v>
      </c>
      <c r="E56" s="168">
        <f t="shared" si="0"/>
        <v>2.449007870231671E-2</v>
      </c>
    </row>
    <row r="57" spans="1:5" x14ac:dyDescent="0.25">
      <c r="A57" s="90" t="s">
        <v>430</v>
      </c>
      <c r="B57" s="169">
        <f>$B$5*('Rate History'!$D$4*SUMIF(Data!$G:$G,Neutral!$A57,Data!$CU:$CU)+'Rate History'!$D$5*SUMIF(Data!$G:$G,Neutral!$A57,Data!$CV:$CV)+'Rate History'!$D$6*SUMIF(Data!$G:$G,Neutral!$A57,Data!$CW:$CW)+'Rate History'!$D$7*SUMIF(Data!$G:$G,Neutral!$A57,Data!$CX:$CX)+'Rate History'!$D$8*SUMIF(Data!$G:$G,Neutral!$A57,Data!$CY:$CY)+'Rate History'!$D$9*SUMIF(Data!$G:$G,Neutral!$A57,Data!$CZ:$CZ)+'Rate History'!$D$10*SUMIF(Data!$G:$G,Neutral!$A57,Data!$DA:$DA)+'Rate History'!$D$11*SUMIF(Data!$G:$G,Neutral!$A57,Data!$DB:$DB)+'Rate History'!$D$12*SUMIF(Data!$G:$G,Neutral!$A57,Data!$DC:$DC)+'Rate History'!$D$13*SUMIF(Data!$G:$G,Neutral!$A57,Data!$DD:$DD)+'Rate History'!$D$14*SUMIF(Data!$G:$G,Neutral!$A57,Data!$DE:$DE)+'Rate History'!$D$15*SUMIF(Data!$G:$G,Neutral!$A57,Data!$DF:$DF)+'Rate History'!$D$16*SUMIF(Data!$G:$G,Neutral!$A57,Data!$DG:$DG)+'Rate History'!$D$17*SUMIF(Data!$G:$G,Neutral!$A57,Data!$DH:$DH)+'Rate History'!$D$18*SUMIF(Data!$G:$G,Neutral!$A57,Data!$DI:$DI)+'Rate History'!$D$19*SUMIF(Data!$G:$G,Neutral!$A57,Data!$DJ:$DJ)+'Rate History'!$D$20*SUMIF(Data!$G:$G,Neutral!$A57,Data!$DK:$DK)+'Rate History'!$D$21*SUMIF(Data!$G:$G,Neutral!$A57,Data!$DL:$DL)+'Rate History'!$D$22*SUMIF(Data!$G:$G,Neutral!$A57,Data!$DM:$DM)+'Rate History'!$D$23*SUMIF(Data!$G:$G,Neutral!$A57,Data!$DN:$DN)+'Rate History'!$D$24*SUMIF(Data!$G:$G,Neutral!$A57,Data!$DO:$DO)+'Rate History'!$D$25*SUMIF(Data!$G:$G,Neutral!$A57,Data!$DP:$DP)+'Rate History'!$D$26*SUMIF(Data!$G:$G,Neutral!$A57,Data!$DQ:$DQ)+'Rate History'!$D$27*SUMIF(Data!$G:$G,Neutral!$A57,Data!$DR:$DR)+'Rate History'!$D$28*SUMIF(Data!$G:$G,Neutral!$A57,Data!$DS:$DS)+'Rate History'!$D$29*SUMIF(Data!$G:$G,Neutral!$A57,Data!$DT:$DT)+'Rate History'!$D$30*SUMIF(Data!$G:$G,Neutral!$A57,Data!$DV:$DV)+'Rate History'!$D$31*SUMIF(Data!$G:$G,Neutral!$A57,Data!$DW:$DW))</f>
        <v>11441732.532333536</v>
      </c>
      <c r="C57" s="169">
        <f>$C$5*('Rate History'!$C$4*SUMIF(Data!$G:$G,Neutral!$A57,Data!$CU:$CU)+'Rate History'!$C$5*SUMIF(Data!$G:$G,Neutral!$A57,Data!$CV:$CV)+'Rate History'!$C$6*SUMIF(Data!$G:$G,Neutral!$A57,Data!$CW:$CW)+'Rate History'!$C$7*SUMIF(Data!$G:$G,Neutral!$A57,Data!$CX:$CX)+'Rate History'!$C$8*SUMIF(Data!$G:$G,Neutral!$A57,Data!$CY:$CY)+'Rate History'!$C$9*SUMIF(Data!$G:$G,Neutral!$A57,Data!$CZ:$CZ)+'Rate History'!$C$10*SUMIF(Data!$G:$G,Neutral!$A57,Data!$DA:$DA)+'Rate History'!$C$11*SUMIF(Data!$G:$G,Neutral!$A57,Data!$DB:$DB)+'Rate History'!$C$12*SUMIF(Data!$G:$G,Neutral!$A57,Data!$DC:$DC)+'Rate History'!$C$13*SUMIF(Data!$G:$G,Neutral!$A57,Data!$DD:$DD)+'Rate History'!$C$14*SUMIF(Data!$G:$G,Neutral!$A57,Data!$DE:$DE)+'Rate History'!$C$15*SUMIF(Data!$G:$G,Neutral!$A57,Data!$DF:$DF)+'Rate History'!$C$16*SUMIF(Data!$G:$G,Neutral!$A57,Data!$DG:$DG)+'Rate History'!$C$17*SUMIF(Data!$G:$G,Neutral!$A57,Data!$DH:$DH)+'Rate History'!$C$18*SUMIF(Data!$G:$G,Neutral!$A57,Data!$DI:$DI)+'Rate History'!$C$19*SUMIF(Data!$G:$G,Neutral!$A57,Data!$DJ:$DJ)+'Rate History'!$C$20*SUMIF(Data!$G:$G,Neutral!$A57,Data!$DK:$DK)+'Rate History'!$C$21*SUMIF(Data!$G:$G,Neutral!$A57,Data!$DL:$DL)+'Rate History'!$C$22*SUMIF(Data!$G:$G,Neutral!$A57,Data!$DM:$DM)+'Rate History'!$C$23*SUMIF(Data!$G:$G,Neutral!$A57,Data!$DN:$DN)+'Rate History'!$C$24*SUMIF(Data!$G:$G,Neutral!$A57,Data!$DO:$DO)+'Rate History'!$C$25*SUMIF(Data!$G:$G,Neutral!$A57,Data!$DP:$DP)+'Rate History'!$C$26*SUMIF(Data!$G:$G,Neutral!$A57,Data!$DQ:$DQ)+'Rate History'!$C$27*SUMIF(Data!$G:$G,Neutral!$A57,Data!$DR:$DR)+'Rate History'!$C$28*SUMIF(Data!$G:$G,Neutral!$A57,Data!$DS:$DS)+'Rate History'!$C$29*SUMIF(Data!$G:$G,Neutral!$A57,Data!$DT:$DT)+'Rate History'!$C$30*SUMIF(Data!$G:$G,Neutral!$A57,Data!$DV:$DV)+'Rate History'!$C$31*SUMIF(Data!$G:$G,Neutral!$A57,Data!$DW:$DW))</f>
        <v>11403173.434851542</v>
      </c>
      <c r="D57" s="170">
        <f t="shared" si="1"/>
        <v>-38559.097481993958</v>
      </c>
      <c r="E57" s="168">
        <f t="shared" si="0"/>
        <v>-3.3700401030201193E-3</v>
      </c>
    </row>
    <row r="58" spans="1:5" x14ac:dyDescent="0.25">
      <c r="A58" s="90" t="s">
        <v>408</v>
      </c>
      <c r="B58" s="169">
        <f>$B$5*('Rate History'!$D$4*SUMIF(Data!$G:$G,Neutral!$A58,Data!$CU:$CU)+'Rate History'!$D$5*SUMIF(Data!$G:$G,Neutral!$A58,Data!$CV:$CV)+'Rate History'!$D$6*SUMIF(Data!$G:$G,Neutral!$A58,Data!$CW:$CW)+'Rate History'!$D$7*SUMIF(Data!$G:$G,Neutral!$A58,Data!$CX:$CX)+'Rate History'!$D$8*SUMIF(Data!$G:$G,Neutral!$A58,Data!$CY:$CY)+'Rate History'!$D$9*SUMIF(Data!$G:$G,Neutral!$A58,Data!$CZ:$CZ)+'Rate History'!$D$10*SUMIF(Data!$G:$G,Neutral!$A58,Data!$DA:$DA)+'Rate History'!$D$11*SUMIF(Data!$G:$G,Neutral!$A58,Data!$DB:$DB)+'Rate History'!$D$12*SUMIF(Data!$G:$G,Neutral!$A58,Data!$DC:$DC)+'Rate History'!$D$13*SUMIF(Data!$G:$G,Neutral!$A58,Data!$DD:$DD)+'Rate History'!$D$14*SUMIF(Data!$G:$G,Neutral!$A58,Data!$DE:$DE)+'Rate History'!$D$15*SUMIF(Data!$G:$G,Neutral!$A58,Data!$DF:$DF)+'Rate History'!$D$16*SUMIF(Data!$G:$G,Neutral!$A58,Data!$DG:$DG)+'Rate History'!$D$17*SUMIF(Data!$G:$G,Neutral!$A58,Data!$DH:$DH)+'Rate History'!$D$18*SUMIF(Data!$G:$G,Neutral!$A58,Data!$DI:$DI)+'Rate History'!$D$19*SUMIF(Data!$G:$G,Neutral!$A58,Data!$DJ:$DJ)+'Rate History'!$D$20*SUMIF(Data!$G:$G,Neutral!$A58,Data!$DK:$DK)+'Rate History'!$D$21*SUMIF(Data!$G:$G,Neutral!$A58,Data!$DL:$DL)+'Rate History'!$D$22*SUMIF(Data!$G:$G,Neutral!$A58,Data!$DM:$DM)+'Rate History'!$D$23*SUMIF(Data!$G:$G,Neutral!$A58,Data!$DN:$DN)+'Rate History'!$D$24*SUMIF(Data!$G:$G,Neutral!$A58,Data!$DO:$DO)+'Rate History'!$D$25*SUMIF(Data!$G:$G,Neutral!$A58,Data!$DP:$DP)+'Rate History'!$D$26*SUMIF(Data!$G:$G,Neutral!$A58,Data!$DQ:$DQ)+'Rate History'!$D$27*SUMIF(Data!$G:$G,Neutral!$A58,Data!$DR:$DR)+'Rate History'!$D$28*SUMIF(Data!$G:$G,Neutral!$A58,Data!$DS:$DS)+'Rate History'!$D$29*SUMIF(Data!$G:$G,Neutral!$A58,Data!$DT:$DT)+'Rate History'!$D$30*SUMIF(Data!$G:$G,Neutral!$A58,Data!$DV:$DV)+'Rate History'!$D$31*SUMIF(Data!$G:$G,Neutral!$A58,Data!$DW:$DW))</f>
        <v>16974460.531951785</v>
      </c>
      <c r="C58" s="169">
        <f>$C$5*('Rate History'!$C$4*SUMIF(Data!$G:$G,Neutral!$A58,Data!$CU:$CU)+'Rate History'!$C$5*SUMIF(Data!$G:$G,Neutral!$A58,Data!$CV:$CV)+'Rate History'!$C$6*SUMIF(Data!$G:$G,Neutral!$A58,Data!$CW:$CW)+'Rate History'!$C$7*SUMIF(Data!$G:$G,Neutral!$A58,Data!$CX:$CX)+'Rate History'!$C$8*SUMIF(Data!$G:$G,Neutral!$A58,Data!$CY:$CY)+'Rate History'!$C$9*SUMIF(Data!$G:$G,Neutral!$A58,Data!$CZ:$CZ)+'Rate History'!$C$10*SUMIF(Data!$G:$G,Neutral!$A58,Data!$DA:$DA)+'Rate History'!$C$11*SUMIF(Data!$G:$G,Neutral!$A58,Data!$DB:$DB)+'Rate History'!$C$12*SUMIF(Data!$G:$G,Neutral!$A58,Data!$DC:$DC)+'Rate History'!$C$13*SUMIF(Data!$G:$G,Neutral!$A58,Data!$DD:$DD)+'Rate History'!$C$14*SUMIF(Data!$G:$G,Neutral!$A58,Data!$DE:$DE)+'Rate History'!$C$15*SUMIF(Data!$G:$G,Neutral!$A58,Data!$DF:$DF)+'Rate History'!$C$16*SUMIF(Data!$G:$G,Neutral!$A58,Data!$DG:$DG)+'Rate History'!$C$17*SUMIF(Data!$G:$G,Neutral!$A58,Data!$DH:$DH)+'Rate History'!$C$18*SUMIF(Data!$G:$G,Neutral!$A58,Data!$DI:$DI)+'Rate History'!$C$19*SUMIF(Data!$G:$G,Neutral!$A58,Data!$DJ:$DJ)+'Rate History'!$C$20*SUMIF(Data!$G:$G,Neutral!$A58,Data!$DK:$DK)+'Rate History'!$C$21*SUMIF(Data!$G:$G,Neutral!$A58,Data!$DL:$DL)+'Rate History'!$C$22*SUMIF(Data!$G:$G,Neutral!$A58,Data!$DM:$DM)+'Rate History'!$C$23*SUMIF(Data!$G:$G,Neutral!$A58,Data!$DN:$DN)+'Rate History'!$C$24*SUMIF(Data!$G:$G,Neutral!$A58,Data!$DO:$DO)+'Rate History'!$C$25*SUMIF(Data!$G:$G,Neutral!$A58,Data!$DP:$DP)+'Rate History'!$C$26*SUMIF(Data!$G:$G,Neutral!$A58,Data!$DQ:$DQ)+'Rate History'!$C$27*SUMIF(Data!$G:$G,Neutral!$A58,Data!$DR:$DR)+'Rate History'!$C$28*SUMIF(Data!$G:$G,Neutral!$A58,Data!$DS:$DS)+'Rate History'!$C$29*SUMIF(Data!$G:$G,Neutral!$A58,Data!$DT:$DT)+'Rate History'!$C$30*SUMIF(Data!$G:$G,Neutral!$A58,Data!$DV:$DV)+'Rate History'!$C$31*SUMIF(Data!$G:$G,Neutral!$A58,Data!$DW:$DW))</f>
        <v>16883674.415133964</v>
      </c>
      <c r="D58" s="170">
        <f t="shared" si="1"/>
        <v>-90786.116817820817</v>
      </c>
      <c r="E58" s="168">
        <f t="shared" si="0"/>
        <v>-5.3483948221464865E-3</v>
      </c>
    </row>
    <row r="59" spans="1:5" x14ac:dyDescent="0.25">
      <c r="A59" s="90" t="s">
        <v>436</v>
      </c>
      <c r="B59" s="169">
        <f>$B$5*('Rate History'!$D$4*SUMIF(Data!$G:$G,Neutral!$A59,Data!$CU:$CU)+'Rate History'!$D$5*SUMIF(Data!$G:$G,Neutral!$A59,Data!$CV:$CV)+'Rate History'!$D$6*SUMIF(Data!$G:$G,Neutral!$A59,Data!$CW:$CW)+'Rate History'!$D$7*SUMIF(Data!$G:$G,Neutral!$A59,Data!$CX:$CX)+'Rate History'!$D$8*SUMIF(Data!$G:$G,Neutral!$A59,Data!$CY:$CY)+'Rate History'!$D$9*SUMIF(Data!$G:$G,Neutral!$A59,Data!$CZ:$CZ)+'Rate History'!$D$10*SUMIF(Data!$G:$G,Neutral!$A59,Data!$DA:$DA)+'Rate History'!$D$11*SUMIF(Data!$G:$G,Neutral!$A59,Data!$DB:$DB)+'Rate History'!$D$12*SUMIF(Data!$G:$G,Neutral!$A59,Data!$DC:$DC)+'Rate History'!$D$13*SUMIF(Data!$G:$G,Neutral!$A59,Data!$DD:$DD)+'Rate History'!$D$14*SUMIF(Data!$G:$G,Neutral!$A59,Data!$DE:$DE)+'Rate History'!$D$15*SUMIF(Data!$G:$G,Neutral!$A59,Data!$DF:$DF)+'Rate History'!$D$16*SUMIF(Data!$G:$G,Neutral!$A59,Data!$DG:$DG)+'Rate History'!$D$17*SUMIF(Data!$G:$G,Neutral!$A59,Data!$DH:$DH)+'Rate History'!$D$18*SUMIF(Data!$G:$G,Neutral!$A59,Data!$DI:$DI)+'Rate History'!$D$19*SUMIF(Data!$G:$G,Neutral!$A59,Data!$DJ:$DJ)+'Rate History'!$D$20*SUMIF(Data!$G:$G,Neutral!$A59,Data!$DK:$DK)+'Rate History'!$D$21*SUMIF(Data!$G:$G,Neutral!$A59,Data!$DL:$DL)+'Rate History'!$D$22*SUMIF(Data!$G:$G,Neutral!$A59,Data!$DM:$DM)+'Rate History'!$D$23*SUMIF(Data!$G:$G,Neutral!$A59,Data!$DN:$DN)+'Rate History'!$D$24*SUMIF(Data!$G:$G,Neutral!$A59,Data!$DO:$DO)+'Rate History'!$D$25*SUMIF(Data!$G:$G,Neutral!$A59,Data!$DP:$DP)+'Rate History'!$D$26*SUMIF(Data!$G:$G,Neutral!$A59,Data!$DQ:$DQ)+'Rate History'!$D$27*SUMIF(Data!$G:$G,Neutral!$A59,Data!$DR:$DR)+'Rate History'!$D$28*SUMIF(Data!$G:$G,Neutral!$A59,Data!$DS:$DS)+'Rate History'!$D$29*SUMIF(Data!$G:$G,Neutral!$A59,Data!$DT:$DT)+'Rate History'!$D$30*SUMIF(Data!$G:$G,Neutral!$A59,Data!$DV:$DV)+'Rate History'!$D$31*SUMIF(Data!$G:$G,Neutral!$A59,Data!$DW:$DW))</f>
        <v>7838867.0257241558</v>
      </c>
      <c r="C59" s="169">
        <f>$C$5*('Rate History'!$C$4*SUMIF(Data!$G:$G,Neutral!$A59,Data!$CU:$CU)+'Rate History'!$C$5*SUMIF(Data!$G:$G,Neutral!$A59,Data!$CV:$CV)+'Rate History'!$C$6*SUMIF(Data!$G:$G,Neutral!$A59,Data!$CW:$CW)+'Rate History'!$C$7*SUMIF(Data!$G:$G,Neutral!$A59,Data!$CX:$CX)+'Rate History'!$C$8*SUMIF(Data!$G:$G,Neutral!$A59,Data!$CY:$CY)+'Rate History'!$C$9*SUMIF(Data!$G:$G,Neutral!$A59,Data!$CZ:$CZ)+'Rate History'!$C$10*SUMIF(Data!$G:$G,Neutral!$A59,Data!$DA:$DA)+'Rate History'!$C$11*SUMIF(Data!$G:$G,Neutral!$A59,Data!$DB:$DB)+'Rate History'!$C$12*SUMIF(Data!$G:$G,Neutral!$A59,Data!$DC:$DC)+'Rate History'!$C$13*SUMIF(Data!$G:$G,Neutral!$A59,Data!$DD:$DD)+'Rate History'!$C$14*SUMIF(Data!$G:$G,Neutral!$A59,Data!$DE:$DE)+'Rate History'!$C$15*SUMIF(Data!$G:$G,Neutral!$A59,Data!$DF:$DF)+'Rate History'!$C$16*SUMIF(Data!$G:$G,Neutral!$A59,Data!$DG:$DG)+'Rate History'!$C$17*SUMIF(Data!$G:$G,Neutral!$A59,Data!$DH:$DH)+'Rate History'!$C$18*SUMIF(Data!$G:$G,Neutral!$A59,Data!$DI:$DI)+'Rate History'!$C$19*SUMIF(Data!$G:$G,Neutral!$A59,Data!$DJ:$DJ)+'Rate History'!$C$20*SUMIF(Data!$G:$G,Neutral!$A59,Data!$DK:$DK)+'Rate History'!$C$21*SUMIF(Data!$G:$G,Neutral!$A59,Data!$DL:$DL)+'Rate History'!$C$22*SUMIF(Data!$G:$G,Neutral!$A59,Data!$DM:$DM)+'Rate History'!$C$23*SUMIF(Data!$G:$G,Neutral!$A59,Data!$DN:$DN)+'Rate History'!$C$24*SUMIF(Data!$G:$G,Neutral!$A59,Data!$DO:$DO)+'Rate History'!$C$25*SUMIF(Data!$G:$G,Neutral!$A59,Data!$DP:$DP)+'Rate History'!$C$26*SUMIF(Data!$G:$G,Neutral!$A59,Data!$DQ:$DQ)+'Rate History'!$C$27*SUMIF(Data!$G:$G,Neutral!$A59,Data!$DR:$DR)+'Rate History'!$C$28*SUMIF(Data!$G:$G,Neutral!$A59,Data!$DS:$DS)+'Rate History'!$C$29*SUMIF(Data!$G:$G,Neutral!$A59,Data!$DT:$DT)+'Rate History'!$C$30*SUMIF(Data!$G:$G,Neutral!$A59,Data!$DV:$DV)+'Rate History'!$C$31*SUMIF(Data!$G:$G,Neutral!$A59,Data!$DW:$DW))</f>
        <v>7920957.8461304354</v>
      </c>
      <c r="D59" s="170">
        <f t="shared" si="1"/>
        <v>82090.820406279527</v>
      </c>
      <c r="E59" s="168">
        <f t="shared" si="0"/>
        <v>1.0472281279538092E-2</v>
      </c>
    </row>
    <row r="60" spans="1:5" x14ac:dyDescent="0.25">
      <c r="A60" s="90" t="s">
        <v>458</v>
      </c>
      <c r="B60" s="169">
        <f>$B$5*('Rate History'!$D$4*SUMIF(Data!$G:$G,Neutral!$A60,Data!$CU:$CU)+'Rate History'!$D$5*SUMIF(Data!$G:$G,Neutral!$A60,Data!$CV:$CV)+'Rate History'!$D$6*SUMIF(Data!$G:$G,Neutral!$A60,Data!$CW:$CW)+'Rate History'!$D$7*SUMIF(Data!$G:$G,Neutral!$A60,Data!$CX:$CX)+'Rate History'!$D$8*SUMIF(Data!$G:$G,Neutral!$A60,Data!$CY:$CY)+'Rate History'!$D$9*SUMIF(Data!$G:$G,Neutral!$A60,Data!$CZ:$CZ)+'Rate History'!$D$10*SUMIF(Data!$G:$G,Neutral!$A60,Data!$DA:$DA)+'Rate History'!$D$11*SUMIF(Data!$G:$G,Neutral!$A60,Data!$DB:$DB)+'Rate History'!$D$12*SUMIF(Data!$G:$G,Neutral!$A60,Data!$DC:$DC)+'Rate History'!$D$13*SUMIF(Data!$G:$G,Neutral!$A60,Data!$DD:$DD)+'Rate History'!$D$14*SUMIF(Data!$G:$G,Neutral!$A60,Data!$DE:$DE)+'Rate History'!$D$15*SUMIF(Data!$G:$G,Neutral!$A60,Data!$DF:$DF)+'Rate History'!$D$16*SUMIF(Data!$G:$G,Neutral!$A60,Data!$DG:$DG)+'Rate History'!$D$17*SUMIF(Data!$G:$G,Neutral!$A60,Data!$DH:$DH)+'Rate History'!$D$18*SUMIF(Data!$G:$G,Neutral!$A60,Data!$DI:$DI)+'Rate History'!$D$19*SUMIF(Data!$G:$G,Neutral!$A60,Data!$DJ:$DJ)+'Rate History'!$D$20*SUMIF(Data!$G:$G,Neutral!$A60,Data!$DK:$DK)+'Rate History'!$D$21*SUMIF(Data!$G:$G,Neutral!$A60,Data!$DL:$DL)+'Rate History'!$D$22*SUMIF(Data!$G:$G,Neutral!$A60,Data!$DM:$DM)+'Rate History'!$D$23*SUMIF(Data!$G:$G,Neutral!$A60,Data!$DN:$DN)+'Rate History'!$D$24*SUMIF(Data!$G:$G,Neutral!$A60,Data!$DO:$DO)+'Rate History'!$D$25*SUMIF(Data!$G:$G,Neutral!$A60,Data!$DP:$DP)+'Rate History'!$D$26*SUMIF(Data!$G:$G,Neutral!$A60,Data!$DQ:$DQ)+'Rate History'!$D$27*SUMIF(Data!$G:$G,Neutral!$A60,Data!$DR:$DR)+'Rate History'!$D$28*SUMIF(Data!$G:$G,Neutral!$A60,Data!$DS:$DS)+'Rate History'!$D$29*SUMIF(Data!$G:$G,Neutral!$A60,Data!$DT:$DT)+'Rate History'!$D$30*SUMIF(Data!$G:$G,Neutral!$A60,Data!$DV:$DV)+'Rate History'!$D$31*SUMIF(Data!$G:$G,Neutral!$A60,Data!$DW:$DW))</f>
        <v>5112166.1321806563</v>
      </c>
      <c r="C60" s="169">
        <f>$C$5*('Rate History'!$C$4*SUMIF(Data!$G:$G,Neutral!$A60,Data!$CU:$CU)+'Rate History'!$C$5*SUMIF(Data!$G:$G,Neutral!$A60,Data!$CV:$CV)+'Rate History'!$C$6*SUMIF(Data!$G:$G,Neutral!$A60,Data!$CW:$CW)+'Rate History'!$C$7*SUMIF(Data!$G:$G,Neutral!$A60,Data!$CX:$CX)+'Rate History'!$C$8*SUMIF(Data!$G:$G,Neutral!$A60,Data!$CY:$CY)+'Rate History'!$C$9*SUMIF(Data!$G:$G,Neutral!$A60,Data!$CZ:$CZ)+'Rate History'!$C$10*SUMIF(Data!$G:$G,Neutral!$A60,Data!$DA:$DA)+'Rate History'!$C$11*SUMIF(Data!$G:$G,Neutral!$A60,Data!$DB:$DB)+'Rate History'!$C$12*SUMIF(Data!$G:$G,Neutral!$A60,Data!$DC:$DC)+'Rate History'!$C$13*SUMIF(Data!$G:$G,Neutral!$A60,Data!$DD:$DD)+'Rate History'!$C$14*SUMIF(Data!$G:$G,Neutral!$A60,Data!$DE:$DE)+'Rate History'!$C$15*SUMIF(Data!$G:$G,Neutral!$A60,Data!$DF:$DF)+'Rate History'!$C$16*SUMIF(Data!$G:$G,Neutral!$A60,Data!$DG:$DG)+'Rate History'!$C$17*SUMIF(Data!$G:$G,Neutral!$A60,Data!$DH:$DH)+'Rate History'!$C$18*SUMIF(Data!$G:$G,Neutral!$A60,Data!$DI:$DI)+'Rate History'!$C$19*SUMIF(Data!$G:$G,Neutral!$A60,Data!$DJ:$DJ)+'Rate History'!$C$20*SUMIF(Data!$G:$G,Neutral!$A60,Data!$DK:$DK)+'Rate History'!$C$21*SUMIF(Data!$G:$G,Neutral!$A60,Data!$DL:$DL)+'Rate History'!$C$22*SUMIF(Data!$G:$G,Neutral!$A60,Data!$DM:$DM)+'Rate History'!$C$23*SUMIF(Data!$G:$G,Neutral!$A60,Data!$DN:$DN)+'Rate History'!$C$24*SUMIF(Data!$G:$G,Neutral!$A60,Data!$DO:$DO)+'Rate History'!$C$25*SUMIF(Data!$G:$G,Neutral!$A60,Data!$DP:$DP)+'Rate History'!$C$26*SUMIF(Data!$G:$G,Neutral!$A60,Data!$DQ:$DQ)+'Rate History'!$C$27*SUMIF(Data!$G:$G,Neutral!$A60,Data!$DR:$DR)+'Rate History'!$C$28*SUMIF(Data!$G:$G,Neutral!$A60,Data!$DS:$DS)+'Rate History'!$C$29*SUMIF(Data!$G:$G,Neutral!$A60,Data!$DT:$DT)+'Rate History'!$C$30*SUMIF(Data!$G:$G,Neutral!$A60,Data!$DV:$DV)+'Rate History'!$C$31*SUMIF(Data!$G:$G,Neutral!$A60,Data!$DW:$DW))</f>
        <v>5143694.7995522898</v>
      </c>
      <c r="D60" s="170">
        <f t="shared" si="1"/>
        <v>31528.667371633463</v>
      </c>
      <c r="E60" s="168">
        <f t="shared" si="0"/>
        <v>6.1673792588944143E-3</v>
      </c>
    </row>
    <row r="61" spans="1:5" x14ac:dyDescent="0.25">
      <c r="A61" s="90" t="s">
        <v>451</v>
      </c>
      <c r="B61" s="169">
        <f>$B$5*('Rate History'!$D$4*SUMIF(Data!$G:$G,Neutral!$A61,Data!$CU:$CU)+'Rate History'!$D$5*SUMIF(Data!$G:$G,Neutral!$A61,Data!$CV:$CV)+'Rate History'!$D$6*SUMIF(Data!$G:$G,Neutral!$A61,Data!$CW:$CW)+'Rate History'!$D$7*SUMIF(Data!$G:$G,Neutral!$A61,Data!$CX:$CX)+'Rate History'!$D$8*SUMIF(Data!$G:$G,Neutral!$A61,Data!$CY:$CY)+'Rate History'!$D$9*SUMIF(Data!$G:$G,Neutral!$A61,Data!$CZ:$CZ)+'Rate History'!$D$10*SUMIF(Data!$G:$G,Neutral!$A61,Data!$DA:$DA)+'Rate History'!$D$11*SUMIF(Data!$G:$G,Neutral!$A61,Data!$DB:$DB)+'Rate History'!$D$12*SUMIF(Data!$G:$G,Neutral!$A61,Data!$DC:$DC)+'Rate History'!$D$13*SUMIF(Data!$G:$G,Neutral!$A61,Data!$DD:$DD)+'Rate History'!$D$14*SUMIF(Data!$G:$G,Neutral!$A61,Data!$DE:$DE)+'Rate History'!$D$15*SUMIF(Data!$G:$G,Neutral!$A61,Data!$DF:$DF)+'Rate History'!$D$16*SUMIF(Data!$G:$G,Neutral!$A61,Data!$DG:$DG)+'Rate History'!$D$17*SUMIF(Data!$G:$G,Neutral!$A61,Data!$DH:$DH)+'Rate History'!$D$18*SUMIF(Data!$G:$G,Neutral!$A61,Data!$DI:$DI)+'Rate History'!$D$19*SUMIF(Data!$G:$G,Neutral!$A61,Data!$DJ:$DJ)+'Rate History'!$D$20*SUMIF(Data!$G:$G,Neutral!$A61,Data!$DK:$DK)+'Rate History'!$D$21*SUMIF(Data!$G:$G,Neutral!$A61,Data!$DL:$DL)+'Rate History'!$D$22*SUMIF(Data!$G:$G,Neutral!$A61,Data!$DM:$DM)+'Rate History'!$D$23*SUMIF(Data!$G:$G,Neutral!$A61,Data!$DN:$DN)+'Rate History'!$D$24*SUMIF(Data!$G:$G,Neutral!$A61,Data!$DO:$DO)+'Rate History'!$D$25*SUMIF(Data!$G:$G,Neutral!$A61,Data!$DP:$DP)+'Rate History'!$D$26*SUMIF(Data!$G:$G,Neutral!$A61,Data!$DQ:$DQ)+'Rate History'!$D$27*SUMIF(Data!$G:$G,Neutral!$A61,Data!$DR:$DR)+'Rate History'!$D$28*SUMIF(Data!$G:$G,Neutral!$A61,Data!$DS:$DS)+'Rate History'!$D$29*SUMIF(Data!$G:$G,Neutral!$A61,Data!$DT:$DT)+'Rate History'!$D$30*SUMIF(Data!$G:$G,Neutral!$A61,Data!$DV:$DV)+'Rate History'!$D$31*SUMIF(Data!$G:$G,Neutral!$A61,Data!$DW:$DW))</f>
        <v>3298559.489926076</v>
      </c>
      <c r="C61" s="169">
        <f>$C$5*('Rate History'!$C$4*SUMIF(Data!$G:$G,Neutral!$A61,Data!$CU:$CU)+'Rate History'!$C$5*SUMIF(Data!$G:$G,Neutral!$A61,Data!$CV:$CV)+'Rate History'!$C$6*SUMIF(Data!$G:$G,Neutral!$A61,Data!$CW:$CW)+'Rate History'!$C$7*SUMIF(Data!$G:$G,Neutral!$A61,Data!$CX:$CX)+'Rate History'!$C$8*SUMIF(Data!$G:$G,Neutral!$A61,Data!$CY:$CY)+'Rate History'!$C$9*SUMIF(Data!$G:$G,Neutral!$A61,Data!$CZ:$CZ)+'Rate History'!$C$10*SUMIF(Data!$G:$G,Neutral!$A61,Data!$DA:$DA)+'Rate History'!$C$11*SUMIF(Data!$G:$G,Neutral!$A61,Data!$DB:$DB)+'Rate History'!$C$12*SUMIF(Data!$G:$G,Neutral!$A61,Data!$DC:$DC)+'Rate History'!$C$13*SUMIF(Data!$G:$G,Neutral!$A61,Data!$DD:$DD)+'Rate History'!$C$14*SUMIF(Data!$G:$G,Neutral!$A61,Data!$DE:$DE)+'Rate History'!$C$15*SUMIF(Data!$G:$G,Neutral!$A61,Data!$DF:$DF)+'Rate History'!$C$16*SUMIF(Data!$G:$G,Neutral!$A61,Data!$DG:$DG)+'Rate History'!$C$17*SUMIF(Data!$G:$G,Neutral!$A61,Data!$DH:$DH)+'Rate History'!$C$18*SUMIF(Data!$G:$G,Neutral!$A61,Data!$DI:$DI)+'Rate History'!$C$19*SUMIF(Data!$G:$G,Neutral!$A61,Data!$DJ:$DJ)+'Rate History'!$C$20*SUMIF(Data!$G:$G,Neutral!$A61,Data!$DK:$DK)+'Rate History'!$C$21*SUMIF(Data!$G:$G,Neutral!$A61,Data!$DL:$DL)+'Rate History'!$C$22*SUMIF(Data!$G:$G,Neutral!$A61,Data!$DM:$DM)+'Rate History'!$C$23*SUMIF(Data!$G:$G,Neutral!$A61,Data!$DN:$DN)+'Rate History'!$C$24*SUMIF(Data!$G:$G,Neutral!$A61,Data!$DO:$DO)+'Rate History'!$C$25*SUMIF(Data!$G:$G,Neutral!$A61,Data!$DP:$DP)+'Rate History'!$C$26*SUMIF(Data!$G:$G,Neutral!$A61,Data!$DQ:$DQ)+'Rate History'!$C$27*SUMIF(Data!$G:$G,Neutral!$A61,Data!$DR:$DR)+'Rate History'!$C$28*SUMIF(Data!$G:$G,Neutral!$A61,Data!$DS:$DS)+'Rate History'!$C$29*SUMIF(Data!$G:$G,Neutral!$A61,Data!$DT:$DT)+'Rate History'!$C$30*SUMIF(Data!$G:$G,Neutral!$A61,Data!$DV:$DV)+'Rate History'!$C$31*SUMIF(Data!$G:$G,Neutral!$A61,Data!$DW:$DW))</f>
        <v>3289589.7335682912</v>
      </c>
      <c r="D61" s="170">
        <f t="shared" si="1"/>
        <v>-8969.7563577848487</v>
      </c>
      <c r="E61" s="168">
        <f t="shared" si="0"/>
        <v>-2.7192950089815933E-3</v>
      </c>
    </row>
    <row r="62" spans="1:5" x14ac:dyDescent="0.25">
      <c r="A62" s="71" t="s">
        <v>449</v>
      </c>
      <c r="B62" s="169">
        <f>$B$5*('Rate History'!$D$4*SUMIF(Data!$G:$G,Neutral!$A62,Data!$CU:$CU)+'Rate History'!$D$5*SUMIF(Data!$G:$G,Neutral!$A62,Data!$CV:$CV)+'Rate History'!$D$6*SUMIF(Data!$G:$G,Neutral!$A62,Data!$CW:$CW)+'Rate History'!$D$7*SUMIF(Data!$G:$G,Neutral!$A62,Data!$CX:$CX)+'Rate History'!$D$8*SUMIF(Data!$G:$G,Neutral!$A62,Data!$CY:$CY)+'Rate History'!$D$9*SUMIF(Data!$G:$G,Neutral!$A62,Data!$CZ:$CZ)+'Rate History'!$D$10*SUMIF(Data!$G:$G,Neutral!$A62,Data!$DA:$DA)+'Rate History'!$D$11*SUMIF(Data!$G:$G,Neutral!$A62,Data!$DB:$DB)+'Rate History'!$D$12*SUMIF(Data!$G:$G,Neutral!$A62,Data!$DC:$DC)+'Rate History'!$D$13*SUMIF(Data!$G:$G,Neutral!$A62,Data!$DD:$DD)+'Rate History'!$D$14*SUMIF(Data!$G:$G,Neutral!$A62,Data!$DE:$DE)+'Rate History'!$D$15*SUMIF(Data!$G:$G,Neutral!$A62,Data!$DF:$DF)+'Rate History'!$D$16*SUMIF(Data!$G:$G,Neutral!$A62,Data!$DG:$DG)+'Rate History'!$D$17*SUMIF(Data!$G:$G,Neutral!$A62,Data!$DH:$DH)+'Rate History'!$D$18*SUMIF(Data!$G:$G,Neutral!$A62,Data!$DI:$DI)+'Rate History'!$D$19*SUMIF(Data!$G:$G,Neutral!$A62,Data!$DJ:$DJ)+'Rate History'!$D$20*SUMIF(Data!$G:$G,Neutral!$A62,Data!$DK:$DK)+'Rate History'!$D$21*SUMIF(Data!$G:$G,Neutral!$A62,Data!$DL:$DL)+'Rate History'!$D$22*SUMIF(Data!$G:$G,Neutral!$A62,Data!$DM:$DM)+'Rate History'!$D$23*SUMIF(Data!$G:$G,Neutral!$A62,Data!$DN:$DN)+'Rate History'!$D$24*SUMIF(Data!$G:$G,Neutral!$A62,Data!$DO:$DO)+'Rate History'!$D$25*SUMIF(Data!$G:$G,Neutral!$A62,Data!$DP:$DP)+'Rate History'!$D$26*SUMIF(Data!$G:$G,Neutral!$A62,Data!$DQ:$DQ)+'Rate History'!$D$27*SUMIF(Data!$G:$G,Neutral!$A62,Data!$DR:$DR)+'Rate History'!$D$28*SUMIF(Data!$G:$G,Neutral!$A62,Data!$DS:$DS)+'Rate History'!$D$29*SUMIF(Data!$G:$G,Neutral!$A62,Data!$DT:$DT)+'Rate History'!$D$30*SUMIF(Data!$G:$G,Neutral!$A62,Data!$DV:$DV)+'Rate History'!$D$31*SUMIF(Data!$G:$G,Neutral!$A62,Data!$DW:$DW))</f>
        <v>214331.08857628558</v>
      </c>
      <c r="C62" s="169">
        <f>$C$5*('Rate History'!$C$4*SUMIF(Data!$G:$G,Neutral!$A62,Data!$CU:$CU)+'Rate History'!$C$5*SUMIF(Data!$G:$G,Neutral!$A62,Data!$CV:$CV)+'Rate History'!$C$6*SUMIF(Data!$G:$G,Neutral!$A62,Data!$CW:$CW)+'Rate History'!$C$7*SUMIF(Data!$G:$G,Neutral!$A62,Data!$CX:$CX)+'Rate History'!$C$8*SUMIF(Data!$G:$G,Neutral!$A62,Data!$CY:$CY)+'Rate History'!$C$9*SUMIF(Data!$G:$G,Neutral!$A62,Data!$CZ:$CZ)+'Rate History'!$C$10*SUMIF(Data!$G:$G,Neutral!$A62,Data!$DA:$DA)+'Rate History'!$C$11*SUMIF(Data!$G:$G,Neutral!$A62,Data!$DB:$DB)+'Rate History'!$C$12*SUMIF(Data!$G:$G,Neutral!$A62,Data!$DC:$DC)+'Rate History'!$C$13*SUMIF(Data!$G:$G,Neutral!$A62,Data!$DD:$DD)+'Rate History'!$C$14*SUMIF(Data!$G:$G,Neutral!$A62,Data!$DE:$DE)+'Rate History'!$C$15*SUMIF(Data!$G:$G,Neutral!$A62,Data!$DF:$DF)+'Rate History'!$C$16*SUMIF(Data!$G:$G,Neutral!$A62,Data!$DG:$DG)+'Rate History'!$C$17*SUMIF(Data!$G:$G,Neutral!$A62,Data!$DH:$DH)+'Rate History'!$C$18*SUMIF(Data!$G:$G,Neutral!$A62,Data!$DI:$DI)+'Rate History'!$C$19*SUMIF(Data!$G:$G,Neutral!$A62,Data!$DJ:$DJ)+'Rate History'!$C$20*SUMIF(Data!$G:$G,Neutral!$A62,Data!$DK:$DK)+'Rate History'!$C$21*SUMIF(Data!$G:$G,Neutral!$A62,Data!$DL:$DL)+'Rate History'!$C$22*SUMIF(Data!$G:$G,Neutral!$A62,Data!$DM:$DM)+'Rate History'!$C$23*SUMIF(Data!$G:$G,Neutral!$A62,Data!$DN:$DN)+'Rate History'!$C$24*SUMIF(Data!$G:$G,Neutral!$A62,Data!$DO:$DO)+'Rate History'!$C$25*SUMIF(Data!$G:$G,Neutral!$A62,Data!$DP:$DP)+'Rate History'!$C$26*SUMIF(Data!$G:$G,Neutral!$A62,Data!$DQ:$DQ)+'Rate History'!$C$27*SUMIF(Data!$G:$G,Neutral!$A62,Data!$DR:$DR)+'Rate History'!$C$28*SUMIF(Data!$G:$G,Neutral!$A62,Data!$DS:$DS)+'Rate History'!$C$29*SUMIF(Data!$G:$G,Neutral!$A62,Data!$DT:$DT)+'Rate History'!$C$30*SUMIF(Data!$G:$G,Neutral!$A62,Data!$DV:$DV)+'Rate History'!$C$31*SUMIF(Data!$G:$G,Neutral!$A62,Data!$DW:$DW))</f>
        <v>214250.29202721646</v>
      </c>
      <c r="D62" s="170">
        <f t="shared" si="1"/>
        <v>-80.796549069113098</v>
      </c>
      <c r="E62" s="168">
        <f t="shared" si="0"/>
        <v>-3.7697074001635404E-4</v>
      </c>
    </row>
    <row r="63" spans="1:5" ht="15.75" thickBot="1" x14ac:dyDescent="0.3">
      <c r="A63" s="80" t="s">
        <v>35</v>
      </c>
      <c r="B63" s="171">
        <f>SUM(B5:B62)</f>
        <v>854608552.00000048</v>
      </c>
      <c r="C63" s="171">
        <f>SUM(C6:C62)</f>
        <v>854608552.00000358</v>
      </c>
      <c r="D63" s="172">
        <f t="shared" si="1"/>
        <v>3.0994415283203125E-6</v>
      </c>
      <c r="E63" s="173">
        <f t="shared" si="0"/>
        <v>3.6267382546861183E-15</v>
      </c>
    </row>
    <row r="65" spans="2:2" x14ac:dyDescent="0.25">
      <c r="B65" s="174"/>
    </row>
    <row r="66" spans="2:2" x14ac:dyDescent="0.25">
      <c r="B66" s="175"/>
    </row>
  </sheetData>
  <mergeCells count="1">
    <mergeCell ref="A3:E3"/>
  </mergeCells>
  <pageMargins left="0.25" right="0.25"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zoomScale="70" zoomScaleNormal="70" workbookViewId="0"/>
  </sheetViews>
  <sheetFormatPr defaultRowHeight="14.25" x14ac:dyDescent="0.2"/>
  <cols>
    <col min="1" max="1" width="9.42578125" style="10" customWidth="1"/>
    <col min="2" max="2" width="46.5703125" style="10" customWidth="1"/>
    <col min="3" max="3" width="18.28515625" style="10" customWidth="1"/>
    <col min="4" max="4" width="18.7109375" style="10" bestFit="1" customWidth="1"/>
    <col min="5" max="5" width="18.42578125" style="10" customWidth="1"/>
    <col min="6" max="6" width="17.28515625" style="10" customWidth="1"/>
    <col min="7" max="7" width="2.85546875" style="10" customWidth="1"/>
    <col min="8" max="9" width="10.5703125" style="61" bestFit="1" customWidth="1"/>
    <col min="10" max="10" width="12.42578125" style="61" bestFit="1" customWidth="1"/>
    <col min="11" max="11" width="17.85546875" style="10" bestFit="1" customWidth="1"/>
    <col min="12" max="14" width="9.140625" style="10"/>
    <col min="15" max="15" width="17.85546875" style="10" bestFit="1" customWidth="1"/>
    <col min="16"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394</v>
      </c>
      <c r="B2" s="11" t="str">
        <f>VLOOKUP(A2,Data!A:G,7,0)</f>
        <v>Alamo Community College District</v>
      </c>
      <c r="C2" s="11"/>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50000</v>
      </c>
      <c r="E5" s="15">
        <f>E36+E67+IFERROR($E$105/$D$105*D5,0)</f>
        <v>418621.67104669113</v>
      </c>
      <c r="F5" s="20">
        <f>IF(OR(D5=0,E5=0),"",ROUND(E5/D5,2))</f>
        <v>8.3699999999999992</v>
      </c>
    </row>
    <row r="6" spans="1:6" x14ac:dyDescent="0.2">
      <c r="A6" s="19">
        <v>2</v>
      </c>
      <c r="B6" s="181" t="s">
        <v>1</v>
      </c>
      <c r="C6" s="182"/>
      <c r="D6" s="14">
        <f t="shared" ref="D6:D32" si="0">D37</f>
        <v>213535</v>
      </c>
      <c r="E6" s="17">
        <f t="shared" ref="E6:E32" si="1">E37+E68+IFERROR($E$105/$D$105*D6,0)</f>
        <v>1414707.8409391036</v>
      </c>
      <c r="F6" s="21">
        <f t="shared" ref="F6:F33" si="2">IF(OR(D6=0,E6=0),"",ROUND(E6/D6,2))</f>
        <v>6.63</v>
      </c>
    </row>
    <row r="7" spans="1:6" x14ac:dyDescent="0.2">
      <c r="A7" s="19">
        <v>3</v>
      </c>
      <c r="B7" s="181" t="s">
        <v>2</v>
      </c>
      <c r="C7" s="182"/>
      <c r="D7" s="14">
        <f t="shared" si="0"/>
        <v>1614352</v>
      </c>
      <c r="E7" s="17">
        <f t="shared" si="1"/>
        <v>12039926.320831358</v>
      </c>
      <c r="F7" s="21">
        <f t="shared" si="2"/>
        <v>7.46</v>
      </c>
    </row>
    <row r="8" spans="1:6" x14ac:dyDescent="0.2">
      <c r="A8" s="19">
        <v>4</v>
      </c>
      <c r="B8" s="181" t="s">
        <v>3</v>
      </c>
      <c r="C8" s="182"/>
      <c r="D8" s="14">
        <f t="shared" si="0"/>
        <v>908387</v>
      </c>
      <c r="E8" s="17">
        <f t="shared" si="1"/>
        <v>7492091.5512218121</v>
      </c>
      <c r="F8" s="21">
        <f t="shared" si="2"/>
        <v>8.25</v>
      </c>
    </row>
    <row r="9" spans="1:6" x14ac:dyDescent="0.2">
      <c r="A9" s="19">
        <v>5</v>
      </c>
      <c r="B9" s="181" t="s">
        <v>4</v>
      </c>
      <c r="C9" s="182"/>
      <c r="D9" s="14">
        <f t="shared" si="0"/>
        <v>26208</v>
      </c>
      <c r="E9" s="17">
        <f t="shared" si="1"/>
        <v>364590.93861583364</v>
      </c>
      <c r="F9" s="21">
        <f t="shared" si="2"/>
        <v>13.91</v>
      </c>
    </row>
    <row r="10" spans="1:6" x14ac:dyDescent="0.2">
      <c r="A10" s="19">
        <v>6</v>
      </c>
      <c r="B10" s="181" t="s">
        <v>5</v>
      </c>
      <c r="C10" s="182"/>
      <c r="D10" s="14">
        <f t="shared" si="0"/>
        <v>199376</v>
      </c>
      <c r="E10" s="17">
        <f t="shared" si="1"/>
        <v>1621996.9951721018</v>
      </c>
      <c r="F10" s="21">
        <f t="shared" si="2"/>
        <v>8.14</v>
      </c>
    </row>
    <row r="11" spans="1:6" x14ac:dyDescent="0.2">
      <c r="A11" s="19">
        <v>7</v>
      </c>
      <c r="B11" s="181" t="s">
        <v>6</v>
      </c>
      <c r="C11" s="182"/>
      <c r="D11" s="14">
        <f t="shared" si="0"/>
        <v>818530</v>
      </c>
      <c r="E11" s="17">
        <f t="shared" si="1"/>
        <v>6770672.8512369618</v>
      </c>
      <c r="F11" s="21">
        <f t="shared" si="2"/>
        <v>8.27</v>
      </c>
    </row>
    <row r="12" spans="1:6" x14ac:dyDescent="0.2">
      <c r="A12" s="19">
        <v>8</v>
      </c>
      <c r="B12" s="181" t="s">
        <v>7</v>
      </c>
      <c r="C12" s="182"/>
      <c r="D12" s="14">
        <f t="shared" si="0"/>
        <v>90408</v>
      </c>
      <c r="E12" s="17">
        <f t="shared" si="1"/>
        <v>618761.212239785</v>
      </c>
      <c r="F12" s="21">
        <f t="shared" si="2"/>
        <v>6.84</v>
      </c>
    </row>
    <row r="13" spans="1:6" x14ac:dyDescent="0.2">
      <c r="A13" s="19">
        <v>9</v>
      </c>
      <c r="B13" s="181" t="s">
        <v>8</v>
      </c>
      <c r="C13" s="182"/>
      <c r="D13" s="14">
        <f t="shared" si="0"/>
        <v>461575</v>
      </c>
      <c r="E13" s="17">
        <f t="shared" si="1"/>
        <v>2880445.7242675293</v>
      </c>
      <c r="F13" s="21">
        <f t="shared" si="2"/>
        <v>6.24</v>
      </c>
    </row>
    <row r="14" spans="1:6" x14ac:dyDescent="0.2">
      <c r="A14" s="19">
        <v>10</v>
      </c>
      <c r="B14" s="181" t="s">
        <v>9</v>
      </c>
      <c r="C14" s="182"/>
      <c r="D14" s="14">
        <f t="shared" si="0"/>
        <v>4848</v>
      </c>
      <c r="E14" s="17">
        <f t="shared" si="1"/>
        <v>180981.12234468717</v>
      </c>
      <c r="F14" s="21">
        <f t="shared" si="2"/>
        <v>37.33</v>
      </c>
    </row>
    <row r="15" spans="1:6" x14ac:dyDescent="0.2">
      <c r="A15" s="19">
        <v>11</v>
      </c>
      <c r="B15" s="181" t="s">
        <v>10</v>
      </c>
      <c r="C15" s="182"/>
      <c r="D15" s="14">
        <f t="shared" si="0"/>
        <v>240342</v>
      </c>
      <c r="E15" s="17">
        <f t="shared" si="1"/>
        <v>3535026.4217340769</v>
      </c>
      <c r="F15" s="21">
        <f t="shared" si="2"/>
        <v>14.71</v>
      </c>
    </row>
    <row r="16" spans="1:6" x14ac:dyDescent="0.2">
      <c r="A16" s="19">
        <v>12</v>
      </c>
      <c r="B16" s="181" t="s">
        <v>11</v>
      </c>
      <c r="C16" s="182"/>
      <c r="D16" s="14">
        <f t="shared" si="0"/>
        <v>3312953</v>
      </c>
      <c r="E16" s="17">
        <f t="shared" si="1"/>
        <v>22387240.995502971</v>
      </c>
      <c r="F16" s="21">
        <f t="shared" si="2"/>
        <v>6.76</v>
      </c>
    </row>
    <row r="17" spans="1:6" x14ac:dyDescent="0.2">
      <c r="A17" s="19">
        <v>13</v>
      </c>
      <c r="B17" s="181" t="s">
        <v>12</v>
      </c>
      <c r="C17" s="182"/>
      <c r="D17" s="14">
        <f t="shared" si="0"/>
        <v>379766</v>
      </c>
      <c r="E17" s="17">
        <f t="shared" si="1"/>
        <v>3350582.1415743539</v>
      </c>
      <c r="F17" s="21">
        <f t="shared" si="2"/>
        <v>8.82</v>
      </c>
    </row>
    <row r="18" spans="1:6" x14ac:dyDescent="0.2">
      <c r="A18" s="19">
        <v>14</v>
      </c>
      <c r="B18" s="181" t="s">
        <v>464</v>
      </c>
      <c r="C18" s="182"/>
      <c r="D18" s="14">
        <f t="shared" si="0"/>
        <v>369409</v>
      </c>
      <c r="E18" s="17">
        <f t="shared" si="1"/>
        <v>4593130.3785537425</v>
      </c>
      <c r="F18" s="21">
        <f t="shared" si="2"/>
        <v>12.43</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639075</v>
      </c>
      <c r="E20" s="17">
        <f t="shared" si="1"/>
        <v>4364454.2564832829</v>
      </c>
      <c r="F20" s="21">
        <f t="shared" si="2"/>
        <v>6.83</v>
      </c>
    </row>
    <row r="21" spans="1:6" x14ac:dyDescent="0.2">
      <c r="A21" s="19">
        <v>17</v>
      </c>
      <c r="B21" s="181" t="s">
        <v>15</v>
      </c>
      <c r="C21" s="182"/>
      <c r="D21" s="14">
        <f t="shared" si="0"/>
        <v>21888</v>
      </c>
      <c r="E21" s="17">
        <f t="shared" si="1"/>
        <v>404423.24543739948</v>
      </c>
      <c r="F21" s="21">
        <f t="shared" si="2"/>
        <v>18.48</v>
      </c>
    </row>
    <row r="22" spans="1:6" x14ac:dyDescent="0.2">
      <c r="A22" s="19">
        <v>18</v>
      </c>
      <c r="B22" s="181" t="s">
        <v>16</v>
      </c>
      <c r="C22" s="182"/>
      <c r="D22" s="14">
        <f t="shared" si="0"/>
        <v>312684</v>
      </c>
      <c r="E22" s="17">
        <f t="shared" si="1"/>
        <v>2407461.1087512714</v>
      </c>
      <c r="F22" s="21">
        <f t="shared" si="2"/>
        <v>7.7</v>
      </c>
    </row>
    <row r="23" spans="1:6" x14ac:dyDescent="0.2">
      <c r="A23" s="19">
        <v>19</v>
      </c>
      <c r="B23" s="181" t="s">
        <v>17</v>
      </c>
      <c r="C23" s="182"/>
      <c r="D23" s="14">
        <f t="shared" si="0"/>
        <v>2727631</v>
      </c>
      <c r="E23" s="17">
        <f t="shared" si="1"/>
        <v>18599757.881015144</v>
      </c>
      <c r="F23" s="21">
        <f t="shared" si="2"/>
        <v>6.82</v>
      </c>
    </row>
    <row r="24" spans="1:6" x14ac:dyDescent="0.2">
      <c r="A24" s="19">
        <v>20</v>
      </c>
      <c r="B24" s="181" t="s">
        <v>18</v>
      </c>
      <c r="C24" s="182"/>
      <c r="D24" s="14">
        <f t="shared" si="0"/>
        <v>227972</v>
      </c>
      <c r="E24" s="17">
        <f t="shared" si="1"/>
        <v>1779927.6475171254</v>
      </c>
      <c r="F24" s="21">
        <f t="shared" si="2"/>
        <v>7.81</v>
      </c>
    </row>
    <row r="25" spans="1:6" x14ac:dyDescent="0.2">
      <c r="A25" s="19">
        <v>21</v>
      </c>
      <c r="B25" s="181" t="s">
        <v>461</v>
      </c>
      <c r="C25" s="182"/>
      <c r="D25" s="14">
        <f t="shared" si="0"/>
        <v>242061</v>
      </c>
      <c r="E25" s="17">
        <f t="shared" si="1"/>
        <v>1696594.762144662</v>
      </c>
      <c r="F25" s="21">
        <f t="shared" si="2"/>
        <v>7.01</v>
      </c>
    </row>
    <row r="26" spans="1:6" x14ac:dyDescent="0.2">
      <c r="A26" s="19">
        <v>22</v>
      </c>
      <c r="B26" s="181" t="s">
        <v>19</v>
      </c>
      <c r="C26" s="182"/>
      <c r="D26" s="14">
        <f t="shared" si="0"/>
        <v>3568</v>
      </c>
      <c r="E26" s="17">
        <f t="shared" si="1"/>
        <v>104890.32436589188</v>
      </c>
      <c r="F26" s="21">
        <f t="shared" si="2"/>
        <v>29.4</v>
      </c>
    </row>
    <row r="27" spans="1:6" x14ac:dyDescent="0.2">
      <c r="A27" s="19">
        <v>23</v>
      </c>
      <c r="B27" s="181" t="s">
        <v>20</v>
      </c>
      <c r="C27" s="182"/>
      <c r="D27" s="14">
        <f t="shared" si="0"/>
        <v>383208</v>
      </c>
      <c r="E27" s="17">
        <f t="shared" si="1"/>
        <v>3261983.749889208</v>
      </c>
      <c r="F27" s="21">
        <f t="shared" si="2"/>
        <v>8.51</v>
      </c>
    </row>
    <row r="28" spans="1:6" x14ac:dyDescent="0.2">
      <c r="A28" s="19">
        <v>24</v>
      </c>
      <c r="B28" s="181" t="s">
        <v>21</v>
      </c>
      <c r="C28" s="182"/>
      <c r="D28" s="14">
        <f t="shared" si="0"/>
        <v>386108</v>
      </c>
      <c r="E28" s="17">
        <f t="shared" si="1"/>
        <v>2561729.1828099163</v>
      </c>
      <c r="F28" s="21">
        <f t="shared" si="2"/>
        <v>6.63</v>
      </c>
    </row>
    <row r="29" spans="1:6" x14ac:dyDescent="0.2">
      <c r="A29" s="19">
        <v>25</v>
      </c>
      <c r="B29" s="181" t="s">
        <v>22</v>
      </c>
      <c r="C29" s="182"/>
      <c r="D29" s="14">
        <f t="shared" si="0"/>
        <v>2792717</v>
      </c>
      <c r="E29" s="17">
        <f t="shared" si="1"/>
        <v>19047873.094490044</v>
      </c>
      <c r="F29" s="21">
        <f t="shared" si="2"/>
        <v>6.82</v>
      </c>
    </row>
    <row r="30" spans="1:6" x14ac:dyDescent="0.2">
      <c r="A30" s="19">
        <v>26</v>
      </c>
      <c r="B30" s="181" t="s">
        <v>23</v>
      </c>
      <c r="C30" s="182"/>
      <c r="D30" s="14">
        <f t="shared" si="0"/>
        <v>880305</v>
      </c>
      <c r="E30" s="17">
        <f t="shared" si="1"/>
        <v>7879553.5818151478</v>
      </c>
      <c r="F30" s="21">
        <f t="shared" si="2"/>
        <v>8.9499999999999993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C33" s="13" t="s">
        <v>35</v>
      </c>
      <c r="D33" s="61">
        <f>SUM(D5:D32)</f>
        <v>17306906</v>
      </c>
      <c r="E33" s="4">
        <f>SUM(E5:E32)</f>
        <v>129777425.00000012</v>
      </c>
      <c r="F33" s="32">
        <f t="shared" si="2"/>
        <v>7.5</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IF(F3="1",SUMIF(Data!A:A,$A$2,Data!CU:CU),0)</f>
        <v>50000</v>
      </c>
      <c r="E36" s="15">
        <f>IF(F3="1",SUMIF(Data!$A:$A,$A$2,Data!IO:IO),0)</f>
        <v>60163</v>
      </c>
      <c r="F36" s="20">
        <f t="shared" ref="F36:F64" si="3">IF(OR(D36=0,E36=0),"",ROUND(E36/D36,2))</f>
        <v>1.2</v>
      </c>
    </row>
    <row r="37" spans="1:6" x14ac:dyDescent="0.2">
      <c r="A37" s="19">
        <v>2</v>
      </c>
      <c r="B37" s="181" t="s">
        <v>1</v>
      </c>
      <c r="C37" s="182"/>
      <c r="D37" s="14">
        <f>IF(F3="1",SUMIF(Data!A:A,$A$2,Data!CV:CV),0)</f>
        <v>213535</v>
      </c>
      <c r="E37" s="17">
        <f>IF(F3="1",SUMIF(Data!$A:$A,$A$2,Data!IP:IP),0)</f>
        <v>70170</v>
      </c>
      <c r="F37" s="21">
        <f t="shared" si="3"/>
        <v>0.33</v>
      </c>
    </row>
    <row r="38" spans="1:6" x14ac:dyDescent="0.2">
      <c r="A38" s="19">
        <v>3</v>
      </c>
      <c r="B38" s="181" t="s">
        <v>2</v>
      </c>
      <c r="C38" s="182"/>
      <c r="D38" s="14">
        <f>IF(F3="1",SUMIF(Data!A:A,$A$2,Data!CW:CW),0)</f>
        <v>1614352</v>
      </c>
      <c r="E38" s="17">
        <f>IF($F$3="1",SUMIF(Data!$A:$A,$A$2,Data!IQ:IQ),0)</f>
        <v>1181110</v>
      </c>
      <c r="F38" s="21">
        <f t="shared" si="3"/>
        <v>0.73</v>
      </c>
    </row>
    <row r="39" spans="1:6" x14ac:dyDescent="0.2">
      <c r="A39" s="19">
        <v>4</v>
      </c>
      <c r="B39" s="181" t="s">
        <v>3</v>
      </c>
      <c r="C39" s="182"/>
      <c r="D39" s="14">
        <f>IF(F3="1",SUMIF(Data!A:A,$A$2,Data!CX:CX),0)</f>
        <v>908387</v>
      </c>
      <c r="E39" s="17">
        <f>IF($F$3="1",SUMIF(Data!$A:$A,$A$2,Data!IR:IR),0)</f>
        <v>617044</v>
      </c>
      <c r="F39" s="21">
        <f t="shared" si="3"/>
        <v>0.68</v>
      </c>
    </row>
    <row r="40" spans="1:6" x14ac:dyDescent="0.2">
      <c r="A40" s="19">
        <v>5</v>
      </c>
      <c r="B40" s="181" t="s">
        <v>4</v>
      </c>
      <c r="C40" s="182"/>
      <c r="D40" s="14">
        <f>IF(F3="1",SUMIF(Data!A:A,$A$2,Data!CY:CY),0)</f>
        <v>26208</v>
      </c>
      <c r="E40" s="17">
        <f>IF($F$3="1",SUMIF(Data!$A:$A,$A$2,Data!IS:IS),0)</f>
        <v>156936</v>
      </c>
      <c r="F40" s="21">
        <f t="shared" si="3"/>
        <v>5.99</v>
      </c>
    </row>
    <row r="41" spans="1:6" x14ac:dyDescent="0.2">
      <c r="A41" s="19">
        <v>6</v>
      </c>
      <c r="B41" s="181" t="s">
        <v>5</v>
      </c>
      <c r="C41" s="182"/>
      <c r="D41" s="14">
        <f>IF(F3="1",SUMIF(Data!A:A,$A$2,Data!CZ:CZ),0)</f>
        <v>199376</v>
      </c>
      <c r="E41" s="17">
        <f>IF($F$3="1",SUMIF(Data!$A:$A,$A$2,Data!IT:IT),0)</f>
        <v>289699</v>
      </c>
      <c r="F41" s="21">
        <f t="shared" si="3"/>
        <v>1.45</v>
      </c>
    </row>
    <row r="42" spans="1:6" x14ac:dyDescent="0.2">
      <c r="A42" s="19">
        <v>7</v>
      </c>
      <c r="B42" s="181" t="s">
        <v>6</v>
      </c>
      <c r="C42" s="182"/>
      <c r="D42" s="14">
        <f>IF(F3="1",SUMIF(Data!A:A,$A$2,Data!DA:DA),0)</f>
        <v>818530</v>
      </c>
      <c r="E42" s="17">
        <f>IF($F$3="1",SUMIF(Data!$A:$A,$A$2,Data!IU:IU),0)</f>
        <v>658144</v>
      </c>
      <c r="F42" s="21">
        <f t="shared" si="3"/>
        <v>0.8</v>
      </c>
    </row>
    <row r="43" spans="1:6" x14ac:dyDescent="0.2">
      <c r="A43" s="19">
        <v>8</v>
      </c>
      <c r="B43" s="181" t="s">
        <v>7</v>
      </c>
      <c r="C43" s="182"/>
      <c r="D43" s="14">
        <f>IF(F3="1",SUMIF(Data!A:A,$A$2,Data!DB:DB),0)</f>
        <v>90408</v>
      </c>
      <c r="E43" s="17">
        <f>IF($F$3="1",SUMIF(Data!$A:$A,$A$2,Data!IV:IV),0)</f>
        <v>48715</v>
      </c>
      <c r="F43" s="21">
        <f t="shared" si="3"/>
        <v>0.54</v>
      </c>
    </row>
    <row r="44" spans="1:6" x14ac:dyDescent="0.2">
      <c r="A44" s="19">
        <v>9</v>
      </c>
      <c r="B44" s="181" t="s">
        <v>8</v>
      </c>
      <c r="C44" s="182"/>
      <c r="D44" s="14">
        <f>IF(F3="1",SUMIF(Data!A:A,$A$2,Data!DC:DC),0)</f>
        <v>461575</v>
      </c>
      <c r="E44" s="17">
        <f>IF($F$3="1",SUMIF(Data!$A:$A,$A$2,Data!IW:IW),0)</f>
        <v>279553</v>
      </c>
      <c r="F44" s="21">
        <f t="shared" si="3"/>
        <v>0.61</v>
      </c>
    </row>
    <row r="45" spans="1:6" x14ac:dyDescent="0.2">
      <c r="A45" s="19">
        <v>10</v>
      </c>
      <c r="B45" s="181" t="s">
        <v>9</v>
      </c>
      <c r="C45" s="182"/>
      <c r="D45" s="14">
        <f>IF(F3="1",SUMIF(Data!A:A,$A$2,Data!DD:DD),0)</f>
        <v>4848</v>
      </c>
      <c r="E45" s="17">
        <f>IF($F$3="1",SUMIF(Data!$A:$A,$A$2,Data!IX:IX),0)</f>
        <v>63290</v>
      </c>
      <c r="F45" s="21">
        <f t="shared" si="3"/>
        <v>13.05</v>
      </c>
    </row>
    <row r="46" spans="1:6" x14ac:dyDescent="0.2">
      <c r="A46" s="19">
        <v>11</v>
      </c>
      <c r="B46" s="181" t="s">
        <v>10</v>
      </c>
      <c r="C46" s="182"/>
      <c r="D46" s="14">
        <f>IF(F3="1",SUMIF(Data!A:A,$A$2,Data!DE:DE),0)</f>
        <v>240342</v>
      </c>
      <c r="E46" s="17">
        <f>IF($F$3="1",SUMIF(Data!$A:$A,$A$2,Data!IY:IY),0)</f>
        <v>610961</v>
      </c>
      <c r="F46" s="21">
        <f t="shared" si="3"/>
        <v>2.54</v>
      </c>
    </row>
    <row r="47" spans="1:6" x14ac:dyDescent="0.2">
      <c r="A47" s="19">
        <v>12</v>
      </c>
      <c r="B47" s="181" t="s">
        <v>11</v>
      </c>
      <c r="C47" s="182"/>
      <c r="D47" s="14">
        <f>IF(F3="1",SUMIF(Data!A:A,$A$2,Data!DF:DF),0)</f>
        <v>3312953</v>
      </c>
      <c r="E47" s="17">
        <f>IF($F$3="1",SUMIF(Data!$A:$A,$A$2,Data!IZ:IZ),0)</f>
        <v>1449130</v>
      </c>
      <c r="F47" s="21">
        <f t="shared" si="3"/>
        <v>0.44</v>
      </c>
    </row>
    <row r="48" spans="1:6" x14ac:dyDescent="0.2">
      <c r="A48" s="19">
        <v>13</v>
      </c>
      <c r="B48" s="181" t="s">
        <v>12</v>
      </c>
      <c r="C48" s="182"/>
      <c r="D48" s="14">
        <f>IF(F3="1",SUMIF(Data!A:A,$A$2,Data!DG:DG),0)</f>
        <v>379766</v>
      </c>
      <c r="E48" s="17">
        <f>IF($F$3="1",SUMIF(Data!$A:$A,$A$2,Data!JA:JA),0)</f>
        <v>259599</v>
      </c>
      <c r="F48" s="21">
        <f t="shared" si="3"/>
        <v>0.68</v>
      </c>
    </row>
    <row r="49" spans="1:14" x14ac:dyDescent="0.2">
      <c r="A49" s="19">
        <v>14</v>
      </c>
      <c r="B49" s="181" t="s">
        <v>464</v>
      </c>
      <c r="C49" s="182"/>
      <c r="D49" s="14">
        <f>IF(F3="1",SUMIF(Data!A:A,$A$2,Data!DH:DH),0)</f>
        <v>369409</v>
      </c>
      <c r="E49" s="17">
        <f>IF($F$3="1",SUMIF(Data!$A:$A,$A$2,Data!JB:JB),0)</f>
        <v>366849</v>
      </c>
      <c r="F49" s="21">
        <f t="shared" si="3"/>
        <v>0.99</v>
      </c>
    </row>
    <row r="50" spans="1:14" x14ac:dyDescent="0.2">
      <c r="A50" s="19">
        <v>15</v>
      </c>
      <c r="B50" s="181" t="s">
        <v>13</v>
      </c>
      <c r="C50" s="182"/>
      <c r="D50" s="14">
        <f>IF(F3="1",SUMIF(Data!A:A,$A$2,Data!DI:DI),0)</f>
        <v>0</v>
      </c>
      <c r="E50" s="17">
        <f>IF($F$3="1",SUMIF(Data!$A:$A,$A$2,Data!JC:JC),0)</f>
        <v>0</v>
      </c>
      <c r="F50" s="21" t="str">
        <f t="shared" si="3"/>
        <v/>
      </c>
    </row>
    <row r="51" spans="1:14" x14ac:dyDescent="0.2">
      <c r="A51" s="19">
        <v>16</v>
      </c>
      <c r="B51" s="181" t="s">
        <v>14</v>
      </c>
      <c r="C51" s="182"/>
      <c r="D51" s="14">
        <f>IF(F3="1",SUMIF(Data!A:A,$A$2,Data!DJ:DJ),0)</f>
        <v>639075</v>
      </c>
      <c r="E51" s="17">
        <f>IF($F$3="1",SUMIF(Data!$A:$A,$A$2,Data!JD:JD),0)</f>
        <v>472710</v>
      </c>
      <c r="F51" s="21">
        <f t="shared" si="3"/>
        <v>0.74</v>
      </c>
    </row>
    <row r="52" spans="1:14" x14ac:dyDescent="0.2">
      <c r="A52" s="19">
        <v>17</v>
      </c>
      <c r="B52" s="181" t="s">
        <v>15</v>
      </c>
      <c r="C52" s="182"/>
      <c r="D52" s="14">
        <f>IF(F3="1",SUMIF(Data!A:A,$A$2,Data!DK:DK),0)</f>
        <v>21888</v>
      </c>
      <c r="E52" s="17">
        <f>IF($F$3="1",SUMIF(Data!$A:$A,$A$2,Data!JE:JE),0)</f>
        <v>6296</v>
      </c>
      <c r="F52" s="21">
        <f t="shared" si="3"/>
        <v>0.28999999999999998</v>
      </c>
    </row>
    <row r="53" spans="1:14" x14ac:dyDescent="0.2">
      <c r="A53" s="19">
        <v>18</v>
      </c>
      <c r="B53" s="181" t="s">
        <v>16</v>
      </c>
      <c r="C53" s="182"/>
      <c r="D53" s="14">
        <f>IF(F3="1",SUMIF(Data!A:A,$A$2,Data!DL:DL),0)</f>
        <v>312684</v>
      </c>
      <c r="E53" s="17">
        <f>IF($F$3="1",SUMIF(Data!$A:$A,$A$2,Data!JF:JF),0)</f>
        <v>189130</v>
      </c>
      <c r="F53" s="21">
        <f t="shared" si="3"/>
        <v>0.6</v>
      </c>
    </row>
    <row r="54" spans="1:14" x14ac:dyDescent="0.2">
      <c r="A54" s="19">
        <v>19</v>
      </c>
      <c r="B54" s="181" t="s">
        <v>17</v>
      </c>
      <c r="C54" s="182"/>
      <c r="D54" s="14">
        <f>IF(F3="1",SUMIF(Data!A:A,$A$2,Data!DM:DM),0)</f>
        <v>2727631</v>
      </c>
      <c r="E54" s="17">
        <f>IF($F$3="1",SUMIF(Data!$A:$A,$A$2,Data!JG:JG),0)</f>
        <v>1051184</v>
      </c>
      <c r="F54" s="21">
        <f t="shared" si="3"/>
        <v>0.39</v>
      </c>
    </row>
    <row r="55" spans="1:14" x14ac:dyDescent="0.2">
      <c r="A55" s="19">
        <v>20</v>
      </c>
      <c r="B55" s="181" t="s">
        <v>18</v>
      </c>
      <c r="C55" s="182"/>
      <c r="D55" s="14">
        <f>IF(F3="1",SUMIF(Data!A:A,$A$2,Data!DN:DN),0)</f>
        <v>227972</v>
      </c>
      <c r="E55" s="17">
        <f>IF($F$3="1",SUMIF(Data!$A:$A,$A$2,Data!JH:JH),0)</f>
        <v>182771</v>
      </c>
      <c r="F55" s="21">
        <f t="shared" si="3"/>
        <v>0.8</v>
      </c>
    </row>
    <row r="56" spans="1:14" ht="14.25" customHeight="1" x14ac:dyDescent="0.2">
      <c r="A56" s="19">
        <v>21</v>
      </c>
      <c r="B56" s="181" t="s">
        <v>461</v>
      </c>
      <c r="C56" s="182"/>
      <c r="D56" s="14">
        <f>IF(F3="1",SUMIF(Data!A:A,$A$2,Data!DO:DO),0)</f>
        <v>242061</v>
      </c>
      <c r="E56" s="17">
        <f>IF($F$3="1",SUMIF(Data!$A:$A,$A$2,Data!JI:JI),0)</f>
        <v>173493</v>
      </c>
      <c r="F56" s="21">
        <f t="shared" si="3"/>
        <v>0.72</v>
      </c>
    </row>
    <row r="57" spans="1:14" x14ac:dyDescent="0.2">
      <c r="A57" s="19">
        <v>22</v>
      </c>
      <c r="B57" s="181" t="s">
        <v>19</v>
      </c>
      <c r="C57" s="182"/>
      <c r="D57" s="14">
        <f>IF(F3="1",SUMIF(Data!A:A,$A$2,Data!DP:DP),0)</f>
        <v>3568</v>
      </c>
      <c r="E57" s="17">
        <f>IF($F$3="1",SUMIF(Data!$A:$A,$A$2,Data!JJ:JJ),0)</f>
        <v>34704</v>
      </c>
      <c r="F57" s="21">
        <f t="shared" si="3"/>
        <v>9.73</v>
      </c>
    </row>
    <row r="58" spans="1:14" x14ac:dyDescent="0.2">
      <c r="A58" s="19">
        <v>23</v>
      </c>
      <c r="B58" s="181" t="s">
        <v>20</v>
      </c>
      <c r="C58" s="182"/>
      <c r="D58" s="14">
        <f>IF(F3="1",SUMIF(Data!A:A,$A$2,Data!DQ:DQ),0)</f>
        <v>383208</v>
      </c>
      <c r="E58" s="17">
        <f>IF($F$3="1",SUMIF(Data!$A:$A,$A$2,Data!JK:JK),0)</f>
        <v>284275</v>
      </c>
      <c r="F58" s="21">
        <f t="shared" si="3"/>
        <v>0.74</v>
      </c>
      <c r="K58" s="61"/>
      <c r="L58" s="61"/>
      <c r="M58" s="61"/>
      <c r="N58" s="61"/>
    </row>
    <row r="59" spans="1:14" x14ac:dyDescent="0.2">
      <c r="A59" s="19">
        <v>24</v>
      </c>
      <c r="B59" s="181" t="s">
        <v>21</v>
      </c>
      <c r="C59" s="182"/>
      <c r="D59" s="14">
        <f>IF(F3="1",SUMIF(Data!A:A,$A$2,Data!DR:DR),0)</f>
        <v>386108</v>
      </c>
      <c r="E59" s="17">
        <f>IF($F$3="1",SUMIF(Data!$A:$A,$A$2,Data!JL:JL),0)</f>
        <v>252502</v>
      </c>
      <c r="F59" s="21">
        <f t="shared" si="3"/>
        <v>0.65</v>
      </c>
    </row>
    <row r="60" spans="1:14" x14ac:dyDescent="0.2">
      <c r="A60" s="19">
        <v>25</v>
      </c>
      <c r="B60" s="181" t="s">
        <v>22</v>
      </c>
      <c r="C60" s="182"/>
      <c r="D60" s="14">
        <f>IF(F3="1",SUMIF(Data!A:A,$A$2,Data!DS:DS),0)</f>
        <v>2792717</v>
      </c>
      <c r="E60" s="17">
        <f>IF($F$3="1",SUMIF(Data!$A:$A,$A$2,Data!JM:JM),0)</f>
        <v>822081</v>
      </c>
      <c r="F60" s="21">
        <f t="shared" si="3"/>
        <v>0.28999999999999998</v>
      </c>
    </row>
    <row r="61" spans="1:14" x14ac:dyDescent="0.2">
      <c r="A61" s="19">
        <v>26</v>
      </c>
      <c r="B61" s="181" t="s">
        <v>23</v>
      </c>
      <c r="C61" s="182"/>
      <c r="D61" s="14">
        <f>IF(F3="1",SUMIF(Data!A:A,$A$2,Data!DT:DT),0)</f>
        <v>880305</v>
      </c>
      <c r="E61" s="17">
        <f>IF($F$3="1",SUMIF(Data!$A:$A,$A$2,Data!JN:JN),0)</f>
        <v>786810</v>
      </c>
      <c r="F61" s="21">
        <f t="shared" si="3"/>
        <v>0.89</v>
      </c>
    </row>
    <row r="62" spans="1:14" x14ac:dyDescent="0.2">
      <c r="A62" s="19">
        <v>28</v>
      </c>
      <c r="B62" s="181" t="s">
        <v>24</v>
      </c>
      <c r="C62" s="182"/>
      <c r="D62" s="14">
        <f>IF(F3="1",SUMIF(Data!A:A,$A$2,Data!DV:DV),0)</f>
        <v>0</v>
      </c>
      <c r="E62" s="17">
        <f>IF($F$3="1",SUMIF(Data!$A:$A,$A$2,Data!JP:JP),0)</f>
        <v>0</v>
      </c>
      <c r="F62" s="21" t="str">
        <f t="shared" si="3"/>
        <v/>
      </c>
    </row>
    <row r="63" spans="1:14" ht="15.75" customHeight="1" thickBot="1" x14ac:dyDescent="0.25">
      <c r="A63" s="22">
        <v>29</v>
      </c>
      <c r="B63" s="183" t="s">
        <v>25</v>
      </c>
      <c r="C63" s="184"/>
      <c r="D63" s="23">
        <f>IF(F3="1",SUMIF(Data!A:A,$A$2,Data!DW:DW),0)</f>
        <v>0</v>
      </c>
      <c r="E63" s="24">
        <f>IF($F$3="1",SUMIF(Data!$A:$A,$A$2,Data!JQ:JQ),0)</f>
        <v>0</v>
      </c>
      <c r="F63" s="25" t="str">
        <f t="shared" si="3"/>
        <v/>
      </c>
    </row>
    <row r="64" spans="1:14" x14ac:dyDescent="0.2">
      <c r="C64" s="13" t="s">
        <v>35</v>
      </c>
      <c r="D64" s="61">
        <f>SUM(D36:D63)</f>
        <v>17306906</v>
      </c>
      <c r="E64" s="4">
        <f>SUM(E36:E63)</f>
        <v>10367319</v>
      </c>
      <c r="F64" s="32">
        <f t="shared" si="3"/>
        <v>0.6</v>
      </c>
      <c r="G64" s="60"/>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50000</v>
      </c>
      <c r="E67" s="15">
        <f>IF(F3="1",SUMIF(Data!A:A,$A$2,Data!DY:DY),0)</f>
        <v>184365</v>
      </c>
      <c r="F67" s="20">
        <f>IF(OR(D67=0,E67=0),"",ROUND(E67/D67,2))</f>
        <v>3.69</v>
      </c>
    </row>
    <row r="68" spans="1:6" x14ac:dyDescent="0.2">
      <c r="A68" s="19">
        <v>2</v>
      </c>
      <c r="B68" s="181" t="s">
        <v>1</v>
      </c>
      <c r="C68" s="182"/>
      <c r="D68" s="14">
        <f t="shared" ref="D68:D94" si="4">D37</f>
        <v>213535</v>
      </c>
      <c r="E68" s="17">
        <f>IF(F3="1",SUMIF(Data!A:A,$A$2,Data!DZ:DZ),0)</f>
        <v>601036</v>
      </c>
      <c r="F68" s="21">
        <f t="shared" ref="F68:F94" si="5">IF(OR(D68=0,E68=0),"",ROUND(E68/D68,2))</f>
        <v>2.81</v>
      </c>
    </row>
    <row r="69" spans="1:6" x14ac:dyDescent="0.2">
      <c r="A69" s="19">
        <v>3</v>
      </c>
      <c r="B69" s="181" t="s">
        <v>2</v>
      </c>
      <c r="C69" s="182"/>
      <c r="D69" s="14">
        <f t="shared" si="4"/>
        <v>1614352</v>
      </c>
      <c r="E69" s="17">
        <f>IF(F3="1",SUMIF(Data!A:A,$A$2,Data!EA:EA),0)</f>
        <v>5237847</v>
      </c>
      <c r="F69" s="21">
        <f t="shared" si="5"/>
        <v>3.24</v>
      </c>
    </row>
    <row r="70" spans="1:6" x14ac:dyDescent="0.2">
      <c r="A70" s="19">
        <v>4</v>
      </c>
      <c r="B70" s="181" t="s">
        <v>3</v>
      </c>
      <c r="C70" s="182"/>
      <c r="D70" s="14">
        <f t="shared" si="4"/>
        <v>908387</v>
      </c>
      <c r="E70" s="17">
        <f>IF(F3="1",SUMIF(Data!A:A,$A$2,Data!EB:EB),0)</f>
        <v>3712159</v>
      </c>
      <c r="F70" s="21">
        <f t="shared" si="5"/>
        <v>4.09</v>
      </c>
    </row>
    <row r="71" spans="1:6" x14ac:dyDescent="0.2">
      <c r="A71" s="19">
        <v>5</v>
      </c>
      <c r="B71" s="181" t="s">
        <v>4</v>
      </c>
      <c r="C71" s="182"/>
      <c r="D71" s="14">
        <f t="shared" si="4"/>
        <v>26208</v>
      </c>
      <c r="E71" s="17">
        <f>IF(F3="1",SUMIF(Data!A:A,$A$2,Data!EC:EC),0)</f>
        <v>116402</v>
      </c>
      <c r="F71" s="21">
        <f t="shared" si="5"/>
        <v>4.4400000000000004</v>
      </c>
    </row>
    <row r="72" spans="1:6" x14ac:dyDescent="0.2">
      <c r="A72" s="19">
        <v>6</v>
      </c>
      <c r="B72" s="181" t="s">
        <v>5</v>
      </c>
      <c r="C72" s="182"/>
      <c r="D72" s="14">
        <f t="shared" si="4"/>
        <v>199376</v>
      </c>
      <c r="E72" s="17">
        <f>IF(F3="1",SUMIF(Data!A:A,$A$2,Data!ED:ED),0)</f>
        <v>638096</v>
      </c>
      <c r="F72" s="21">
        <f t="shared" si="5"/>
        <v>3.2</v>
      </c>
    </row>
    <row r="73" spans="1:6" x14ac:dyDescent="0.2">
      <c r="A73" s="19">
        <v>7</v>
      </c>
      <c r="B73" s="181" t="s">
        <v>6</v>
      </c>
      <c r="C73" s="182"/>
      <c r="D73" s="14">
        <f t="shared" si="4"/>
        <v>818530</v>
      </c>
      <c r="E73" s="17">
        <f>IF(F3="1",SUMIF(Data!A:A,$A$2,Data!EE:EE),0)</f>
        <v>3262511</v>
      </c>
      <c r="F73" s="21">
        <f t="shared" si="5"/>
        <v>3.99</v>
      </c>
    </row>
    <row r="74" spans="1:6" x14ac:dyDescent="0.2">
      <c r="A74" s="19">
        <v>8</v>
      </c>
      <c r="B74" s="181" t="s">
        <v>7</v>
      </c>
      <c r="C74" s="182"/>
      <c r="D74" s="14">
        <f t="shared" si="4"/>
        <v>90408</v>
      </c>
      <c r="E74" s="17">
        <f>IF(F3="1",SUMIF(Data!A:A,$A$2,Data!EF:EF),0)</f>
        <v>255257</v>
      </c>
      <c r="F74" s="21">
        <f t="shared" si="5"/>
        <v>2.82</v>
      </c>
    </row>
    <row r="75" spans="1:6" x14ac:dyDescent="0.2">
      <c r="A75" s="19">
        <v>9</v>
      </c>
      <c r="B75" s="181" t="s">
        <v>8</v>
      </c>
      <c r="C75" s="182"/>
      <c r="D75" s="14">
        <f t="shared" si="4"/>
        <v>461575</v>
      </c>
      <c r="E75" s="17">
        <f>IF(F3="1",SUMIF(Data!A:A,$A$2,Data!EG:EG),0)</f>
        <v>993747</v>
      </c>
      <c r="F75" s="21">
        <f t="shared" si="5"/>
        <v>2.15</v>
      </c>
    </row>
    <row r="76" spans="1:6" x14ac:dyDescent="0.2">
      <c r="A76" s="19">
        <v>10</v>
      </c>
      <c r="B76" s="181" t="s">
        <v>9</v>
      </c>
      <c r="C76" s="182"/>
      <c r="D76" s="14">
        <f t="shared" si="4"/>
        <v>4848</v>
      </c>
      <c r="E76" s="17">
        <f>IF(F3="1",SUMIF(Data!A:A,$A$2,Data!EH:EH),0)</f>
        <v>100811</v>
      </c>
      <c r="F76" s="21">
        <f t="shared" si="5"/>
        <v>20.79</v>
      </c>
    </row>
    <row r="77" spans="1:6" x14ac:dyDescent="0.2">
      <c r="A77" s="19">
        <v>11</v>
      </c>
      <c r="B77" s="181" t="s">
        <v>10</v>
      </c>
      <c r="C77" s="182"/>
      <c r="D77" s="14">
        <f t="shared" si="4"/>
        <v>240342</v>
      </c>
      <c r="E77" s="17">
        <f>IF(F3="1",SUMIF(Data!A:A,$A$2,Data!EI:EI),0)</f>
        <v>2087225</v>
      </c>
      <c r="F77" s="21">
        <f t="shared" si="5"/>
        <v>8.68</v>
      </c>
    </row>
    <row r="78" spans="1:6" x14ac:dyDescent="0.2">
      <c r="A78" s="19">
        <v>12</v>
      </c>
      <c r="B78" s="181" t="s">
        <v>11</v>
      </c>
      <c r="C78" s="182"/>
      <c r="D78" s="14">
        <f t="shared" si="4"/>
        <v>3312953</v>
      </c>
      <c r="E78" s="17">
        <f>IF(F3="1",SUMIF(Data!A:A,$A$2,Data!EJ:EJ),0)</f>
        <v>9402828</v>
      </c>
      <c r="F78" s="21">
        <f t="shared" si="5"/>
        <v>2.84</v>
      </c>
    </row>
    <row r="79" spans="1:6" x14ac:dyDescent="0.2">
      <c r="A79" s="19">
        <v>13</v>
      </c>
      <c r="B79" s="181" t="s">
        <v>12</v>
      </c>
      <c r="C79" s="182"/>
      <c r="D79" s="14">
        <f t="shared" si="4"/>
        <v>379766</v>
      </c>
      <c r="E79" s="17">
        <f>IF(F3="1",SUMIF(Data!A:A,$A$2,Data!EK:EK),0)</f>
        <v>1768686</v>
      </c>
      <c r="F79" s="21">
        <f t="shared" si="5"/>
        <v>4.66</v>
      </c>
    </row>
    <row r="80" spans="1:6" x14ac:dyDescent="0.2">
      <c r="A80" s="19">
        <v>14</v>
      </c>
      <c r="B80" s="181" t="s">
        <v>464</v>
      </c>
      <c r="C80" s="182"/>
      <c r="D80" s="14">
        <f t="shared" si="4"/>
        <v>369409</v>
      </c>
      <c r="E80" s="17">
        <f>IF(F3="1",SUMIF(Data!A:A,$A$2,Data!EL:EL),0)</f>
        <v>2940046</v>
      </c>
      <c r="F80" s="21">
        <f t="shared" si="5"/>
        <v>7.96</v>
      </c>
    </row>
    <row r="81" spans="1:6" x14ac:dyDescent="0.2">
      <c r="A81" s="19">
        <v>15</v>
      </c>
      <c r="B81" s="181" t="s">
        <v>13</v>
      </c>
      <c r="C81" s="182"/>
      <c r="D81" s="14">
        <f t="shared" si="4"/>
        <v>0</v>
      </c>
      <c r="E81" s="17">
        <f>IF(F3="1",SUMIF(Data!A:A,$A$2,Data!EM:EM),0)</f>
        <v>0</v>
      </c>
      <c r="F81" s="21" t="str">
        <f t="shared" si="5"/>
        <v/>
      </c>
    </row>
    <row r="82" spans="1:6" x14ac:dyDescent="0.2">
      <c r="A82" s="19">
        <v>16</v>
      </c>
      <c r="B82" s="181" t="s">
        <v>14</v>
      </c>
      <c r="C82" s="182"/>
      <c r="D82" s="14">
        <f t="shared" si="4"/>
        <v>639075</v>
      </c>
      <c r="E82" s="17">
        <f>IF(F3="1",SUMIF(Data!A:A,$A$2,Data!EN:EN),0)</f>
        <v>1666566</v>
      </c>
      <c r="F82" s="21">
        <f t="shared" si="5"/>
        <v>2.61</v>
      </c>
    </row>
    <row r="83" spans="1:6" x14ac:dyDescent="0.2">
      <c r="A83" s="19">
        <v>17</v>
      </c>
      <c r="B83" s="181" t="s">
        <v>15</v>
      </c>
      <c r="C83" s="182"/>
      <c r="D83" s="14">
        <f t="shared" si="4"/>
        <v>21888</v>
      </c>
      <c r="E83" s="17">
        <f>IF(F3="1",SUMIF(Data!A:A,$A$2,Data!EO:EO),0)</f>
        <v>321916</v>
      </c>
      <c r="F83" s="21">
        <f t="shared" si="5"/>
        <v>14.71</v>
      </c>
    </row>
    <row r="84" spans="1:6" x14ac:dyDescent="0.2">
      <c r="A84" s="19">
        <v>18</v>
      </c>
      <c r="B84" s="181" t="s">
        <v>16</v>
      </c>
      <c r="C84" s="182"/>
      <c r="D84" s="14">
        <f t="shared" si="4"/>
        <v>312684</v>
      </c>
      <c r="E84" s="17">
        <f>IF(F3="1",SUMIF(Data!A:A,$A$2,Data!EP:EP),0)</f>
        <v>1129605</v>
      </c>
      <c r="F84" s="21">
        <f t="shared" si="5"/>
        <v>3.61</v>
      </c>
    </row>
    <row r="85" spans="1:6" x14ac:dyDescent="0.2">
      <c r="A85" s="19">
        <v>19</v>
      </c>
      <c r="B85" s="181" t="s">
        <v>17</v>
      </c>
      <c r="C85" s="182"/>
      <c r="D85" s="14">
        <f t="shared" si="4"/>
        <v>2727631</v>
      </c>
      <c r="E85" s="17">
        <f>IF(F3="1",SUMIF(Data!A:A,$A$2,Data!EQ:EQ),0)</f>
        <v>8051308</v>
      </c>
      <c r="F85" s="21">
        <f t="shared" si="5"/>
        <v>2.95</v>
      </c>
    </row>
    <row r="86" spans="1:6" x14ac:dyDescent="0.2">
      <c r="A86" s="19">
        <v>20</v>
      </c>
      <c r="B86" s="181" t="s">
        <v>18</v>
      </c>
      <c r="C86" s="182"/>
      <c r="D86" s="14">
        <f t="shared" si="4"/>
        <v>227972</v>
      </c>
      <c r="E86" s="17">
        <f>IF(F3="1",SUMIF(Data!A:A,$A$2,Data!ER:ER),0)</f>
        <v>803387</v>
      </c>
      <c r="F86" s="21">
        <f t="shared" si="5"/>
        <v>3.52</v>
      </c>
    </row>
    <row r="87" spans="1:6" x14ac:dyDescent="0.2">
      <c r="A87" s="19">
        <v>21</v>
      </c>
      <c r="B87" s="181" t="s">
        <v>461</v>
      </c>
      <c r="C87" s="182"/>
      <c r="D87" s="14">
        <f t="shared" si="4"/>
        <v>242061</v>
      </c>
      <c r="E87" s="17">
        <f>IF(F3="1",SUMIF(Data!A:A,$A$2,Data!ES:ES),0)</f>
        <v>680276</v>
      </c>
      <c r="F87" s="21">
        <f t="shared" si="5"/>
        <v>2.81</v>
      </c>
    </row>
    <row r="88" spans="1:6" x14ac:dyDescent="0.2">
      <c r="A88" s="19">
        <v>22</v>
      </c>
      <c r="B88" s="181" t="s">
        <v>19</v>
      </c>
      <c r="C88" s="182"/>
      <c r="D88" s="14">
        <f t="shared" si="4"/>
        <v>3568</v>
      </c>
      <c r="E88" s="17">
        <f>IF(F3="1",SUMIF(Data!A:A,$A$2,Data!ET:ET),0)</f>
        <v>57763</v>
      </c>
      <c r="F88" s="21">
        <f t="shared" si="5"/>
        <v>16.190000000000001</v>
      </c>
    </row>
    <row r="89" spans="1:6" x14ac:dyDescent="0.2">
      <c r="A89" s="19">
        <v>23</v>
      </c>
      <c r="B89" s="181" t="s">
        <v>20</v>
      </c>
      <c r="C89" s="182"/>
      <c r="D89" s="14">
        <f t="shared" si="4"/>
        <v>383208</v>
      </c>
      <c r="E89" s="17">
        <f>IF(F3="1",SUMIF(Data!A:A,$A$2,Data!EU:EU),0)</f>
        <v>1643427</v>
      </c>
      <c r="F89" s="21">
        <f t="shared" si="5"/>
        <v>4.29</v>
      </c>
    </row>
    <row r="90" spans="1:6" x14ac:dyDescent="0.2">
      <c r="A90" s="19">
        <v>24</v>
      </c>
      <c r="B90" s="181" t="s">
        <v>21</v>
      </c>
      <c r="C90" s="182"/>
      <c r="D90" s="14">
        <f t="shared" si="4"/>
        <v>386108</v>
      </c>
      <c r="E90" s="17">
        <f>IF(F3="1",SUMIF(Data!A:A,$A$2,Data!EV:EV),0)</f>
        <v>964848</v>
      </c>
      <c r="F90" s="21">
        <f t="shared" si="5"/>
        <v>2.5</v>
      </c>
    </row>
    <row r="91" spans="1:6" x14ac:dyDescent="0.2">
      <c r="A91" s="19">
        <v>25</v>
      </c>
      <c r="B91" s="181" t="s">
        <v>22</v>
      </c>
      <c r="C91" s="182"/>
      <c r="D91" s="14">
        <f t="shared" si="4"/>
        <v>2792717</v>
      </c>
      <c r="E91" s="17">
        <f>IF(F3="1",SUMIF(Data!A:A,$A$2,Data!EW:EW),0)</f>
        <v>8501905</v>
      </c>
      <c r="F91" s="21">
        <f t="shared" si="5"/>
        <v>3.04</v>
      </c>
    </row>
    <row r="92" spans="1:6" x14ac:dyDescent="0.2">
      <c r="A92" s="19">
        <v>26</v>
      </c>
      <c r="B92" s="181" t="s">
        <v>23</v>
      </c>
      <c r="C92" s="182"/>
      <c r="D92" s="14">
        <f t="shared" si="4"/>
        <v>880305</v>
      </c>
      <c r="E92" s="17">
        <f>IF(F3="1",SUMIF(Data!A:A,$A$2,Data!EX:EX),0)</f>
        <v>4027633</v>
      </c>
      <c r="F92" s="21">
        <f t="shared" si="5"/>
        <v>4.58</v>
      </c>
    </row>
    <row r="93" spans="1:6" x14ac:dyDescent="0.2">
      <c r="A93" s="19">
        <v>28</v>
      </c>
      <c r="B93" s="181" t="s">
        <v>24</v>
      </c>
      <c r="C93" s="182"/>
      <c r="D93" s="14">
        <f t="shared" si="4"/>
        <v>0</v>
      </c>
      <c r="E93" s="17">
        <f>IF(F3="1",SUMIF(Data!A:A,$A$2,Data!EZ:EZ),0)</f>
        <v>0</v>
      </c>
      <c r="F93" s="21" t="str">
        <f t="shared" si="5"/>
        <v/>
      </c>
    </row>
    <row r="94" spans="1:6" ht="15.75" customHeight="1" thickBot="1" x14ac:dyDescent="0.25">
      <c r="A94" s="22">
        <v>29</v>
      </c>
      <c r="B94" s="183" t="s">
        <v>25</v>
      </c>
      <c r="C94" s="184"/>
      <c r="D94" s="23">
        <f t="shared" si="4"/>
        <v>0</v>
      </c>
      <c r="E94" s="24">
        <f>IF(F3="1",SUMIF(Data!A:A,$A$2,Data!FA:FA),0)</f>
        <v>0</v>
      </c>
      <c r="F94" s="25" t="str">
        <f t="shared" si="5"/>
        <v/>
      </c>
    </row>
    <row r="95" spans="1:6" x14ac:dyDescent="0.2">
      <c r="C95" s="13" t="s">
        <v>35</v>
      </c>
      <c r="D95" s="61">
        <f>SUM(D67:D94)</f>
        <v>17306906</v>
      </c>
      <c r="E95" s="4">
        <f>SUM(E67:E94)</f>
        <v>59149650</v>
      </c>
      <c r="F95" s="32">
        <f>IF(OR(D95=0,E95=0),"",ROUND(E95/D95,2))</f>
        <v>3.42</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IF(F3="1",SUMIF(Data!A:A,$A$2,Data!AH:AH),0)</f>
        <v>20619803</v>
      </c>
      <c r="F98" s="20">
        <f>IF(OR(E98=0,E98=0),"",ROUND(E98/$D$105,2))</f>
        <v>1.19</v>
      </c>
    </row>
    <row r="99" spans="2:6" x14ac:dyDescent="0.2">
      <c r="B99" s="187" t="s">
        <v>31</v>
      </c>
      <c r="C99" s="188"/>
      <c r="D99" s="36"/>
      <c r="E99" s="17">
        <f>IF(F3="1",SUMIF(Data!A:A,$A$2,Data!AI:AI),0)</f>
        <v>14330083</v>
      </c>
      <c r="F99" s="21">
        <f t="shared" ref="F99:F104" si="6">IF(OR(E99=0,E99=0),"",ROUND(E99/$D$105,2))</f>
        <v>0.83</v>
      </c>
    </row>
    <row r="100" spans="2:6" x14ac:dyDescent="0.2">
      <c r="B100" s="187" t="s">
        <v>1078</v>
      </c>
      <c r="C100" s="188"/>
      <c r="D100" s="36"/>
      <c r="E100" s="17">
        <f>IF(F3="1",SUMIF(Data!A:A,$A$2,Data!AJ:AJ),0)</f>
        <v>5654649</v>
      </c>
      <c r="F100" s="21">
        <f t="shared" si="6"/>
        <v>0.33</v>
      </c>
    </row>
    <row r="101" spans="2:6" x14ac:dyDescent="0.2">
      <c r="B101" s="187" t="s">
        <v>1079</v>
      </c>
      <c r="C101" s="188"/>
      <c r="D101" s="36"/>
      <c r="E101" s="17">
        <f>IF(F3="1",SUMIF(Data!A:A,$A$2,Data!AK:AK),0)</f>
        <v>7102500</v>
      </c>
      <c r="F101" s="21">
        <f t="shared" si="6"/>
        <v>0.41</v>
      </c>
    </row>
    <row r="102" spans="2:6" x14ac:dyDescent="0.2">
      <c r="B102" s="187" t="s">
        <v>1080</v>
      </c>
      <c r="C102" s="188"/>
      <c r="D102" s="36"/>
      <c r="E102" s="17">
        <f>IF(F3="1",SUMIF(Data!A:A,$A$2,Data!AL:AL),0)</f>
        <v>175711</v>
      </c>
      <c r="F102" s="21">
        <f t="shared" si="6"/>
        <v>0.01</v>
      </c>
    </row>
    <row r="103" spans="2:6" x14ac:dyDescent="0.2">
      <c r="B103" s="189" t="s">
        <v>34</v>
      </c>
      <c r="C103" s="190"/>
      <c r="D103" s="36"/>
      <c r="E103" s="17">
        <f>IF(F3="1",SUMIF(Data!A:A,$A$2,Data!AM:AM),0)</f>
        <v>9.9999999999999995E-8</v>
      </c>
      <c r="F103" s="21">
        <f t="shared" si="6"/>
        <v>0</v>
      </c>
    </row>
    <row r="104" spans="2:6" ht="15.75" customHeight="1" thickBot="1" x14ac:dyDescent="0.25">
      <c r="B104" s="179" t="s">
        <v>29</v>
      </c>
      <c r="C104" s="180"/>
      <c r="D104" s="37"/>
      <c r="E104" s="24">
        <f>IF(F3="1",SUMIF(Data!A:A,$A$2,Data!Q:Q),0)</f>
        <v>12377710</v>
      </c>
      <c r="F104" s="25">
        <f t="shared" si="6"/>
        <v>0.72</v>
      </c>
    </row>
    <row r="105" spans="2:6" x14ac:dyDescent="0.2">
      <c r="C105" s="13" t="s">
        <v>35</v>
      </c>
      <c r="D105" s="12">
        <f>D95</f>
        <v>17306906</v>
      </c>
      <c r="E105" s="4">
        <f>SUM(E98:E104)</f>
        <v>60260456.000000097</v>
      </c>
      <c r="F105" s="32">
        <f>IF($D$105=0,"",ROUND(E105/$D$105,2))</f>
        <v>3.48</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E95+IF(F3="1",SUMIF(Data!$A:$A,$A$2,Data!GF:GF),0)</f>
        <v>59149650</v>
      </c>
      <c r="D109" s="15">
        <f>IF(F3="1",SUMIF(Data!$A:$A,$A$2,Data!HJ:HJ),0)</f>
        <v>0</v>
      </c>
      <c r="E109" s="15">
        <f>IF(F3="1",SUMIF(Data!$A:$A,$A$2,Data!IN:IN),0)</f>
        <v>0</v>
      </c>
      <c r="F109" s="47">
        <f>SUM(C109:E109)</f>
        <v>59149650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10" x14ac:dyDescent="0.2">
      <c r="B113" s="42" t="s">
        <v>31</v>
      </c>
      <c r="C113" s="50">
        <f>IF(F3="1",SUMIF(Data!A:A,$A$2,Data!U:U),0)</f>
        <v>0</v>
      </c>
      <c r="D113" s="51"/>
      <c r="E113" s="50">
        <f>IF(F3="1",SUMIF(Data!A:A,$A$2,Data!AB:AB),0)</f>
        <v>0</v>
      </c>
      <c r="F113" s="48">
        <f t="shared" si="7"/>
        <v>0</v>
      </c>
    </row>
    <row r="114" spans="1:10" x14ac:dyDescent="0.2">
      <c r="B114" s="42" t="s">
        <v>1009</v>
      </c>
      <c r="C114" s="50">
        <f>IF(F3="1",SUMIF(Data!A:A,$A$2,Data!T:T),0)</f>
        <v>0</v>
      </c>
      <c r="D114" s="51"/>
      <c r="E114" s="50">
        <f>IF(F3="1",SUMIF(Data!A:A,$A$2,Data!AA:AA),0)</f>
        <v>0</v>
      </c>
      <c r="F114" s="48">
        <f t="shared" si="7"/>
        <v>0</v>
      </c>
    </row>
    <row r="115" spans="1:10" x14ac:dyDescent="0.2">
      <c r="B115" s="42" t="s">
        <v>929</v>
      </c>
      <c r="C115" s="50">
        <f>IF(F3="1",SUMIF(Data!A:A,$A$2,Data!BI:BI),0)</f>
        <v>0</v>
      </c>
      <c r="D115" s="50">
        <f>IF(F3="1",SUMIF(Data!A:A,$A$2,Data!BL:BL),0)</f>
        <v>0</v>
      </c>
      <c r="E115" s="50">
        <f>IF(F3="1",SUMIF(Data!A:A,$A$2,Data!BU:BU),0)</f>
        <v>0</v>
      </c>
      <c r="F115" s="48">
        <f t="shared" si="7"/>
        <v>0</v>
      </c>
    </row>
    <row r="116" spans="1:10" x14ac:dyDescent="0.2">
      <c r="B116" s="42" t="s">
        <v>33</v>
      </c>
      <c r="C116" s="50">
        <f>IF(F3="1",SUMIF(Data!A:A,$A$2,Data!X:X),0)</f>
        <v>0</v>
      </c>
      <c r="D116" s="50"/>
      <c r="E116" s="50">
        <f>E102</f>
        <v>175711</v>
      </c>
      <c r="F116" s="48">
        <f t="shared" si="7"/>
        <v>175711</v>
      </c>
    </row>
    <row r="117" spans="1:10" ht="15" thickBot="1" x14ac:dyDescent="0.25">
      <c r="B117" s="43" t="s">
        <v>933</v>
      </c>
      <c r="C117" s="52"/>
      <c r="D117" s="52">
        <f>IF(F3="1",SUMIF(Data!A:A,$A$2,Data!Q:Q),0)</f>
        <v>12377710</v>
      </c>
      <c r="E117" s="52"/>
      <c r="F117" s="49">
        <f>SUM(C117:E117)</f>
        <v>12377710</v>
      </c>
    </row>
    <row r="118" spans="1:10" x14ac:dyDescent="0.2">
      <c r="B118" s="13" t="s">
        <v>35</v>
      </c>
      <c r="C118" s="4">
        <f>SUM(C109:C116)</f>
        <v>59149650</v>
      </c>
      <c r="D118" s="4">
        <f>SUM(D109:D116)</f>
        <v>0</v>
      </c>
      <c r="E118" s="4">
        <f>SUM(E109:E116)</f>
        <v>175711</v>
      </c>
      <c r="F118" s="4">
        <f>SUM(F109:F116)</f>
        <v>59325361</v>
      </c>
    </row>
    <row r="119" spans="1:10" ht="15" thickBot="1" x14ac:dyDescent="0.25"/>
    <row r="120" spans="1:10" ht="15" thickBot="1" x14ac:dyDescent="0.25">
      <c r="B120" s="55" t="s">
        <v>934</v>
      </c>
      <c r="C120" s="53"/>
      <c r="D120" s="53"/>
      <c r="E120" s="53">
        <f>IF(F3="1",SUMIF(Data!A:A,$A$2,Data!AM:AM),0)</f>
        <v>9.9999999999999995E-8</v>
      </c>
      <c r="F120" s="54">
        <f>SUM(C120:E120)</f>
        <v>9.9999999999999995E-8</v>
      </c>
    </row>
    <row r="122" spans="1:10" s="60" customFormat="1" ht="101.25" customHeight="1" x14ac:dyDescent="0.2">
      <c r="A122" s="193" t="s">
        <v>935</v>
      </c>
      <c r="B122" s="193"/>
      <c r="C122" s="193"/>
      <c r="D122" s="193"/>
      <c r="E122" s="193"/>
      <c r="F122" s="193"/>
      <c r="H122" s="61"/>
      <c r="I122" s="61"/>
      <c r="J122" s="6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350</v>
      </c>
      <c r="B2" s="58" t="str">
        <f>VLOOKUP(A2,Data!A:G,7,0)</f>
        <v>Alvin Community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32496</v>
      </c>
      <c r="E5" s="15">
        <f>E36+E67+IFERROR($E$105/$D$105*D5,0)</f>
        <v>144199.3389403529</v>
      </c>
      <c r="F5" s="20">
        <f>IF(OR(D5=0,E5=0),"",ROUND(E5/D5,2))</f>
        <v>4.4400000000000004</v>
      </c>
    </row>
    <row r="6" spans="1:6" x14ac:dyDescent="0.2">
      <c r="A6" s="19">
        <v>2</v>
      </c>
      <c r="B6" s="181" t="s">
        <v>1</v>
      </c>
      <c r="C6" s="182"/>
      <c r="D6" s="14">
        <f t="shared" ref="D6:D32" si="0">D37</f>
        <v>68009</v>
      </c>
      <c r="E6" s="17">
        <f t="shared" ref="E6:E32" si="1">E37+E68+IFERROR($E$105/$D$105*D6,0)</f>
        <v>497270.13158525544</v>
      </c>
      <c r="F6" s="21">
        <f t="shared" ref="F6:F33" si="2">IF(OR(D6=0,E6=0),"",ROUND(E6/D6,2))</f>
        <v>7.31</v>
      </c>
    </row>
    <row r="7" spans="1:6" ht="14.25" customHeight="1" x14ac:dyDescent="0.2">
      <c r="A7" s="19">
        <v>3</v>
      </c>
      <c r="B7" s="181" t="s">
        <v>2</v>
      </c>
      <c r="C7" s="182"/>
      <c r="D7" s="14">
        <f t="shared" si="0"/>
        <v>184112</v>
      </c>
      <c r="E7" s="17">
        <f t="shared" si="1"/>
        <v>1190491.8755227183</v>
      </c>
      <c r="F7" s="21">
        <f t="shared" si="2"/>
        <v>6.47</v>
      </c>
    </row>
    <row r="8" spans="1:6" ht="14.25" customHeight="1" x14ac:dyDescent="0.2">
      <c r="A8" s="19">
        <v>4</v>
      </c>
      <c r="B8" s="181" t="s">
        <v>3</v>
      </c>
      <c r="C8" s="182"/>
      <c r="D8" s="14">
        <f t="shared" si="0"/>
        <v>246516</v>
      </c>
      <c r="E8" s="17">
        <f t="shared" si="1"/>
        <v>1621171.361097367</v>
      </c>
      <c r="F8" s="21">
        <f t="shared" si="2"/>
        <v>6.58</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60992</v>
      </c>
      <c r="E10" s="17">
        <f t="shared" si="1"/>
        <v>365060.70213718625</v>
      </c>
      <c r="F10" s="21">
        <f t="shared" si="2"/>
        <v>5.99</v>
      </c>
    </row>
    <row r="11" spans="1:6" x14ac:dyDescent="0.2">
      <c r="A11" s="19">
        <v>7</v>
      </c>
      <c r="B11" s="181" t="s">
        <v>6</v>
      </c>
      <c r="C11" s="182"/>
      <c r="D11" s="14">
        <f t="shared" si="0"/>
        <v>235369</v>
      </c>
      <c r="E11" s="17">
        <f t="shared" si="1"/>
        <v>1445438.8766941139</v>
      </c>
      <c r="F11" s="21">
        <f t="shared" si="2"/>
        <v>6.14</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38053</v>
      </c>
      <c r="E13" s="17">
        <f t="shared" si="1"/>
        <v>252430.41724203745</v>
      </c>
      <c r="F13" s="21">
        <f t="shared" si="2"/>
        <v>6.63</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44112</v>
      </c>
      <c r="E15" s="17">
        <f t="shared" si="1"/>
        <v>194342.72449953371</v>
      </c>
      <c r="F15" s="21">
        <f t="shared" si="2"/>
        <v>4.41</v>
      </c>
    </row>
    <row r="16" spans="1:6" ht="14.25" customHeight="1" x14ac:dyDescent="0.2">
      <c r="A16" s="19">
        <v>12</v>
      </c>
      <c r="B16" s="181" t="s">
        <v>11</v>
      </c>
      <c r="C16" s="182"/>
      <c r="D16" s="14">
        <f t="shared" si="0"/>
        <v>245620</v>
      </c>
      <c r="E16" s="17">
        <f t="shared" si="1"/>
        <v>1639012.4305308186</v>
      </c>
      <c r="F16" s="21">
        <f t="shared" si="2"/>
        <v>6.67</v>
      </c>
    </row>
    <row r="17" spans="1:6" x14ac:dyDescent="0.2">
      <c r="A17" s="19">
        <v>13</v>
      </c>
      <c r="B17" s="181" t="s">
        <v>12</v>
      </c>
      <c r="C17" s="182"/>
      <c r="D17" s="14">
        <f t="shared" si="0"/>
        <v>19526</v>
      </c>
      <c r="E17" s="17">
        <f t="shared" si="1"/>
        <v>143525.89759199074</v>
      </c>
      <c r="F17" s="21">
        <f t="shared" si="2"/>
        <v>7.35</v>
      </c>
    </row>
    <row r="18" spans="1:6" ht="14.25" customHeight="1" x14ac:dyDescent="0.2">
      <c r="A18" s="19">
        <v>14</v>
      </c>
      <c r="B18" s="181" t="s">
        <v>464</v>
      </c>
      <c r="C18" s="182"/>
      <c r="D18" s="14">
        <f t="shared" si="0"/>
        <v>64009</v>
      </c>
      <c r="E18" s="17">
        <f t="shared" si="1"/>
        <v>680795.15584173589</v>
      </c>
      <c r="F18" s="21">
        <f t="shared" si="2"/>
        <v>10.64</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138776</v>
      </c>
      <c r="E20" s="17">
        <f t="shared" si="1"/>
        <v>997168.17444566754</v>
      </c>
      <c r="F20" s="21">
        <f t="shared" si="2"/>
        <v>7.19</v>
      </c>
    </row>
    <row r="21" spans="1:6" x14ac:dyDescent="0.2">
      <c r="A21" s="19">
        <v>17</v>
      </c>
      <c r="B21" s="181" t="s">
        <v>15</v>
      </c>
      <c r="C21" s="182"/>
      <c r="D21" s="14">
        <f t="shared" si="0"/>
        <v>14384</v>
      </c>
      <c r="E21" s="17">
        <f t="shared" si="1"/>
        <v>219924.45677369635</v>
      </c>
      <c r="F21" s="21">
        <f t="shared" si="2"/>
        <v>15.29</v>
      </c>
    </row>
    <row r="22" spans="1:6" x14ac:dyDescent="0.2">
      <c r="A22" s="19">
        <v>18</v>
      </c>
      <c r="B22" s="181" t="s">
        <v>16</v>
      </c>
      <c r="C22" s="182"/>
      <c r="D22" s="14">
        <f t="shared" si="0"/>
        <v>34704</v>
      </c>
      <c r="E22" s="17">
        <f t="shared" si="1"/>
        <v>269650.45355077571</v>
      </c>
      <c r="F22" s="21">
        <f t="shared" si="2"/>
        <v>7.77</v>
      </c>
    </row>
    <row r="23" spans="1:6" x14ac:dyDescent="0.2">
      <c r="A23" s="19">
        <v>19</v>
      </c>
      <c r="B23" s="181" t="s">
        <v>17</v>
      </c>
      <c r="C23" s="182"/>
      <c r="D23" s="14">
        <f t="shared" si="0"/>
        <v>202764</v>
      </c>
      <c r="E23" s="17">
        <f t="shared" si="1"/>
        <v>1107493.3944147499</v>
      </c>
      <c r="F23" s="21">
        <f t="shared" si="2"/>
        <v>5.46</v>
      </c>
    </row>
    <row r="24" spans="1:6" x14ac:dyDescent="0.2">
      <c r="A24" s="19">
        <v>20</v>
      </c>
      <c r="B24" s="181" t="s">
        <v>18</v>
      </c>
      <c r="C24" s="182"/>
      <c r="D24" s="14">
        <f t="shared" si="0"/>
        <v>29632</v>
      </c>
      <c r="E24" s="17">
        <f t="shared" si="1"/>
        <v>141354.1323079929</v>
      </c>
      <c r="F24" s="21">
        <f t="shared" si="2"/>
        <v>4.7699999999999996</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75392</v>
      </c>
      <c r="E27" s="17">
        <f t="shared" si="1"/>
        <v>569393.01481385669</v>
      </c>
      <c r="F27" s="21">
        <f t="shared" si="2"/>
        <v>7.55</v>
      </c>
    </row>
    <row r="28" spans="1:6" x14ac:dyDescent="0.2">
      <c r="A28" s="19">
        <v>24</v>
      </c>
      <c r="B28" s="181" t="s">
        <v>21</v>
      </c>
      <c r="C28" s="182"/>
      <c r="D28" s="14">
        <f t="shared" si="0"/>
        <v>109036</v>
      </c>
      <c r="E28" s="17">
        <f t="shared" si="1"/>
        <v>665244.51479259972</v>
      </c>
      <c r="F28" s="21">
        <f t="shared" si="2"/>
        <v>6.1</v>
      </c>
    </row>
    <row r="29" spans="1:6" x14ac:dyDescent="0.2">
      <c r="A29" s="19">
        <v>25</v>
      </c>
      <c r="B29" s="181" t="s">
        <v>22</v>
      </c>
      <c r="C29" s="182"/>
      <c r="D29" s="14">
        <f t="shared" si="0"/>
        <v>273264</v>
      </c>
      <c r="E29" s="17">
        <f t="shared" si="1"/>
        <v>1605417.9668942823</v>
      </c>
      <c r="F29" s="21">
        <f t="shared" si="2"/>
        <v>5.87</v>
      </c>
    </row>
    <row r="30" spans="1:6" x14ac:dyDescent="0.2">
      <c r="A30" s="19">
        <v>26</v>
      </c>
      <c r="B30" s="181" t="s">
        <v>23</v>
      </c>
      <c r="C30" s="182"/>
      <c r="D30" s="14">
        <f t="shared" si="0"/>
        <v>94272</v>
      </c>
      <c r="E30" s="17">
        <f t="shared" si="1"/>
        <v>750124.98032326903</v>
      </c>
      <c r="F30" s="21">
        <f t="shared" si="2"/>
        <v>7.96</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2211038</v>
      </c>
      <c r="E33" s="31">
        <f>SUM(E5:E32)</f>
        <v>14499510</v>
      </c>
      <c r="F33" s="32">
        <f t="shared" si="2"/>
        <v>6.56</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IF(F3="1",SUMIF(Data!A:A,'2'!$A$2,Data!CU:CU),0)</f>
        <v>32496</v>
      </c>
      <c r="E36" s="15">
        <f>IF(F3="1",SUMIF(Data!$A:$A,$A$2,Data!IO:IO),0)</f>
        <v>11676</v>
      </c>
      <c r="F36" s="20">
        <f t="shared" ref="F36:F64" si="3">IF(OR(D36=0,E36=0),"",ROUND(E36/D36,2))</f>
        <v>0.36</v>
      </c>
    </row>
    <row r="37" spans="1:6" x14ac:dyDescent="0.2">
      <c r="A37" s="19">
        <v>2</v>
      </c>
      <c r="B37" s="181" t="s">
        <v>1</v>
      </c>
      <c r="C37" s="182"/>
      <c r="D37" s="14">
        <f>IF(F3="1",SUMIF(Data!A:A,'2'!$A$2,Data!CV:CV),0)</f>
        <v>68009</v>
      </c>
      <c r="E37" s="17">
        <f>IF(F3="1",SUMIF(Data!$A:$A,$A$2,Data!IP:IP),0)</f>
        <v>72858</v>
      </c>
      <c r="F37" s="21">
        <f t="shared" si="3"/>
        <v>1.07</v>
      </c>
    </row>
    <row r="38" spans="1:6" ht="14.25" customHeight="1" x14ac:dyDescent="0.2">
      <c r="A38" s="19">
        <v>3</v>
      </c>
      <c r="B38" s="181" t="s">
        <v>2</v>
      </c>
      <c r="C38" s="182"/>
      <c r="D38" s="14">
        <f>IF(F3="1",SUMIF(Data!A:A,'2'!$A$2,Data!CW:CW),0)</f>
        <v>184112</v>
      </c>
      <c r="E38" s="17">
        <f>IF($F$3="1",SUMIF(Data!$A:$A,$A$2,Data!IQ:IQ),0)</f>
        <v>102313</v>
      </c>
      <c r="F38" s="21">
        <f t="shared" si="3"/>
        <v>0.56000000000000005</v>
      </c>
    </row>
    <row r="39" spans="1:6" ht="14.25" customHeight="1" x14ac:dyDescent="0.2">
      <c r="A39" s="19">
        <v>4</v>
      </c>
      <c r="B39" s="181" t="s">
        <v>3</v>
      </c>
      <c r="C39" s="182"/>
      <c r="D39" s="14">
        <f>IF(F3="1",SUMIF(Data!A:A,'2'!$A$2,Data!CX:CX),0)</f>
        <v>246516</v>
      </c>
      <c r="E39" s="17">
        <f>IF($F$3="1",SUMIF(Data!$A:$A,$A$2,Data!IR:IR),0)</f>
        <v>139161</v>
      </c>
      <c r="F39" s="21">
        <f t="shared" si="3"/>
        <v>0.56000000000000005</v>
      </c>
    </row>
    <row r="40" spans="1:6" x14ac:dyDescent="0.2">
      <c r="A40" s="19">
        <v>5</v>
      </c>
      <c r="B40" s="181" t="s">
        <v>4</v>
      </c>
      <c r="C40" s="182"/>
      <c r="D40" s="14">
        <f>IF(F3="1",SUMIF(Data!A:A,'2'!$A$2,Data!CY:CY),0)</f>
        <v>0</v>
      </c>
      <c r="E40" s="17">
        <f>IF($F$3="1",SUMIF(Data!$A:$A,$A$2,Data!IS:IS),0)</f>
        <v>0</v>
      </c>
      <c r="F40" s="21" t="str">
        <f t="shared" si="3"/>
        <v/>
      </c>
    </row>
    <row r="41" spans="1:6" x14ac:dyDescent="0.2">
      <c r="A41" s="19">
        <v>6</v>
      </c>
      <c r="B41" s="181" t="s">
        <v>5</v>
      </c>
      <c r="C41" s="182"/>
      <c r="D41" s="14">
        <f>IF(F3="1",SUMIF(Data!A:A,'2'!$A$2,Data!CZ:CZ),0)</f>
        <v>60992</v>
      </c>
      <c r="E41" s="17">
        <f>IF($F$3="1",SUMIF(Data!$A:$A,$A$2,Data!IT:IT),0)</f>
        <v>56883</v>
      </c>
      <c r="F41" s="21">
        <f t="shared" si="3"/>
        <v>0.93</v>
      </c>
    </row>
    <row r="42" spans="1:6" x14ac:dyDescent="0.2">
      <c r="A42" s="19">
        <v>7</v>
      </c>
      <c r="B42" s="181" t="s">
        <v>6</v>
      </c>
      <c r="C42" s="182"/>
      <c r="D42" s="14">
        <f>IF(F3="1",SUMIF(Data!A:A,'2'!$A$2,Data!DA:DA),0)</f>
        <v>235369</v>
      </c>
      <c r="E42" s="17">
        <f>IF($F$3="1",SUMIF(Data!$A:$A,$A$2,Data!IU:IU),0)</f>
        <v>188021</v>
      </c>
      <c r="F42" s="21">
        <f t="shared" si="3"/>
        <v>0.8</v>
      </c>
    </row>
    <row r="43" spans="1:6" x14ac:dyDescent="0.2">
      <c r="A43" s="19">
        <v>8</v>
      </c>
      <c r="B43" s="181" t="s">
        <v>7</v>
      </c>
      <c r="C43" s="182"/>
      <c r="D43" s="14">
        <f>IF(F3="1",SUMIF(Data!A:A,'2'!$A$2,Data!DB:DB),0)</f>
        <v>0</v>
      </c>
      <c r="E43" s="17">
        <f>IF($F$3="1",SUMIF(Data!$A:$A,$A$2,Data!IV:IV),0)</f>
        <v>0</v>
      </c>
      <c r="F43" s="21" t="str">
        <f t="shared" si="3"/>
        <v/>
      </c>
    </row>
    <row r="44" spans="1:6" x14ac:dyDescent="0.2">
      <c r="A44" s="19">
        <v>9</v>
      </c>
      <c r="B44" s="181" t="s">
        <v>8</v>
      </c>
      <c r="C44" s="182"/>
      <c r="D44" s="14">
        <f>IF(F3="1",SUMIF(Data!A:A,'2'!$A$2,Data!DC:DC),0)</f>
        <v>38053</v>
      </c>
      <c r="E44" s="17">
        <f>IF($F$3="1",SUMIF(Data!$A:$A,$A$2,Data!IW:IW),0)</f>
        <v>39760</v>
      </c>
      <c r="F44" s="21">
        <f t="shared" si="3"/>
        <v>1.04</v>
      </c>
    </row>
    <row r="45" spans="1:6" x14ac:dyDescent="0.2">
      <c r="A45" s="19">
        <v>10</v>
      </c>
      <c r="B45" s="181" t="s">
        <v>9</v>
      </c>
      <c r="C45" s="182"/>
      <c r="D45" s="14">
        <f>IF(F3="1",SUMIF(Data!A:A,'2'!$A$2,Data!DD:DD),0)</f>
        <v>0</v>
      </c>
      <c r="E45" s="17">
        <f>IF($F$3="1",SUMIF(Data!$A:$A,$A$2,Data!IX:IX),0)</f>
        <v>0</v>
      </c>
      <c r="F45" s="21" t="str">
        <f t="shared" si="3"/>
        <v/>
      </c>
    </row>
    <row r="46" spans="1:6" x14ac:dyDescent="0.2">
      <c r="A46" s="19">
        <v>11</v>
      </c>
      <c r="B46" s="181" t="s">
        <v>10</v>
      </c>
      <c r="C46" s="182"/>
      <c r="D46" s="14">
        <f>IF(F3="1",SUMIF(Data!A:A,'2'!$A$2,Data!DE:DE),0)</f>
        <v>44112</v>
      </c>
      <c r="E46" s="17">
        <f>IF($F$3="1",SUMIF(Data!$A:$A,$A$2,Data!IY:IY),0)</f>
        <v>32618</v>
      </c>
      <c r="F46" s="21">
        <f t="shared" si="3"/>
        <v>0.74</v>
      </c>
    </row>
    <row r="47" spans="1:6" ht="14.25" customHeight="1" x14ac:dyDescent="0.2">
      <c r="A47" s="19">
        <v>12</v>
      </c>
      <c r="B47" s="181" t="s">
        <v>11</v>
      </c>
      <c r="C47" s="182"/>
      <c r="D47" s="14">
        <f>IF(F3="1",SUMIF(Data!A:A,'2'!$A$2,Data!DF:DF),0)</f>
        <v>245620</v>
      </c>
      <c r="E47" s="17">
        <f>IF($F$3="1",SUMIF(Data!$A:$A,$A$2,Data!IZ:IZ),0)</f>
        <v>132827</v>
      </c>
      <c r="F47" s="21">
        <f t="shared" si="3"/>
        <v>0.54</v>
      </c>
    </row>
    <row r="48" spans="1:6" x14ac:dyDescent="0.2">
      <c r="A48" s="19">
        <v>13</v>
      </c>
      <c r="B48" s="181" t="s">
        <v>12</v>
      </c>
      <c r="C48" s="182"/>
      <c r="D48" s="14">
        <f>IF(F3="1",SUMIF(Data!A:A,'2'!$A$2,Data!DG:DG),0)</f>
        <v>19526</v>
      </c>
      <c r="E48" s="17">
        <f>IF($F$3="1",SUMIF(Data!$A:$A,$A$2,Data!JA:JA),0)</f>
        <v>10526</v>
      </c>
      <c r="F48" s="21">
        <f t="shared" si="3"/>
        <v>0.54</v>
      </c>
    </row>
    <row r="49" spans="1:6" ht="14.25" customHeight="1" x14ac:dyDescent="0.2">
      <c r="A49" s="19">
        <v>14</v>
      </c>
      <c r="B49" s="181" t="s">
        <v>464</v>
      </c>
      <c r="C49" s="182"/>
      <c r="D49" s="14">
        <f>IF(F3="1",SUMIF(Data!A:A,'2'!$A$2,Data!DH:DH),0)</f>
        <v>64009</v>
      </c>
      <c r="E49" s="17">
        <f>IF($F$3="1",SUMIF(Data!$A:$A,$A$2,Data!JB:JB),0)</f>
        <v>135843</v>
      </c>
      <c r="F49" s="21">
        <f t="shared" si="3"/>
        <v>2.12</v>
      </c>
    </row>
    <row r="50" spans="1:6" x14ac:dyDescent="0.2">
      <c r="A50" s="19">
        <v>15</v>
      </c>
      <c r="B50" s="181" t="s">
        <v>13</v>
      </c>
      <c r="C50" s="182"/>
      <c r="D50" s="14">
        <f>IF(F3="1",SUMIF(Data!A:A,'2'!$A$2,Data!DI:DI),0)</f>
        <v>0</v>
      </c>
      <c r="E50" s="17">
        <f>IF($F$3="1",SUMIF(Data!$A:$A,$A$2,Data!JC:JC),0)</f>
        <v>0</v>
      </c>
      <c r="F50" s="21" t="str">
        <f t="shared" si="3"/>
        <v/>
      </c>
    </row>
    <row r="51" spans="1:6" x14ac:dyDescent="0.2">
      <c r="A51" s="19">
        <v>16</v>
      </c>
      <c r="B51" s="181" t="s">
        <v>14</v>
      </c>
      <c r="C51" s="182"/>
      <c r="D51" s="14">
        <f>IF(F3="1",SUMIF(Data!A:A,'2'!$A$2,Data!DJ:DJ),0)</f>
        <v>138776</v>
      </c>
      <c r="E51" s="17">
        <f>IF($F$3="1",SUMIF(Data!$A:$A,$A$2,Data!JD:JD),0)</f>
        <v>98253</v>
      </c>
      <c r="F51" s="21">
        <f t="shared" si="3"/>
        <v>0.71</v>
      </c>
    </row>
    <row r="52" spans="1:6" x14ac:dyDescent="0.2">
      <c r="A52" s="19">
        <v>17</v>
      </c>
      <c r="B52" s="181" t="s">
        <v>15</v>
      </c>
      <c r="C52" s="182"/>
      <c r="D52" s="14">
        <f>IF(F3="1",SUMIF(Data!A:A,'2'!$A$2,Data!DK:DK),0)</f>
        <v>14384</v>
      </c>
      <c r="E52" s="17">
        <f>IF($F$3="1",SUMIF(Data!$A:$A,$A$2,Data!JE:JE),0)</f>
        <v>18653</v>
      </c>
      <c r="F52" s="21">
        <f t="shared" si="3"/>
        <v>1.3</v>
      </c>
    </row>
    <row r="53" spans="1:6" x14ac:dyDescent="0.2">
      <c r="A53" s="19">
        <v>18</v>
      </c>
      <c r="B53" s="181" t="s">
        <v>16</v>
      </c>
      <c r="C53" s="182"/>
      <c r="D53" s="14">
        <f>IF(F3="1",SUMIF(Data!A:A,'2'!$A$2,Data!DL:DL),0)</f>
        <v>34704</v>
      </c>
      <c r="E53" s="17">
        <f>IF($F$3="1",SUMIF(Data!$A:$A,$A$2,Data!JF:JF),0)</f>
        <v>20552</v>
      </c>
      <c r="F53" s="21">
        <f t="shared" si="3"/>
        <v>0.59</v>
      </c>
    </row>
    <row r="54" spans="1:6" x14ac:dyDescent="0.2">
      <c r="A54" s="19">
        <v>19</v>
      </c>
      <c r="B54" s="181" t="s">
        <v>17</v>
      </c>
      <c r="C54" s="182"/>
      <c r="D54" s="14">
        <f>IF(F3="1",SUMIF(Data!A:A,'2'!$A$2,Data!DM:DM),0)</f>
        <v>202764</v>
      </c>
      <c r="E54" s="17">
        <f>IF($F$3="1",SUMIF(Data!$A:$A,$A$2,Data!JG:JG),0)</f>
        <v>76822</v>
      </c>
      <c r="F54" s="21">
        <f t="shared" si="3"/>
        <v>0.38</v>
      </c>
    </row>
    <row r="55" spans="1:6" x14ac:dyDescent="0.2">
      <c r="A55" s="19">
        <v>20</v>
      </c>
      <c r="B55" s="181" t="s">
        <v>18</v>
      </c>
      <c r="C55" s="182"/>
      <c r="D55" s="14">
        <f>IF(F3="1",SUMIF(Data!A:A,'2'!$A$2,Data!DN:DN),0)</f>
        <v>29632</v>
      </c>
      <c r="E55" s="17">
        <f>IF($F$3="1",SUMIF(Data!$A:$A,$A$2,Data!JH:JH),0)</f>
        <v>10504</v>
      </c>
      <c r="F55" s="21">
        <f t="shared" si="3"/>
        <v>0.35</v>
      </c>
    </row>
    <row r="56" spans="1:6" ht="14.25" customHeight="1" x14ac:dyDescent="0.2">
      <c r="A56" s="19">
        <v>21</v>
      </c>
      <c r="B56" s="181" t="s">
        <v>461</v>
      </c>
      <c r="C56" s="182"/>
      <c r="D56" s="14">
        <f>IF(F3="1",SUMIF(Data!A:A,'2'!$A$2,Data!DO:DO),0)</f>
        <v>0</v>
      </c>
      <c r="E56" s="17">
        <f>IF($F$3="1",SUMIF(Data!$A:$A,$A$2,Data!JI:JI),0)</f>
        <v>0</v>
      </c>
      <c r="F56" s="21" t="str">
        <f t="shared" si="3"/>
        <v/>
      </c>
    </row>
    <row r="57" spans="1:6" x14ac:dyDescent="0.2">
      <c r="A57" s="19">
        <v>22</v>
      </c>
      <c r="B57" s="181" t="s">
        <v>19</v>
      </c>
      <c r="C57" s="182"/>
      <c r="D57" s="14">
        <f>IF(F3="1",SUMIF(Data!A:A,'2'!$A$2,Data!DP:DP),0)</f>
        <v>0</v>
      </c>
      <c r="E57" s="17">
        <f>IF($F$3="1",SUMIF(Data!$A:$A,$A$2,Data!JJ:JJ),0)</f>
        <v>0</v>
      </c>
      <c r="F57" s="21" t="str">
        <f t="shared" si="3"/>
        <v/>
      </c>
    </row>
    <row r="58" spans="1:6" x14ac:dyDescent="0.2">
      <c r="A58" s="19">
        <v>23</v>
      </c>
      <c r="B58" s="181" t="s">
        <v>20</v>
      </c>
      <c r="C58" s="182"/>
      <c r="D58" s="14">
        <f>IF(F3="1",SUMIF(Data!A:A,'2'!$A$2,Data!DQ:DQ),0)</f>
        <v>75392</v>
      </c>
      <c r="E58" s="17">
        <f>IF($F$3="1",SUMIF(Data!$A:$A,$A$2,Data!JK:JK),0)</f>
        <v>50278</v>
      </c>
      <c r="F58" s="21">
        <f t="shared" si="3"/>
        <v>0.67</v>
      </c>
    </row>
    <row r="59" spans="1:6" x14ac:dyDescent="0.2">
      <c r="A59" s="19">
        <v>24</v>
      </c>
      <c r="B59" s="181" t="s">
        <v>21</v>
      </c>
      <c r="C59" s="182"/>
      <c r="D59" s="14">
        <f>IF(F3="1",SUMIF(Data!A:A,'2'!$A$2,Data!DR:DR),0)</f>
        <v>109036</v>
      </c>
      <c r="E59" s="17">
        <f>IF($F$3="1",SUMIF(Data!$A:$A,$A$2,Data!JL:JL),0)</f>
        <v>80297</v>
      </c>
      <c r="F59" s="21">
        <f t="shared" si="3"/>
        <v>0.74</v>
      </c>
    </row>
    <row r="60" spans="1:6" x14ac:dyDescent="0.2">
      <c r="A60" s="19">
        <v>25</v>
      </c>
      <c r="B60" s="181" t="s">
        <v>22</v>
      </c>
      <c r="C60" s="182"/>
      <c r="D60" s="14">
        <f>IF(F3="1",SUMIF(Data!A:A,'2'!$A$2,Data!DS:DS),0)</f>
        <v>273264</v>
      </c>
      <c r="E60" s="17">
        <f>IF($F$3="1",SUMIF(Data!$A:$A,$A$2,Data!JM:JM),0)</f>
        <v>112108</v>
      </c>
      <c r="F60" s="21">
        <f t="shared" si="3"/>
        <v>0.41</v>
      </c>
    </row>
    <row r="61" spans="1:6" x14ac:dyDescent="0.2">
      <c r="A61" s="19">
        <v>26</v>
      </c>
      <c r="B61" s="181" t="s">
        <v>23</v>
      </c>
      <c r="C61" s="182"/>
      <c r="D61" s="14">
        <f>IF(F3="1",SUMIF(Data!A:A,'2'!$A$2,Data!DT:DT),0)</f>
        <v>94272</v>
      </c>
      <c r="E61" s="17">
        <f>IF($F$3="1",SUMIF(Data!$A:$A,$A$2,Data!JN:JN),0)</f>
        <v>125090</v>
      </c>
      <c r="F61" s="21">
        <f t="shared" si="3"/>
        <v>1.33</v>
      </c>
    </row>
    <row r="62" spans="1:6" x14ac:dyDescent="0.2">
      <c r="A62" s="19">
        <v>28</v>
      </c>
      <c r="B62" s="181" t="s">
        <v>24</v>
      </c>
      <c r="C62" s="182"/>
      <c r="D62" s="14">
        <f>IF(F3="1",SUMIF(Data!A:A,'2'!$A$2,Data!DV:DV),0)</f>
        <v>0</v>
      </c>
      <c r="E62" s="17">
        <f>IF($F$3="1",SUMIF(Data!$A:$A,$A$2,Data!JP:JP),0)</f>
        <v>0</v>
      </c>
      <c r="F62" s="21" t="str">
        <f t="shared" si="3"/>
        <v/>
      </c>
    </row>
    <row r="63" spans="1:6" ht="15.75" customHeight="1" thickBot="1" x14ac:dyDescent="0.25">
      <c r="A63" s="22">
        <v>29</v>
      </c>
      <c r="B63" s="183" t="s">
        <v>25</v>
      </c>
      <c r="C63" s="184"/>
      <c r="D63" s="23">
        <f>IF(F3="1",SUMIF(Data!A:A,'2'!$A$2,Data!DW:DW),0)</f>
        <v>0</v>
      </c>
      <c r="E63" s="24">
        <f>IF($F$3="1",SUMIF(Data!$A:$A,$A$2,Data!JQ:JQ),0)</f>
        <v>0</v>
      </c>
      <c r="F63" s="25" t="str">
        <f t="shared" si="3"/>
        <v/>
      </c>
    </row>
    <row r="64" spans="1:6" x14ac:dyDescent="0.2">
      <c r="B64" s="30" t="s">
        <v>35</v>
      </c>
      <c r="C64" s="30"/>
      <c r="D64" s="59">
        <f>SUM(D36:D63)</f>
        <v>2211038</v>
      </c>
      <c r="E64" s="31">
        <f>SUM(E36:E63)</f>
        <v>1515043</v>
      </c>
      <c r="F64" s="32">
        <f t="shared" si="3"/>
        <v>0.69</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32496</v>
      </c>
      <c r="E67" s="15">
        <f>IF(F3="1",SUMIF(Data!A:A,'2'!$A$2,Data!DY:DY),0)</f>
        <v>47514</v>
      </c>
      <c r="F67" s="20">
        <f t="shared" ref="F67:F95" si="4">IF(OR(D67=0,E67=0),"",ROUND(E67/D67,2))</f>
        <v>1.46</v>
      </c>
    </row>
    <row r="68" spans="1:6" x14ac:dyDescent="0.2">
      <c r="A68" s="19">
        <v>2</v>
      </c>
      <c r="B68" s="181" t="s">
        <v>1</v>
      </c>
      <c r="C68" s="182"/>
      <c r="D68" s="14">
        <f t="shared" ref="D68:D94" si="5">D37</f>
        <v>68009</v>
      </c>
      <c r="E68" s="17">
        <f>IF(F3="1",SUMIF(Data!A:A,'2'!$A$2,Data!DZ:DZ),0)</f>
        <v>246501</v>
      </c>
      <c r="F68" s="21">
        <f t="shared" si="4"/>
        <v>3.62</v>
      </c>
    </row>
    <row r="69" spans="1:6" ht="14.25" customHeight="1" x14ac:dyDescent="0.2">
      <c r="A69" s="19">
        <v>3</v>
      </c>
      <c r="B69" s="181" t="s">
        <v>2</v>
      </c>
      <c r="C69" s="182"/>
      <c r="D69" s="14">
        <f t="shared" si="5"/>
        <v>184112</v>
      </c>
      <c r="E69" s="17">
        <f>IF(F3="1",SUMIF(Data!A:A,'2'!$A$2,Data!EA:EA),0)</f>
        <v>606543</v>
      </c>
      <c r="F69" s="21">
        <f t="shared" si="4"/>
        <v>3.29</v>
      </c>
    </row>
    <row r="70" spans="1:6" ht="14.25" customHeight="1" x14ac:dyDescent="0.2">
      <c r="A70" s="19">
        <v>4</v>
      </c>
      <c r="B70" s="181" t="s">
        <v>3</v>
      </c>
      <c r="C70" s="182"/>
      <c r="D70" s="14">
        <f t="shared" si="5"/>
        <v>246516</v>
      </c>
      <c r="E70" s="17">
        <f>IF(F3="1",SUMIF(Data!A:A,'2'!$A$2,Data!EB:EB),0)</f>
        <v>837126</v>
      </c>
      <c r="F70" s="21">
        <f t="shared" si="4"/>
        <v>3.4</v>
      </c>
    </row>
    <row r="71" spans="1:6" x14ac:dyDescent="0.2">
      <c r="A71" s="19">
        <v>5</v>
      </c>
      <c r="B71" s="181" t="s">
        <v>4</v>
      </c>
      <c r="C71" s="182"/>
      <c r="D71" s="14">
        <f t="shared" si="5"/>
        <v>0</v>
      </c>
      <c r="E71" s="17">
        <f>IF(F3="1",SUMIF(Data!A:A,'2'!$A$2,Data!EC:EC),0)</f>
        <v>0</v>
      </c>
      <c r="F71" s="21" t="str">
        <f t="shared" si="4"/>
        <v/>
      </c>
    </row>
    <row r="72" spans="1:6" x14ac:dyDescent="0.2">
      <c r="A72" s="19">
        <v>6</v>
      </c>
      <c r="B72" s="181" t="s">
        <v>5</v>
      </c>
      <c r="C72" s="182"/>
      <c r="D72" s="14">
        <f t="shared" si="5"/>
        <v>60992</v>
      </c>
      <c r="E72" s="17">
        <f>IF(F3="1",SUMIF(Data!A:A,'2'!$A$2,Data!ED:ED),0)</f>
        <v>148623</v>
      </c>
      <c r="F72" s="21">
        <f t="shared" si="4"/>
        <v>2.44</v>
      </c>
    </row>
    <row r="73" spans="1:6" x14ac:dyDescent="0.2">
      <c r="A73" s="19">
        <v>7</v>
      </c>
      <c r="B73" s="181" t="s">
        <v>6</v>
      </c>
      <c r="C73" s="182"/>
      <c r="D73" s="14">
        <f t="shared" si="5"/>
        <v>235369</v>
      </c>
      <c r="E73" s="17">
        <f>IF(F3="1",SUMIF(Data!A:A,'2'!$A$2,Data!EE:EE),0)</f>
        <v>641694</v>
      </c>
      <c r="F73" s="21">
        <f t="shared" si="4"/>
        <v>2.73</v>
      </c>
    </row>
    <row r="74" spans="1:6" x14ac:dyDescent="0.2">
      <c r="A74" s="19">
        <v>8</v>
      </c>
      <c r="B74" s="181" t="s">
        <v>7</v>
      </c>
      <c r="C74" s="182"/>
      <c r="D74" s="14">
        <f t="shared" si="5"/>
        <v>0</v>
      </c>
      <c r="E74" s="17">
        <f>IF(F3="1",SUMIF(Data!A:A,'2'!$A$2,Data!EF:EF),0)</f>
        <v>0</v>
      </c>
      <c r="F74" s="21" t="str">
        <f t="shared" si="4"/>
        <v/>
      </c>
    </row>
    <row r="75" spans="1:6" x14ac:dyDescent="0.2">
      <c r="A75" s="19">
        <v>9</v>
      </c>
      <c r="B75" s="181" t="s">
        <v>8</v>
      </c>
      <c r="C75" s="182"/>
      <c r="D75" s="14">
        <f t="shared" si="5"/>
        <v>38053</v>
      </c>
      <c r="E75" s="17">
        <f>IF(F3="1",SUMIF(Data!A:A,'2'!$A$2,Data!EG:EG),0)</f>
        <v>113124</v>
      </c>
      <c r="F75" s="21">
        <f t="shared" si="4"/>
        <v>2.97</v>
      </c>
    </row>
    <row r="76" spans="1:6" x14ac:dyDescent="0.2">
      <c r="A76" s="19">
        <v>10</v>
      </c>
      <c r="B76" s="181" t="s">
        <v>9</v>
      </c>
      <c r="C76" s="182"/>
      <c r="D76" s="14">
        <f t="shared" si="5"/>
        <v>0</v>
      </c>
      <c r="E76" s="17">
        <f>IF(F3="1",SUMIF(Data!A:A,'2'!$A$2,Data!EH:EH),0)</f>
        <v>0</v>
      </c>
      <c r="F76" s="21" t="str">
        <f t="shared" si="4"/>
        <v/>
      </c>
    </row>
    <row r="77" spans="1:6" x14ac:dyDescent="0.2">
      <c r="A77" s="19">
        <v>11</v>
      </c>
      <c r="B77" s="181" t="s">
        <v>10</v>
      </c>
      <c r="C77" s="182"/>
      <c r="D77" s="14">
        <f t="shared" si="5"/>
        <v>44112</v>
      </c>
      <c r="E77" s="17">
        <f>IF(F3="1",SUMIF(Data!A:A,'2'!$A$2,Data!EI:EI),0)</f>
        <v>46328</v>
      </c>
      <c r="F77" s="21">
        <f t="shared" si="4"/>
        <v>1.05</v>
      </c>
    </row>
    <row r="78" spans="1:6" ht="14.25" customHeight="1" x14ac:dyDescent="0.2">
      <c r="A78" s="19">
        <v>12</v>
      </c>
      <c r="B78" s="181" t="s">
        <v>11</v>
      </c>
      <c r="C78" s="182"/>
      <c r="D78" s="14">
        <f t="shared" si="5"/>
        <v>245620</v>
      </c>
      <c r="E78" s="17">
        <f>IF(F3="1",SUMIF(Data!A:A,'2'!$A$2,Data!EJ:EJ),0)</f>
        <v>863645</v>
      </c>
      <c r="F78" s="21">
        <f t="shared" si="4"/>
        <v>3.52</v>
      </c>
    </row>
    <row r="79" spans="1:6" x14ac:dyDescent="0.2">
      <c r="A79" s="19">
        <v>13</v>
      </c>
      <c r="B79" s="181" t="s">
        <v>12</v>
      </c>
      <c r="C79" s="182"/>
      <c r="D79" s="14">
        <f t="shared" si="5"/>
        <v>19526</v>
      </c>
      <c r="E79" s="17">
        <f>IF(F3="1",SUMIF(Data!A:A,'2'!$A$2,Data!EK:EK),0)</f>
        <v>81920</v>
      </c>
      <c r="F79" s="21">
        <f t="shared" si="4"/>
        <v>4.2</v>
      </c>
    </row>
    <row r="80" spans="1:6" ht="14.25" customHeight="1" x14ac:dyDescent="0.2">
      <c r="A80" s="19">
        <v>14</v>
      </c>
      <c r="B80" s="181" t="s">
        <v>464</v>
      </c>
      <c r="C80" s="182"/>
      <c r="D80" s="14">
        <f t="shared" si="5"/>
        <v>64009</v>
      </c>
      <c r="E80" s="17">
        <f>IF(F3="1",SUMIF(Data!A:A,'2'!$A$2,Data!EL:EL),0)</f>
        <v>377505</v>
      </c>
      <c r="F80" s="21">
        <f t="shared" si="4"/>
        <v>5.9</v>
      </c>
    </row>
    <row r="81" spans="1:6" x14ac:dyDescent="0.2">
      <c r="A81" s="19">
        <v>15</v>
      </c>
      <c r="B81" s="181" t="s">
        <v>13</v>
      </c>
      <c r="C81" s="182"/>
      <c r="D81" s="14">
        <f t="shared" si="5"/>
        <v>0</v>
      </c>
      <c r="E81" s="17">
        <f>IF(F3="1",SUMIF(Data!A:A,'2'!$A$2,Data!EM:EM),0)</f>
        <v>0</v>
      </c>
      <c r="F81" s="21" t="str">
        <f t="shared" si="4"/>
        <v/>
      </c>
    </row>
    <row r="82" spans="1:6" x14ac:dyDescent="0.2">
      <c r="A82" s="19">
        <v>16</v>
      </c>
      <c r="B82" s="181" t="s">
        <v>14</v>
      </c>
      <c r="C82" s="182"/>
      <c r="D82" s="14">
        <f t="shared" si="5"/>
        <v>138776</v>
      </c>
      <c r="E82" s="17">
        <f>IF(F3="1",SUMIF(Data!A:A,'2'!$A$2,Data!EN:EN),0)</f>
        <v>535878</v>
      </c>
      <c r="F82" s="21">
        <f t="shared" si="4"/>
        <v>3.86</v>
      </c>
    </row>
    <row r="83" spans="1:6" x14ac:dyDescent="0.2">
      <c r="A83" s="19">
        <v>17</v>
      </c>
      <c r="B83" s="181" t="s">
        <v>15</v>
      </c>
      <c r="C83" s="182"/>
      <c r="D83" s="14">
        <f t="shared" si="5"/>
        <v>14384</v>
      </c>
      <c r="E83" s="17">
        <f>IF(F3="1",SUMIF(Data!A:A,'2'!$A$2,Data!EO:EO),0)</f>
        <v>163643</v>
      </c>
      <c r="F83" s="21">
        <f t="shared" si="4"/>
        <v>11.38</v>
      </c>
    </row>
    <row r="84" spans="1:6" x14ac:dyDescent="0.2">
      <c r="A84" s="19">
        <v>18</v>
      </c>
      <c r="B84" s="181" t="s">
        <v>16</v>
      </c>
      <c r="C84" s="182"/>
      <c r="D84" s="14">
        <f t="shared" si="5"/>
        <v>34704</v>
      </c>
      <c r="E84" s="17">
        <f>IF(F3="1",SUMIF(Data!A:A,'2'!$A$2,Data!EP:EP),0)</f>
        <v>158313</v>
      </c>
      <c r="F84" s="21">
        <f t="shared" si="4"/>
        <v>4.5599999999999996</v>
      </c>
    </row>
    <row r="85" spans="1:6" x14ac:dyDescent="0.2">
      <c r="A85" s="19">
        <v>19</v>
      </c>
      <c r="B85" s="181" t="s">
        <v>17</v>
      </c>
      <c r="C85" s="182"/>
      <c r="D85" s="14">
        <f t="shared" si="5"/>
        <v>202764</v>
      </c>
      <c r="E85" s="17">
        <f>IF(F3="1",SUMIF(Data!A:A,'2'!$A$2,Data!EQ:EQ),0)</f>
        <v>500242</v>
      </c>
      <c r="F85" s="21">
        <f t="shared" si="4"/>
        <v>2.4700000000000002</v>
      </c>
    </row>
    <row r="86" spans="1:6" x14ac:dyDescent="0.2">
      <c r="A86" s="19">
        <v>20</v>
      </c>
      <c r="B86" s="181" t="s">
        <v>18</v>
      </c>
      <c r="C86" s="182"/>
      <c r="D86" s="14">
        <f t="shared" si="5"/>
        <v>29632</v>
      </c>
      <c r="E86" s="17">
        <f>IF(F3="1",SUMIF(Data!A:A,'2'!$A$2,Data!ER:ER),0)</f>
        <v>53333</v>
      </c>
      <c r="F86" s="21">
        <f t="shared" si="4"/>
        <v>1.8</v>
      </c>
    </row>
    <row r="87" spans="1:6" ht="14.25" customHeight="1" x14ac:dyDescent="0.2">
      <c r="A87" s="19">
        <v>21</v>
      </c>
      <c r="B87" s="181" t="s">
        <v>461</v>
      </c>
      <c r="C87" s="182"/>
      <c r="D87" s="14">
        <f t="shared" si="5"/>
        <v>0</v>
      </c>
      <c r="E87" s="17">
        <f>IF(F3="1",SUMIF(Data!A:A,'2'!$A$2,Data!ES:ES),0)</f>
        <v>0</v>
      </c>
      <c r="F87" s="21" t="str">
        <f t="shared" si="4"/>
        <v/>
      </c>
    </row>
    <row r="88" spans="1:6" x14ac:dyDescent="0.2">
      <c r="A88" s="19">
        <v>22</v>
      </c>
      <c r="B88" s="181" t="s">
        <v>19</v>
      </c>
      <c r="C88" s="182"/>
      <c r="D88" s="14">
        <f t="shared" si="5"/>
        <v>0</v>
      </c>
      <c r="E88" s="17">
        <f>IF(F3="1",SUMIF(Data!A:A,'2'!$A$2,Data!ET:ET),0)</f>
        <v>0</v>
      </c>
      <c r="F88" s="21" t="str">
        <f t="shared" si="4"/>
        <v/>
      </c>
    </row>
    <row r="89" spans="1:6" x14ac:dyDescent="0.2">
      <c r="A89" s="19">
        <v>23</v>
      </c>
      <c r="B89" s="181" t="s">
        <v>20</v>
      </c>
      <c r="C89" s="182"/>
      <c r="D89" s="14">
        <f t="shared" si="5"/>
        <v>75392</v>
      </c>
      <c r="E89" s="17">
        <f>IF(F3="1",SUMIF(Data!A:A,'2'!$A$2,Data!EU:EU),0)</f>
        <v>321890</v>
      </c>
      <c r="F89" s="21">
        <f t="shared" si="4"/>
        <v>4.2699999999999996</v>
      </c>
    </row>
    <row r="90" spans="1:6" x14ac:dyDescent="0.2">
      <c r="A90" s="19">
        <v>24</v>
      </c>
      <c r="B90" s="181" t="s">
        <v>21</v>
      </c>
      <c r="C90" s="182"/>
      <c r="D90" s="14">
        <f t="shared" si="5"/>
        <v>109036</v>
      </c>
      <c r="E90" s="17">
        <f>IF(F3="1",SUMIF(Data!A:A,'2'!$A$2,Data!EV:EV),0)</f>
        <v>299710</v>
      </c>
      <c r="F90" s="21">
        <f t="shared" si="4"/>
        <v>2.75</v>
      </c>
    </row>
    <row r="91" spans="1:6" x14ac:dyDescent="0.2">
      <c r="A91" s="19">
        <v>25</v>
      </c>
      <c r="B91" s="181" t="s">
        <v>22</v>
      </c>
      <c r="C91" s="182"/>
      <c r="D91" s="14">
        <f t="shared" si="5"/>
        <v>273264</v>
      </c>
      <c r="E91" s="17">
        <f>IF(F3="1",SUMIF(Data!A:A,'2'!$A$2,Data!EW:EW),0)</f>
        <v>778453</v>
      </c>
      <c r="F91" s="21">
        <f t="shared" si="4"/>
        <v>2.85</v>
      </c>
    </row>
    <row r="92" spans="1:6" x14ac:dyDescent="0.2">
      <c r="A92" s="19">
        <v>26</v>
      </c>
      <c r="B92" s="181" t="s">
        <v>23</v>
      </c>
      <c r="C92" s="182"/>
      <c r="D92" s="14">
        <f t="shared" si="5"/>
        <v>94272</v>
      </c>
      <c r="E92" s="17">
        <f>IF(F3="1",SUMIF(Data!A:A,'2'!$A$2,Data!EX:EX),0)</f>
        <v>378420</v>
      </c>
      <c r="F92" s="21">
        <f t="shared" si="4"/>
        <v>4.01</v>
      </c>
    </row>
    <row r="93" spans="1:6" x14ac:dyDescent="0.2">
      <c r="A93" s="19">
        <v>28</v>
      </c>
      <c r="B93" s="181" t="s">
        <v>24</v>
      </c>
      <c r="C93" s="182"/>
      <c r="D93" s="14">
        <f t="shared" si="5"/>
        <v>0</v>
      </c>
      <c r="E93" s="17">
        <f>IF(F3="1",SUMIF(Data!A:A,'2'!$A$2,Data!EZ:EZ),0)</f>
        <v>0</v>
      </c>
      <c r="F93" s="21" t="str">
        <f t="shared" si="4"/>
        <v/>
      </c>
    </row>
    <row r="94" spans="1:6" ht="15.75" customHeight="1" thickBot="1" x14ac:dyDescent="0.25">
      <c r="A94" s="22">
        <v>29</v>
      </c>
      <c r="B94" s="183" t="s">
        <v>25</v>
      </c>
      <c r="C94" s="184"/>
      <c r="D94" s="23">
        <f t="shared" si="5"/>
        <v>0</v>
      </c>
      <c r="E94" s="24">
        <f>IF(F3="1",SUMIF(Data!A:A,'2'!$A$2,Data!FA:FA),0)</f>
        <v>0</v>
      </c>
      <c r="F94" s="25" t="str">
        <f t="shared" si="4"/>
        <v/>
      </c>
    </row>
    <row r="95" spans="1:6" x14ac:dyDescent="0.2">
      <c r="B95" s="30" t="s">
        <v>35</v>
      </c>
      <c r="C95" s="30"/>
      <c r="D95" s="59">
        <f>SUM(D67:D94)</f>
        <v>2211038</v>
      </c>
      <c r="E95" s="31">
        <f>SUM(E67:E94)</f>
        <v>7200405</v>
      </c>
      <c r="F95" s="32">
        <f t="shared" si="4"/>
        <v>3.26</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IF(F3="1",SUMIF(Data!A:A,'2'!$A$2,Data!AH:AH),0)</f>
        <v>2410311</v>
      </c>
      <c r="F98" s="20">
        <f>IF(OR(E98=0,E98=0),"",ROUND(E98/$D$105,2))</f>
        <v>1.0900000000000001</v>
      </c>
    </row>
    <row r="99" spans="2:6" x14ac:dyDescent="0.2">
      <c r="B99" s="187" t="s">
        <v>31</v>
      </c>
      <c r="C99" s="188"/>
      <c r="D99" s="36"/>
      <c r="E99" s="17">
        <f>IF(F3="1",SUMIF(Data!A:A,'2'!$A$2,Data!AI:AI),0)</f>
        <v>1390112</v>
      </c>
      <c r="F99" s="21">
        <f t="shared" ref="F99:F104" si="6">IF(OR(E99=0,E99=0),"",ROUND(E99/$D$105,2))</f>
        <v>0.63</v>
      </c>
    </row>
    <row r="100" spans="2:6" x14ac:dyDescent="0.2">
      <c r="B100" s="187" t="s">
        <v>1078</v>
      </c>
      <c r="C100" s="188"/>
      <c r="D100" s="36"/>
      <c r="E100" s="17">
        <f>IF(F3="1",SUMIF(Data!A:A,'2'!$A$2,Data!AJ:AJ),0)</f>
        <v>517940</v>
      </c>
      <c r="F100" s="21">
        <f t="shared" si="6"/>
        <v>0.23</v>
      </c>
    </row>
    <row r="101" spans="2:6" x14ac:dyDescent="0.2">
      <c r="B101" s="187" t="s">
        <v>1079</v>
      </c>
      <c r="C101" s="188"/>
      <c r="D101" s="36"/>
      <c r="E101" s="17">
        <f>IF(F3="1",SUMIF(Data!A:A,'2'!$A$2,Data!AK:AK),0)</f>
        <v>826103</v>
      </c>
      <c r="F101" s="21">
        <f t="shared" si="6"/>
        <v>0.37</v>
      </c>
    </row>
    <row r="102" spans="2:6" x14ac:dyDescent="0.2">
      <c r="B102" s="187" t="s">
        <v>1080</v>
      </c>
      <c r="C102" s="188"/>
      <c r="D102" s="36"/>
      <c r="E102" s="17">
        <f>IF(F3="1",SUMIF(Data!A:A,'2'!$A$2,Data!AL:AL),0)</f>
        <v>0</v>
      </c>
      <c r="F102" s="21" t="str">
        <f t="shared" si="6"/>
        <v/>
      </c>
    </row>
    <row r="103" spans="2:6" x14ac:dyDescent="0.2">
      <c r="B103" s="189" t="s">
        <v>34</v>
      </c>
      <c r="C103" s="190"/>
      <c r="D103" s="36"/>
      <c r="E103" s="17">
        <f>IF(F3="1",SUMIF(Data!A:A,'2'!$A$2,Data!AM:AM),0)</f>
        <v>0</v>
      </c>
      <c r="F103" s="21" t="str">
        <f t="shared" si="6"/>
        <v/>
      </c>
    </row>
    <row r="104" spans="2:6" ht="15.75" customHeight="1" thickBot="1" x14ac:dyDescent="0.25">
      <c r="B104" s="179" t="s">
        <v>29</v>
      </c>
      <c r="C104" s="180"/>
      <c r="D104" s="37"/>
      <c r="E104" s="24">
        <f>IF(F3="1",SUMIF(Data!A:A,'2'!$A$2,Data!Q:Q),0)</f>
        <v>639596</v>
      </c>
      <c r="F104" s="25">
        <f t="shared" si="6"/>
        <v>0.28999999999999998</v>
      </c>
    </row>
    <row r="105" spans="2:6" x14ac:dyDescent="0.2">
      <c r="B105" s="30" t="s">
        <v>35</v>
      </c>
      <c r="C105" s="30"/>
      <c r="D105" s="34">
        <f>D95</f>
        <v>2211038</v>
      </c>
      <c r="E105" s="31">
        <f>SUM(E98:E104)</f>
        <v>5784062</v>
      </c>
      <c r="F105" s="32">
        <f>IF($D$105=0,"",ROUND(E105/$D$105,2))</f>
        <v>2.62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7200405</v>
      </c>
      <c r="D109" s="15">
        <f>IF(F3="1",SUMIF(Data!$A:$A,$A$2,Data!HJ:HJ),0)</f>
        <v>0</v>
      </c>
      <c r="E109" s="15">
        <f>IF(F3="1",SUMIF(Data!$A:$A,$A$2,Data!IN:IN),0)</f>
        <v>0</v>
      </c>
      <c r="F109" s="47">
        <f>SUM(C109:E109)</f>
        <v>7200405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639596</v>
      </c>
      <c r="E117" s="52"/>
      <c r="F117" s="49">
        <f>SUM(C117:E117)</f>
        <v>639596</v>
      </c>
    </row>
    <row r="118" spans="1:6" x14ac:dyDescent="0.2">
      <c r="B118" s="13" t="s">
        <v>35</v>
      </c>
      <c r="C118" s="4">
        <f>SUM(C109:C116)</f>
        <v>7200405</v>
      </c>
      <c r="D118" s="4">
        <f>SUM(D109:D116)</f>
        <v>0</v>
      </c>
      <c r="E118" s="4">
        <f>SUM(E109:E116)</f>
        <v>0</v>
      </c>
      <c r="F118" s="4">
        <f>SUM(F109:F116)</f>
        <v>7200405</v>
      </c>
    </row>
    <row r="119" spans="1:6" ht="15" thickBot="1" x14ac:dyDescent="0.25"/>
    <row r="120" spans="1:6" ht="15" thickBot="1" x14ac:dyDescent="0.25">
      <c r="B120" s="55" t="s">
        <v>934</v>
      </c>
      <c r="C120" s="53"/>
      <c r="D120" s="53"/>
      <c r="E120" s="53">
        <f>IF(F3="1",SUMIF(Data!A:A,'2'!$A$2,Data!AM:AM),0)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15" width="16.42578125" style="10" bestFit="1" customWidth="1"/>
    <col min="16"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352</v>
      </c>
      <c r="B2" s="58" t="str">
        <f>VLOOKUP(A2,Data!A:G,7,0)</f>
        <v>Amarillo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9207</v>
      </c>
      <c r="E5" s="15">
        <f>E36+E67+IFERROR($E$105/$D$105*D5,0)</f>
        <v>63356.537767127513</v>
      </c>
      <c r="F5" s="20">
        <f>IF(OR(D5=0,E5=0),"",ROUND(E5/D5,2))</f>
        <v>6.88</v>
      </c>
    </row>
    <row r="6" spans="1:6" x14ac:dyDescent="0.2">
      <c r="A6" s="19">
        <v>2</v>
      </c>
      <c r="B6" s="181" t="s">
        <v>1</v>
      </c>
      <c r="C6" s="182"/>
      <c r="D6" s="14">
        <f t="shared" ref="D6:D32" si="0">D37</f>
        <v>82744</v>
      </c>
      <c r="E6" s="17">
        <f t="shared" ref="E6:E32" si="1">E37+E68+IFERROR($E$105/$D$105*D6,0)</f>
        <v>589572.88530500699</v>
      </c>
      <c r="F6" s="21">
        <f t="shared" ref="F6:F33" si="2">IF(OR(D6=0,E6=0),"",ROUND(E6/D6,2))</f>
        <v>7.13</v>
      </c>
    </row>
    <row r="7" spans="1:6" ht="14.25" customHeight="1" x14ac:dyDescent="0.2">
      <c r="A7" s="19">
        <v>3</v>
      </c>
      <c r="B7" s="181" t="s">
        <v>2</v>
      </c>
      <c r="C7" s="182"/>
      <c r="D7" s="14">
        <f t="shared" si="0"/>
        <v>347984</v>
      </c>
      <c r="E7" s="17">
        <f t="shared" si="1"/>
        <v>2261486.1783812428</v>
      </c>
      <c r="F7" s="21">
        <f t="shared" si="2"/>
        <v>6.5</v>
      </c>
    </row>
    <row r="8" spans="1:6" ht="14.25" customHeight="1" x14ac:dyDescent="0.2">
      <c r="A8" s="19">
        <v>4</v>
      </c>
      <c r="B8" s="181" t="s">
        <v>3</v>
      </c>
      <c r="C8" s="182"/>
      <c r="D8" s="14">
        <f t="shared" si="0"/>
        <v>360200</v>
      </c>
      <c r="E8" s="17">
        <f t="shared" si="1"/>
        <v>2419008.4252980696</v>
      </c>
      <c r="F8" s="21">
        <f t="shared" si="2"/>
        <v>6.72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32644</v>
      </c>
      <c r="E10" s="17">
        <f t="shared" si="1"/>
        <v>236371.68012057245</v>
      </c>
      <c r="F10" s="21">
        <f t="shared" si="2"/>
        <v>7.24</v>
      </c>
    </row>
    <row r="11" spans="1:6" x14ac:dyDescent="0.2">
      <c r="A11" s="19">
        <v>7</v>
      </c>
      <c r="B11" s="181" t="s">
        <v>6</v>
      </c>
      <c r="C11" s="182"/>
      <c r="D11" s="14">
        <f t="shared" si="0"/>
        <v>192859</v>
      </c>
      <c r="E11" s="17">
        <f t="shared" si="1"/>
        <v>1266375.6473585798</v>
      </c>
      <c r="F11" s="21">
        <f t="shared" si="2"/>
        <v>6.57</v>
      </c>
    </row>
    <row r="12" spans="1:6" x14ac:dyDescent="0.2">
      <c r="A12" s="19">
        <v>8</v>
      </c>
      <c r="B12" s="181" t="s">
        <v>7</v>
      </c>
      <c r="C12" s="182"/>
      <c r="D12" s="14">
        <f t="shared" si="0"/>
        <v>5441</v>
      </c>
      <c r="E12" s="17">
        <f t="shared" si="1"/>
        <v>37628.386335499163</v>
      </c>
      <c r="F12" s="21">
        <f t="shared" si="2"/>
        <v>6.92</v>
      </c>
    </row>
    <row r="13" spans="1:6" x14ac:dyDescent="0.2">
      <c r="A13" s="19">
        <v>9</v>
      </c>
      <c r="B13" s="181" t="s">
        <v>8</v>
      </c>
      <c r="C13" s="182"/>
      <c r="D13" s="14">
        <f t="shared" si="0"/>
        <v>138283</v>
      </c>
      <c r="E13" s="17">
        <f t="shared" si="1"/>
        <v>833990.83893251803</v>
      </c>
      <c r="F13" s="21">
        <f t="shared" si="2"/>
        <v>6.03</v>
      </c>
    </row>
    <row r="14" spans="1:6" x14ac:dyDescent="0.2">
      <c r="A14" s="19">
        <v>10</v>
      </c>
      <c r="B14" s="181" t="s">
        <v>9</v>
      </c>
      <c r="C14" s="182"/>
      <c r="D14" s="14">
        <f t="shared" si="0"/>
        <v>640</v>
      </c>
      <c r="E14" s="17">
        <f t="shared" si="1"/>
        <v>4150.1255752103407</v>
      </c>
      <c r="F14" s="21">
        <f t="shared" si="2"/>
        <v>6.48</v>
      </c>
    </row>
    <row r="15" spans="1:6" x14ac:dyDescent="0.2">
      <c r="A15" s="19">
        <v>11</v>
      </c>
      <c r="B15" s="181" t="s">
        <v>10</v>
      </c>
      <c r="C15" s="182"/>
      <c r="D15" s="14">
        <f t="shared" si="0"/>
        <v>173439</v>
      </c>
      <c r="E15" s="17">
        <f t="shared" si="1"/>
        <v>1167750.7119357912</v>
      </c>
      <c r="F15" s="21">
        <f t="shared" si="2"/>
        <v>6.73</v>
      </c>
    </row>
    <row r="16" spans="1:6" ht="14.25" customHeight="1" x14ac:dyDescent="0.2">
      <c r="A16" s="19">
        <v>12</v>
      </c>
      <c r="B16" s="181" t="s">
        <v>11</v>
      </c>
      <c r="C16" s="182"/>
      <c r="D16" s="14">
        <f t="shared" si="0"/>
        <v>650423</v>
      </c>
      <c r="E16" s="17">
        <f t="shared" si="1"/>
        <v>4843794.9515703674</v>
      </c>
      <c r="F16" s="21">
        <f t="shared" si="2"/>
        <v>7.45</v>
      </c>
    </row>
    <row r="17" spans="1:6" x14ac:dyDescent="0.2">
      <c r="A17" s="19">
        <v>13</v>
      </c>
      <c r="B17" s="181" t="s">
        <v>12</v>
      </c>
      <c r="C17" s="182"/>
      <c r="D17" s="14">
        <f t="shared" si="0"/>
        <v>27081</v>
      </c>
      <c r="E17" s="17">
        <f t="shared" si="1"/>
        <v>198508.38234729882</v>
      </c>
      <c r="F17" s="21">
        <f t="shared" si="2"/>
        <v>7.33</v>
      </c>
    </row>
    <row r="18" spans="1:6" ht="14.25" customHeight="1" x14ac:dyDescent="0.2">
      <c r="A18" s="19">
        <v>14</v>
      </c>
      <c r="B18" s="181" t="s">
        <v>464</v>
      </c>
      <c r="C18" s="182"/>
      <c r="D18" s="14">
        <f t="shared" si="0"/>
        <v>242806</v>
      </c>
      <c r="E18" s="17">
        <f t="shared" si="1"/>
        <v>1863904.0537726907</v>
      </c>
      <c r="F18" s="21">
        <f t="shared" si="2"/>
        <v>7.68</v>
      </c>
    </row>
    <row r="19" spans="1:6" x14ac:dyDescent="0.2">
      <c r="A19" s="19">
        <v>15</v>
      </c>
      <c r="B19" s="181" t="s">
        <v>13</v>
      </c>
      <c r="C19" s="182"/>
      <c r="D19" s="14">
        <f t="shared" si="0"/>
        <v>52292</v>
      </c>
      <c r="E19" s="17">
        <f t="shared" si="1"/>
        <v>412232.33527952991</v>
      </c>
      <c r="F19" s="21">
        <f t="shared" si="2"/>
        <v>7.88</v>
      </c>
    </row>
    <row r="20" spans="1:6" x14ac:dyDescent="0.2">
      <c r="A20" s="19">
        <v>16</v>
      </c>
      <c r="B20" s="181" t="s">
        <v>14</v>
      </c>
      <c r="C20" s="182"/>
      <c r="D20" s="14">
        <f t="shared" si="0"/>
        <v>307719</v>
      </c>
      <c r="E20" s="17">
        <f t="shared" si="1"/>
        <v>2338992.8091846108</v>
      </c>
      <c r="F20" s="21">
        <f t="shared" si="2"/>
        <v>7.6</v>
      </c>
    </row>
    <row r="21" spans="1:6" x14ac:dyDescent="0.2">
      <c r="A21" s="19">
        <v>17</v>
      </c>
      <c r="B21" s="181" t="s">
        <v>15</v>
      </c>
      <c r="C21" s="182"/>
      <c r="D21" s="14">
        <f t="shared" si="0"/>
        <v>14160</v>
      </c>
      <c r="E21" s="17">
        <f t="shared" si="1"/>
        <v>112769.27835152879</v>
      </c>
      <c r="F21" s="21">
        <f t="shared" si="2"/>
        <v>7.96</v>
      </c>
    </row>
    <row r="22" spans="1:6" x14ac:dyDescent="0.2">
      <c r="A22" s="19">
        <v>18</v>
      </c>
      <c r="B22" s="181" t="s">
        <v>16</v>
      </c>
      <c r="C22" s="182"/>
      <c r="D22" s="14">
        <f t="shared" si="0"/>
        <v>80032</v>
      </c>
      <c r="E22" s="17">
        <f t="shared" si="1"/>
        <v>629002.90318005311</v>
      </c>
      <c r="F22" s="21">
        <f t="shared" si="2"/>
        <v>7.86</v>
      </c>
    </row>
    <row r="23" spans="1:6" x14ac:dyDescent="0.2">
      <c r="A23" s="19">
        <v>19</v>
      </c>
      <c r="B23" s="181" t="s">
        <v>17</v>
      </c>
      <c r="C23" s="182"/>
      <c r="D23" s="14">
        <f t="shared" si="0"/>
        <v>403142</v>
      </c>
      <c r="E23" s="17">
        <f t="shared" si="1"/>
        <v>2614593.6135022612</v>
      </c>
      <c r="F23" s="21">
        <f t="shared" si="2"/>
        <v>6.49</v>
      </c>
    </row>
    <row r="24" spans="1:6" x14ac:dyDescent="0.2">
      <c r="A24" s="19">
        <v>20</v>
      </c>
      <c r="B24" s="181" t="s">
        <v>18</v>
      </c>
      <c r="C24" s="182"/>
      <c r="D24" s="14">
        <f t="shared" si="0"/>
        <v>79755</v>
      </c>
      <c r="E24" s="17">
        <f t="shared" si="1"/>
        <v>569190.55507953232</v>
      </c>
      <c r="F24" s="21">
        <f t="shared" si="2"/>
        <v>7.14</v>
      </c>
    </row>
    <row r="25" spans="1:6" ht="14.25" customHeight="1" x14ac:dyDescent="0.2">
      <c r="A25" s="19">
        <v>21</v>
      </c>
      <c r="B25" s="181" t="s">
        <v>461</v>
      </c>
      <c r="C25" s="182"/>
      <c r="D25" s="14">
        <f t="shared" si="0"/>
        <v>100362</v>
      </c>
      <c r="E25" s="17">
        <f t="shared" si="1"/>
        <v>716207.07965509407</v>
      </c>
      <c r="F25" s="21">
        <f t="shared" si="2"/>
        <v>7.14</v>
      </c>
    </row>
    <row r="26" spans="1:6" x14ac:dyDescent="0.2">
      <c r="A26" s="19">
        <v>22</v>
      </c>
      <c r="B26" s="181" t="s">
        <v>19</v>
      </c>
      <c r="C26" s="182"/>
      <c r="D26" s="14">
        <f t="shared" si="0"/>
        <v>6272</v>
      </c>
      <c r="E26" s="17">
        <f t="shared" si="1"/>
        <v>44526.430637061334</v>
      </c>
      <c r="F26" s="21">
        <f t="shared" si="2"/>
        <v>7.1</v>
      </c>
    </row>
    <row r="27" spans="1:6" x14ac:dyDescent="0.2">
      <c r="A27" s="19">
        <v>23</v>
      </c>
      <c r="B27" s="181" t="s">
        <v>20</v>
      </c>
      <c r="C27" s="182"/>
      <c r="D27" s="14">
        <f t="shared" si="0"/>
        <v>94204</v>
      </c>
      <c r="E27" s="17">
        <f t="shared" si="1"/>
        <v>521954.00888611708</v>
      </c>
      <c r="F27" s="21">
        <f t="shared" si="2"/>
        <v>5.54</v>
      </c>
    </row>
    <row r="28" spans="1:6" x14ac:dyDescent="0.2">
      <c r="A28" s="19">
        <v>24</v>
      </c>
      <c r="B28" s="181" t="s">
        <v>21</v>
      </c>
      <c r="C28" s="182"/>
      <c r="D28" s="14">
        <f t="shared" si="0"/>
        <v>413530</v>
      </c>
      <c r="E28" s="17">
        <f t="shared" si="1"/>
        <v>2829160.826744894</v>
      </c>
      <c r="F28" s="21">
        <f t="shared" si="2"/>
        <v>6.84</v>
      </c>
    </row>
    <row r="29" spans="1:6" x14ac:dyDescent="0.2">
      <c r="A29" s="19">
        <v>25</v>
      </c>
      <c r="B29" s="181" t="s">
        <v>22</v>
      </c>
      <c r="C29" s="182"/>
      <c r="D29" s="14">
        <f t="shared" si="0"/>
        <v>397514</v>
      </c>
      <c r="E29" s="17">
        <f t="shared" si="1"/>
        <v>2246371.5842252551</v>
      </c>
      <c r="F29" s="21">
        <f t="shared" si="2"/>
        <v>5.65</v>
      </c>
    </row>
    <row r="30" spans="1:6" x14ac:dyDescent="0.2">
      <c r="A30" s="19">
        <v>26</v>
      </c>
      <c r="B30" s="181" t="s">
        <v>23</v>
      </c>
      <c r="C30" s="182"/>
      <c r="D30" s="14">
        <f t="shared" si="0"/>
        <v>212822</v>
      </c>
      <c r="E30" s="17">
        <f t="shared" si="1"/>
        <v>1555627.7705740861</v>
      </c>
      <c r="F30" s="21">
        <f t="shared" si="2"/>
        <v>7.31</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4425555</v>
      </c>
      <c r="E33" s="31">
        <f>SUM(E5:E32)</f>
        <v>30376527.999999996</v>
      </c>
      <c r="F33" s="32">
        <f t="shared" si="2"/>
        <v>6.86</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IF(F3="1",SUMIF(Data!A:A,'3'!$A$2,Data!CU:CU),0)</f>
        <v>9207</v>
      </c>
      <c r="E36" s="15">
        <f>IF(F3="1",SUMIF(Data!$A:$A,$A$2,Data!IO:IO),0)</f>
        <v>6975</v>
      </c>
      <c r="F36" s="20">
        <f t="shared" ref="F36:F64" si="3">IF(OR(D36=0,E36=0),"",ROUND(E36/D36,2))</f>
        <v>0.76</v>
      </c>
    </row>
    <row r="37" spans="1:6" x14ac:dyDescent="0.2">
      <c r="A37" s="19">
        <v>2</v>
      </c>
      <c r="B37" s="181" t="s">
        <v>1</v>
      </c>
      <c r="C37" s="182"/>
      <c r="D37" s="14">
        <f>IF(F3="1",SUMIF(Data!A:A,'3'!$A$2,Data!CV:CV),0)</f>
        <v>82744</v>
      </c>
      <c r="E37" s="17">
        <f>IF(F3="1",SUMIF(Data!$A:$A,$A$2,Data!IP:IP),0)</f>
        <v>73976</v>
      </c>
      <c r="F37" s="21">
        <f t="shared" si="3"/>
        <v>0.89</v>
      </c>
    </row>
    <row r="38" spans="1:6" ht="14.25" customHeight="1" x14ac:dyDescent="0.2">
      <c r="A38" s="19">
        <v>3</v>
      </c>
      <c r="B38" s="181" t="s">
        <v>2</v>
      </c>
      <c r="C38" s="182"/>
      <c r="D38" s="14">
        <f>IF(F3="1",SUMIF(Data!A:A,'3'!$A$2,Data!CW:CW),0)</f>
        <v>347984</v>
      </c>
      <c r="E38" s="17">
        <f>IF($F$3="1",SUMIF(Data!$A:$A,$A$2,Data!IQ:IQ),0)</f>
        <v>172097</v>
      </c>
      <c r="F38" s="21">
        <f t="shared" si="3"/>
        <v>0.49</v>
      </c>
    </row>
    <row r="39" spans="1:6" ht="14.25" customHeight="1" x14ac:dyDescent="0.2">
      <c r="A39" s="19">
        <v>4</v>
      </c>
      <c r="B39" s="181" t="s">
        <v>3</v>
      </c>
      <c r="C39" s="182"/>
      <c r="D39" s="14">
        <f>IF(F3="1",SUMIF(Data!A:A,'3'!$A$2,Data!CX:CX),0)</f>
        <v>360200</v>
      </c>
      <c r="E39" s="17">
        <f>IF($F$3="1",SUMIF(Data!$A:$A,$A$2,Data!IR:IR),0)</f>
        <v>230115</v>
      </c>
      <c r="F39" s="21">
        <f t="shared" si="3"/>
        <v>0.64</v>
      </c>
    </row>
    <row r="40" spans="1:6" x14ac:dyDescent="0.2">
      <c r="A40" s="19">
        <v>5</v>
      </c>
      <c r="B40" s="181" t="s">
        <v>4</v>
      </c>
      <c r="C40" s="182"/>
      <c r="D40" s="14">
        <f>IF(F3="1",SUMIF(Data!A:A,'3'!$A$2,Data!CY:CY),0)</f>
        <v>0</v>
      </c>
      <c r="E40" s="17">
        <f>IF($F$3="1",SUMIF(Data!$A:$A,$A$2,Data!IS:IS),0)</f>
        <v>0</v>
      </c>
      <c r="F40" s="21" t="str">
        <f t="shared" si="3"/>
        <v/>
      </c>
    </row>
    <row r="41" spans="1:6" x14ac:dyDescent="0.2">
      <c r="A41" s="19">
        <v>6</v>
      </c>
      <c r="B41" s="181" t="s">
        <v>5</v>
      </c>
      <c r="C41" s="182"/>
      <c r="D41" s="14">
        <f>IF(F3="1",SUMIF(Data!A:A,'3'!$A$2,Data!CZ:CZ),0)</f>
        <v>32644</v>
      </c>
      <c r="E41" s="17">
        <f>IF($F$3="1",SUMIF(Data!$A:$A,$A$2,Data!IT:IT),0)</f>
        <v>20736</v>
      </c>
      <c r="F41" s="21">
        <f t="shared" si="3"/>
        <v>0.64</v>
      </c>
    </row>
    <row r="42" spans="1:6" x14ac:dyDescent="0.2">
      <c r="A42" s="19">
        <v>7</v>
      </c>
      <c r="B42" s="181" t="s">
        <v>6</v>
      </c>
      <c r="C42" s="182"/>
      <c r="D42" s="14">
        <f>IF(F3="1",SUMIF(Data!A:A,'3'!$A$2,Data!DA:DA),0)</f>
        <v>192859</v>
      </c>
      <c r="E42" s="17">
        <f>IF($F$3="1",SUMIF(Data!$A:$A,$A$2,Data!IU:IU),0)</f>
        <v>97204</v>
      </c>
      <c r="F42" s="21">
        <f t="shared" si="3"/>
        <v>0.5</v>
      </c>
    </row>
    <row r="43" spans="1:6" x14ac:dyDescent="0.2">
      <c r="A43" s="19">
        <v>8</v>
      </c>
      <c r="B43" s="181" t="s">
        <v>7</v>
      </c>
      <c r="C43" s="182"/>
      <c r="D43" s="14">
        <f>IF(F3="1",SUMIF(Data!A:A,'3'!$A$2,Data!DB:DB),0)</f>
        <v>5441</v>
      </c>
      <c r="E43" s="17">
        <f>IF($F$3="1",SUMIF(Data!$A:$A,$A$2,Data!IV:IV),0)</f>
        <v>7393</v>
      </c>
      <c r="F43" s="21">
        <f t="shared" si="3"/>
        <v>1.36</v>
      </c>
    </row>
    <row r="44" spans="1:6" x14ac:dyDescent="0.2">
      <c r="A44" s="19">
        <v>9</v>
      </c>
      <c r="B44" s="181" t="s">
        <v>8</v>
      </c>
      <c r="C44" s="182"/>
      <c r="D44" s="14">
        <f>IF(F3="1",SUMIF(Data!A:A,'3'!$A$2,Data!DC:DC),0)</f>
        <v>138283</v>
      </c>
      <c r="E44" s="17">
        <f>IF($F$3="1",SUMIF(Data!$A:$A,$A$2,Data!IW:IW),0)</f>
        <v>58918</v>
      </c>
      <c r="F44" s="21">
        <f t="shared" si="3"/>
        <v>0.43</v>
      </c>
    </row>
    <row r="45" spans="1:6" x14ac:dyDescent="0.2">
      <c r="A45" s="19">
        <v>10</v>
      </c>
      <c r="B45" s="181" t="s">
        <v>9</v>
      </c>
      <c r="C45" s="182"/>
      <c r="D45" s="14">
        <f>IF(F3="1",SUMIF(Data!A:A,'3'!$A$2,Data!DD:DD),0)</f>
        <v>640</v>
      </c>
      <c r="E45" s="17">
        <f>IF($F$3="1",SUMIF(Data!$A:$A,$A$2,Data!IX:IX),0)</f>
        <v>315</v>
      </c>
      <c r="F45" s="21">
        <f t="shared" si="3"/>
        <v>0.49</v>
      </c>
    </row>
    <row r="46" spans="1:6" x14ac:dyDescent="0.2">
      <c r="A46" s="19">
        <v>11</v>
      </c>
      <c r="B46" s="181" t="s">
        <v>10</v>
      </c>
      <c r="C46" s="182"/>
      <c r="D46" s="14">
        <f>IF(F3="1",SUMIF(Data!A:A,'3'!$A$2,Data!DE:DE),0)</f>
        <v>173439</v>
      </c>
      <c r="E46" s="17">
        <f>IF($F$3="1",SUMIF(Data!$A:$A,$A$2,Data!IY:IY),0)</f>
        <v>167683</v>
      </c>
      <c r="F46" s="21">
        <f t="shared" si="3"/>
        <v>0.97</v>
      </c>
    </row>
    <row r="47" spans="1:6" ht="14.25" customHeight="1" x14ac:dyDescent="0.2">
      <c r="A47" s="19">
        <v>12</v>
      </c>
      <c r="B47" s="181" t="s">
        <v>11</v>
      </c>
      <c r="C47" s="182"/>
      <c r="D47" s="14">
        <f>IF(F3="1",SUMIF(Data!A:A,'3'!$A$2,Data!DF:DF),0)</f>
        <v>650423</v>
      </c>
      <c r="E47" s="17">
        <f>IF($F$3="1",SUMIF(Data!$A:$A,$A$2,Data!IZ:IZ),0)</f>
        <v>637945</v>
      </c>
      <c r="F47" s="21">
        <f t="shared" si="3"/>
        <v>0.98</v>
      </c>
    </row>
    <row r="48" spans="1:6" x14ac:dyDescent="0.2">
      <c r="A48" s="19">
        <v>13</v>
      </c>
      <c r="B48" s="181" t="s">
        <v>12</v>
      </c>
      <c r="C48" s="182"/>
      <c r="D48" s="14">
        <f>IF(F3="1",SUMIF(Data!A:A,'3'!$A$2,Data!DG:DG),0)</f>
        <v>27081</v>
      </c>
      <c r="E48" s="17">
        <f>IF($F$3="1",SUMIF(Data!$A:$A,$A$2,Data!JA:JA),0)</f>
        <v>21245</v>
      </c>
      <c r="F48" s="21">
        <f t="shared" si="3"/>
        <v>0.78</v>
      </c>
    </row>
    <row r="49" spans="1:6" ht="14.25" customHeight="1" x14ac:dyDescent="0.2">
      <c r="A49" s="19">
        <v>14</v>
      </c>
      <c r="B49" s="181" t="s">
        <v>464</v>
      </c>
      <c r="C49" s="182"/>
      <c r="D49" s="14">
        <f>IF(F3="1",SUMIF(Data!A:A,'3'!$A$2,Data!DH:DH),0)</f>
        <v>242806</v>
      </c>
      <c r="E49" s="17">
        <f>IF($F$3="1",SUMIF(Data!$A:$A,$A$2,Data!JB:JB),0)</f>
        <v>226563</v>
      </c>
      <c r="F49" s="21">
        <f t="shared" si="3"/>
        <v>0.93</v>
      </c>
    </row>
    <row r="50" spans="1:6" x14ac:dyDescent="0.2">
      <c r="A50" s="19">
        <v>15</v>
      </c>
      <c r="B50" s="181" t="s">
        <v>13</v>
      </c>
      <c r="C50" s="182"/>
      <c r="D50" s="14">
        <f>IF(F3="1",SUMIF(Data!A:A,'3'!$A$2,Data!DI:DI),0)</f>
        <v>52292</v>
      </c>
      <c r="E50" s="17">
        <f>IF($F$3="1",SUMIF(Data!$A:$A,$A$2,Data!JC:JC),0)</f>
        <v>40922</v>
      </c>
      <c r="F50" s="21">
        <f t="shared" si="3"/>
        <v>0.78</v>
      </c>
    </row>
    <row r="51" spans="1:6" x14ac:dyDescent="0.2">
      <c r="A51" s="19">
        <v>16</v>
      </c>
      <c r="B51" s="181" t="s">
        <v>14</v>
      </c>
      <c r="C51" s="182"/>
      <c r="D51" s="14">
        <f>IF(F3="1",SUMIF(Data!A:A,'3'!$A$2,Data!DJ:DJ),0)</f>
        <v>307719</v>
      </c>
      <c r="E51" s="17">
        <f>IF($F$3="1",SUMIF(Data!$A:$A,$A$2,Data!JD:JD),0)</f>
        <v>304983</v>
      </c>
      <c r="F51" s="21">
        <f t="shared" si="3"/>
        <v>0.99</v>
      </c>
    </row>
    <row r="52" spans="1:6" x14ac:dyDescent="0.2">
      <c r="A52" s="19">
        <v>17</v>
      </c>
      <c r="B52" s="181" t="s">
        <v>15</v>
      </c>
      <c r="C52" s="182"/>
      <c r="D52" s="14">
        <f>IF(F3="1",SUMIF(Data!A:A,'3'!$A$2,Data!DK:DK),0)</f>
        <v>14160</v>
      </c>
      <c r="E52" s="17">
        <f>IF($F$3="1",SUMIF(Data!$A:$A,$A$2,Data!JE:JE),0)</f>
        <v>8983</v>
      </c>
      <c r="F52" s="21">
        <f t="shared" si="3"/>
        <v>0.63</v>
      </c>
    </row>
    <row r="53" spans="1:6" x14ac:dyDescent="0.2">
      <c r="A53" s="19">
        <v>18</v>
      </c>
      <c r="B53" s="181" t="s">
        <v>16</v>
      </c>
      <c r="C53" s="182"/>
      <c r="D53" s="14">
        <f>IF(F3="1",SUMIF(Data!A:A,'3'!$A$2,Data!DL:DL),0)</f>
        <v>80032</v>
      </c>
      <c r="E53" s="17">
        <f>IF($F$3="1",SUMIF(Data!$A:$A,$A$2,Data!JF:JF),0)</f>
        <v>42529</v>
      </c>
      <c r="F53" s="21">
        <f t="shared" si="3"/>
        <v>0.53</v>
      </c>
    </row>
    <row r="54" spans="1:6" x14ac:dyDescent="0.2">
      <c r="A54" s="19">
        <v>19</v>
      </c>
      <c r="B54" s="181" t="s">
        <v>17</v>
      </c>
      <c r="C54" s="182"/>
      <c r="D54" s="14">
        <f>IF(F3="1",SUMIF(Data!A:A,'3'!$A$2,Data!DM:DM),0)</f>
        <v>403142</v>
      </c>
      <c r="E54" s="17">
        <f>IF($F$3="1",SUMIF(Data!$A:$A,$A$2,Data!JG:JG),0)</f>
        <v>198851</v>
      </c>
      <c r="F54" s="21">
        <f t="shared" si="3"/>
        <v>0.49</v>
      </c>
    </row>
    <row r="55" spans="1:6" x14ac:dyDescent="0.2">
      <c r="A55" s="19">
        <v>20</v>
      </c>
      <c r="B55" s="181" t="s">
        <v>18</v>
      </c>
      <c r="C55" s="182"/>
      <c r="D55" s="14">
        <f>IF(F3="1",SUMIF(Data!A:A,'3'!$A$2,Data!DN:DN),0)</f>
        <v>79755</v>
      </c>
      <c r="E55" s="17">
        <f>IF($F$3="1",SUMIF(Data!$A:$A,$A$2,Data!JH:JH),0)</f>
        <v>70007</v>
      </c>
      <c r="F55" s="21">
        <f t="shared" si="3"/>
        <v>0.88</v>
      </c>
    </row>
    <row r="56" spans="1:6" ht="14.25" customHeight="1" x14ac:dyDescent="0.2">
      <c r="A56" s="19">
        <v>21</v>
      </c>
      <c r="B56" s="181" t="s">
        <v>461</v>
      </c>
      <c r="C56" s="182"/>
      <c r="D56" s="14">
        <f>IF(F3="1",SUMIF(Data!A:A,'3'!$A$2,Data!DO:DO),0)</f>
        <v>100362</v>
      </c>
      <c r="E56" s="17">
        <f>IF($F$3="1",SUMIF(Data!$A:$A,$A$2,Data!JI:JI),0)</f>
        <v>89239</v>
      </c>
      <c r="F56" s="21">
        <f t="shared" si="3"/>
        <v>0.89</v>
      </c>
    </row>
    <row r="57" spans="1:6" x14ac:dyDescent="0.2">
      <c r="A57" s="19">
        <v>22</v>
      </c>
      <c r="B57" s="181" t="s">
        <v>19</v>
      </c>
      <c r="C57" s="182"/>
      <c r="D57" s="14">
        <f>IF(F3="1",SUMIF(Data!A:A,'3'!$A$2,Data!DP:DP),0)</f>
        <v>6272</v>
      </c>
      <c r="E57" s="17">
        <f>IF($F$3="1",SUMIF(Data!$A:$A,$A$2,Data!JJ:JJ),0)</f>
        <v>5325</v>
      </c>
      <c r="F57" s="21">
        <f t="shared" si="3"/>
        <v>0.85</v>
      </c>
    </row>
    <row r="58" spans="1:6" x14ac:dyDescent="0.2">
      <c r="A58" s="19">
        <v>23</v>
      </c>
      <c r="B58" s="181" t="s">
        <v>20</v>
      </c>
      <c r="C58" s="182"/>
      <c r="D58" s="14">
        <f>IF(F3="1",SUMIF(Data!A:A,'3'!$A$2,Data!DQ:DQ),0)</f>
        <v>94204</v>
      </c>
      <c r="E58" s="17">
        <f>IF($F$3="1",SUMIF(Data!$A:$A,$A$2,Data!JK:JK),0)</f>
        <v>7254</v>
      </c>
      <c r="F58" s="21">
        <f t="shared" si="3"/>
        <v>0.08</v>
      </c>
    </row>
    <row r="59" spans="1:6" x14ac:dyDescent="0.2">
      <c r="A59" s="19">
        <v>24</v>
      </c>
      <c r="B59" s="181" t="s">
        <v>21</v>
      </c>
      <c r="C59" s="182"/>
      <c r="D59" s="14">
        <f>IF(F3="1",SUMIF(Data!A:A,'3'!$A$2,Data!DR:DR),0)</f>
        <v>413530</v>
      </c>
      <c r="E59" s="17">
        <f>IF($F$3="1",SUMIF(Data!$A:$A,$A$2,Data!JL:JL),0)</f>
        <v>965927</v>
      </c>
      <c r="F59" s="21">
        <f t="shared" si="3"/>
        <v>2.34</v>
      </c>
    </row>
    <row r="60" spans="1:6" x14ac:dyDescent="0.2">
      <c r="A60" s="19">
        <v>25</v>
      </c>
      <c r="B60" s="181" t="s">
        <v>22</v>
      </c>
      <c r="C60" s="182"/>
      <c r="D60" s="14">
        <f>IF(F3="1",SUMIF(Data!A:A,'3'!$A$2,Data!DS:DS),0)</f>
        <v>397514</v>
      </c>
      <c r="E60" s="17">
        <f>IF($F$3="1",SUMIF(Data!$A:$A,$A$2,Data!JM:JM),0)</f>
        <v>57092</v>
      </c>
      <c r="F60" s="21">
        <f t="shared" si="3"/>
        <v>0.14000000000000001</v>
      </c>
    </row>
    <row r="61" spans="1:6" x14ac:dyDescent="0.2">
      <c r="A61" s="19">
        <v>26</v>
      </c>
      <c r="B61" s="181" t="s">
        <v>23</v>
      </c>
      <c r="C61" s="182"/>
      <c r="D61" s="14">
        <f>IF(F3="1",SUMIF(Data!A:A,'3'!$A$2,Data!DT:DT),0)</f>
        <v>212822</v>
      </c>
      <c r="E61" s="17">
        <f>IF($F$3="1",SUMIF(Data!$A:$A,$A$2,Data!JN:JN),0)</f>
        <v>144526</v>
      </c>
      <c r="F61" s="21">
        <f t="shared" si="3"/>
        <v>0.68</v>
      </c>
    </row>
    <row r="62" spans="1:6" x14ac:dyDescent="0.2">
      <c r="A62" s="19">
        <v>28</v>
      </c>
      <c r="B62" s="181" t="s">
        <v>24</v>
      </c>
      <c r="C62" s="182"/>
      <c r="D62" s="14">
        <f>IF(F3="1",SUMIF(Data!A:A,'3'!$A$2,Data!DV:DV),0)</f>
        <v>0</v>
      </c>
      <c r="E62" s="17">
        <f>IF($F$3="1",SUMIF(Data!$A:$A,$A$2,Data!JP:JP),0)</f>
        <v>0</v>
      </c>
      <c r="F62" s="21" t="str">
        <f t="shared" si="3"/>
        <v/>
      </c>
    </row>
    <row r="63" spans="1:6" ht="15.75" customHeight="1" thickBot="1" x14ac:dyDescent="0.25">
      <c r="A63" s="22">
        <v>29</v>
      </c>
      <c r="B63" s="183" t="s">
        <v>25</v>
      </c>
      <c r="C63" s="184"/>
      <c r="D63" s="23">
        <f>IF(F3="1",SUMIF(Data!A:A,'3'!$A$2,Data!DW:DW),0)</f>
        <v>0</v>
      </c>
      <c r="E63" s="24">
        <f>IF($F$3="1",SUMIF(Data!$A:$A,$A$2,Data!JQ:JQ),0)</f>
        <v>0</v>
      </c>
      <c r="F63" s="25" t="str">
        <f t="shared" si="3"/>
        <v/>
      </c>
    </row>
    <row r="64" spans="1:6" x14ac:dyDescent="0.2">
      <c r="B64" s="30" t="s">
        <v>35</v>
      </c>
      <c r="C64" s="30"/>
      <c r="D64" s="59">
        <f>SUM(D36:D63)</f>
        <v>4425555</v>
      </c>
      <c r="E64" s="31">
        <f>SUM(E36:E63)</f>
        <v>3656803</v>
      </c>
      <c r="F64" s="32">
        <f t="shared" si="3"/>
        <v>0.83</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9207</v>
      </c>
      <c r="E67" s="15">
        <f>IF(F3="1",SUMIF(Data!A:A,'3'!$A$2,Data!DY:DY),0)</f>
        <v>25824</v>
      </c>
      <c r="F67" s="20">
        <f t="shared" ref="F67:F95" si="4">IF(OR(D67=0,E67=0),"",ROUND(E67/D67,2))</f>
        <v>2.8</v>
      </c>
    </row>
    <row r="68" spans="1:6" x14ac:dyDescent="0.2">
      <c r="A68" s="19">
        <v>2</v>
      </c>
      <c r="B68" s="181" t="s">
        <v>1</v>
      </c>
      <c r="C68" s="182"/>
      <c r="D68" s="14">
        <f t="shared" ref="D68:D94" si="5">D37</f>
        <v>82744</v>
      </c>
      <c r="E68" s="17">
        <f>IF(F3="1",SUMIF(Data!A:A,'3'!$A$2,Data!DZ:DZ),0)</f>
        <v>240974</v>
      </c>
      <c r="F68" s="21">
        <f t="shared" si="4"/>
        <v>2.91</v>
      </c>
    </row>
    <row r="69" spans="1:6" ht="14.25" customHeight="1" x14ac:dyDescent="0.2">
      <c r="A69" s="19">
        <v>3</v>
      </c>
      <c r="B69" s="181" t="s">
        <v>2</v>
      </c>
      <c r="C69" s="182"/>
      <c r="D69" s="14">
        <f t="shared" si="5"/>
        <v>347984</v>
      </c>
      <c r="E69" s="17">
        <f>IF(F3="1",SUMIF(Data!A:A,'3'!$A$2,Data!EA:EA),0)</f>
        <v>934449</v>
      </c>
      <c r="F69" s="21">
        <f t="shared" si="4"/>
        <v>2.69</v>
      </c>
    </row>
    <row r="70" spans="1:6" ht="14.25" customHeight="1" x14ac:dyDescent="0.2">
      <c r="A70" s="19">
        <v>4</v>
      </c>
      <c r="B70" s="181" t="s">
        <v>3</v>
      </c>
      <c r="C70" s="182"/>
      <c r="D70" s="14">
        <f t="shared" si="5"/>
        <v>360200</v>
      </c>
      <c r="E70" s="17">
        <f>IF(F3="1",SUMIF(Data!A:A,'3'!$A$2,Data!EB:EB),0)</f>
        <v>993409</v>
      </c>
      <c r="F70" s="21">
        <f t="shared" si="4"/>
        <v>2.76</v>
      </c>
    </row>
    <row r="71" spans="1:6" x14ac:dyDescent="0.2">
      <c r="A71" s="19">
        <v>5</v>
      </c>
      <c r="B71" s="181" t="s">
        <v>4</v>
      </c>
      <c r="C71" s="182"/>
      <c r="D71" s="14">
        <f t="shared" si="5"/>
        <v>0</v>
      </c>
      <c r="E71" s="17">
        <f>IF(F3="1",SUMIF(Data!A:A,'3'!$A$2,Data!EC:EC),0)</f>
        <v>0</v>
      </c>
      <c r="F71" s="21" t="str">
        <f t="shared" si="4"/>
        <v/>
      </c>
    </row>
    <row r="72" spans="1:6" x14ac:dyDescent="0.2">
      <c r="A72" s="19">
        <v>6</v>
      </c>
      <c r="B72" s="181" t="s">
        <v>5</v>
      </c>
      <c r="C72" s="182"/>
      <c r="D72" s="14">
        <f t="shared" si="5"/>
        <v>32644</v>
      </c>
      <c r="E72" s="17">
        <f>IF(F3="1",SUMIF(Data!A:A,'3'!$A$2,Data!ED:ED),0)</f>
        <v>107292</v>
      </c>
      <c r="F72" s="21">
        <f t="shared" si="4"/>
        <v>3.29</v>
      </c>
    </row>
    <row r="73" spans="1:6" x14ac:dyDescent="0.2">
      <c r="A73" s="19">
        <v>7</v>
      </c>
      <c r="B73" s="181" t="s">
        <v>6</v>
      </c>
      <c r="C73" s="182"/>
      <c r="D73" s="14">
        <f t="shared" si="5"/>
        <v>192859</v>
      </c>
      <c r="E73" s="17">
        <f>IF(F3="1",SUMIF(Data!A:A,'3'!$A$2,Data!EE:EE),0)</f>
        <v>529083</v>
      </c>
      <c r="F73" s="21">
        <f t="shared" si="4"/>
        <v>2.74</v>
      </c>
    </row>
    <row r="74" spans="1:6" x14ac:dyDescent="0.2">
      <c r="A74" s="19">
        <v>8</v>
      </c>
      <c r="B74" s="181" t="s">
        <v>7</v>
      </c>
      <c r="C74" s="182"/>
      <c r="D74" s="14">
        <f t="shared" si="5"/>
        <v>5441</v>
      </c>
      <c r="E74" s="17">
        <f>IF(F3="1",SUMIF(Data!A:A,'3'!$A$2,Data!EF:EF),0)</f>
        <v>12177</v>
      </c>
      <c r="F74" s="21">
        <f t="shared" si="4"/>
        <v>2.2400000000000002</v>
      </c>
    </row>
    <row r="75" spans="1:6" x14ac:dyDescent="0.2">
      <c r="A75" s="19">
        <v>9</v>
      </c>
      <c r="B75" s="181" t="s">
        <v>8</v>
      </c>
      <c r="C75" s="182"/>
      <c r="D75" s="14">
        <f t="shared" si="5"/>
        <v>138283</v>
      </c>
      <c r="E75" s="17">
        <f>IF(F3="1",SUMIF(Data!A:A,'3'!$A$2,Data!EG:EG),0)</f>
        <v>316119</v>
      </c>
      <c r="F75" s="21">
        <f t="shared" si="4"/>
        <v>2.29</v>
      </c>
    </row>
    <row r="76" spans="1:6" x14ac:dyDescent="0.2">
      <c r="A76" s="19">
        <v>10</v>
      </c>
      <c r="B76" s="181" t="s">
        <v>9</v>
      </c>
      <c r="C76" s="182"/>
      <c r="D76" s="14">
        <f t="shared" si="5"/>
        <v>640</v>
      </c>
      <c r="E76" s="17">
        <f>IF(F3="1",SUMIF(Data!A:A,'3'!$A$2,Data!EH:EH),0)</f>
        <v>1711</v>
      </c>
      <c r="F76" s="21">
        <f t="shared" si="4"/>
        <v>2.67</v>
      </c>
    </row>
    <row r="77" spans="1:6" x14ac:dyDescent="0.2">
      <c r="A77" s="19">
        <v>11</v>
      </c>
      <c r="B77" s="181" t="s">
        <v>10</v>
      </c>
      <c r="C77" s="182"/>
      <c r="D77" s="14">
        <f t="shared" si="5"/>
        <v>173439</v>
      </c>
      <c r="E77" s="17">
        <f>IF(F3="1",SUMIF(Data!A:A,'3'!$A$2,Data!EI:EI),0)</f>
        <v>424433</v>
      </c>
      <c r="F77" s="21">
        <f t="shared" si="4"/>
        <v>2.4500000000000002</v>
      </c>
    </row>
    <row r="78" spans="1:6" ht="14.25" customHeight="1" x14ac:dyDescent="0.2">
      <c r="A78" s="19">
        <v>12</v>
      </c>
      <c r="B78" s="181" t="s">
        <v>11</v>
      </c>
      <c r="C78" s="182"/>
      <c r="D78" s="14">
        <f t="shared" si="5"/>
        <v>650423</v>
      </c>
      <c r="E78" s="17">
        <f>IF(F3="1",SUMIF(Data!A:A,'3'!$A$2,Data!EJ:EJ),0)</f>
        <v>2047131</v>
      </c>
      <c r="F78" s="21">
        <f t="shared" si="4"/>
        <v>3.15</v>
      </c>
    </row>
    <row r="79" spans="1:6" x14ac:dyDescent="0.2">
      <c r="A79" s="19">
        <v>13</v>
      </c>
      <c r="B79" s="181" t="s">
        <v>12</v>
      </c>
      <c r="C79" s="182"/>
      <c r="D79" s="14">
        <f t="shared" si="5"/>
        <v>27081</v>
      </c>
      <c r="E79" s="17">
        <f>IF(F3="1",SUMIF(Data!A:A,'3'!$A$2,Data!EK:EK),0)</f>
        <v>87383</v>
      </c>
      <c r="F79" s="21">
        <f t="shared" si="4"/>
        <v>3.23</v>
      </c>
    </row>
    <row r="80" spans="1:6" ht="14.25" customHeight="1" x14ac:dyDescent="0.2">
      <c r="A80" s="19">
        <v>14</v>
      </c>
      <c r="B80" s="181" t="s">
        <v>464</v>
      </c>
      <c r="C80" s="182"/>
      <c r="D80" s="14">
        <f t="shared" si="5"/>
        <v>242806</v>
      </c>
      <c r="E80" s="17">
        <f>IF(F3="1",SUMIF(Data!A:A,'3'!$A$2,Data!EL:EL),0)</f>
        <v>831481</v>
      </c>
      <c r="F80" s="21">
        <f t="shared" si="4"/>
        <v>3.42</v>
      </c>
    </row>
    <row r="81" spans="1:6" x14ac:dyDescent="0.2">
      <c r="A81" s="19">
        <v>15</v>
      </c>
      <c r="B81" s="181" t="s">
        <v>13</v>
      </c>
      <c r="C81" s="182"/>
      <c r="D81" s="14">
        <f t="shared" si="5"/>
        <v>52292</v>
      </c>
      <c r="E81" s="17">
        <f>IF(F3="1",SUMIF(Data!A:A,'3'!$A$2,Data!EM:EM),0)</f>
        <v>197756</v>
      </c>
      <c r="F81" s="21">
        <f t="shared" si="4"/>
        <v>3.78</v>
      </c>
    </row>
    <row r="82" spans="1:6" x14ac:dyDescent="0.2">
      <c r="A82" s="19">
        <v>16</v>
      </c>
      <c r="B82" s="181" t="s">
        <v>14</v>
      </c>
      <c r="C82" s="182"/>
      <c r="D82" s="14">
        <f t="shared" si="5"/>
        <v>307719</v>
      </c>
      <c r="E82" s="17">
        <f>IF(F3="1",SUMIF(Data!A:A,'3'!$A$2,Data!EN:EN),0)</f>
        <v>1012707</v>
      </c>
      <c r="F82" s="21">
        <f t="shared" si="4"/>
        <v>3.29</v>
      </c>
    </row>
    <row r="83" spans="1:6" x14ac:dyDescent="0.2">
      <c r="A83" s="19">
        <v>17</v>
      </c>
      <c r="B83" s="181" t="s">
        <v>15</v>
      </c>
      <c r="C83" s="182"/>
      <c r="D83" s="14">
        <f t="shared" si="5"/>
        <v>14160</v>
      </c>
      <c r="E83" s="17">
        <f>IF(F3="1",SUMIF(Data!A:A,'3'!$A$2,Data!EO:EO),0)</f>
        <v>56790</v>
      </c>
      <c r="F83" s="21">
        <f t="shared" si="4"/>
        <v>4.01</v>
      </c>
    </row>
    <row r="84" spans="1:6" x14ac:dyDescent="0.2">
      <c r="A84" s="19">
        <v>18</v>
      </c>
      <c r="B84" s="181" t="s">
        <v>16</v>
      </c>
      <c r="C84" s="182"/>
      <c r="D84" s="14">
        <f t="shared" si="5"/>
        <v>80032</v>
      </c>
      <c r="E84" s="17">
        <f>IF(F3="1",SUMIF(Data!A:A,'3'!$A$2,Data!EP:EP),0)</f>
        <v>320852</v>
      </c>
      <c r="F84" s="21">
        <f t="shared" si="4"/>
        <v>4.01</v>
      </c>
    </row>
    <row r="85" spans="1:6" x14ac:dyDescent="0.2">
      <c r="A85" s="19">
        <v>19</v>
      </c>
      <c r="B85" s="181" t="s">
        <v>17</v>
      </c>
      <c r="C85" s="182"/>
      <c r="D85" s="14">
        <f t="shared" si="5"/>
        <v>403142</v>
      </c>
      <c r="E85" s="17">
        <f>IF(F3="1",SUMIF(Data!A:A,'3'!$A$2,Data!EQ:EQ),0)</f>
        <v>1077736</v>
      </c>
      <c r="F85" s="21">
        <f t="shared" si="4"/>
        <v>2.67</v>
      </c>
    </row>
    <row r="86" spans="1:6" x14ac:dyDescent="0.2">
      <c r="A86" s="19">
        <v>20</v>
      </c>
      <c r="B86" s="181" t="s">
        <v>18</v>
      </c>
      <c r="C86" s="182"/>
      <c r="D86" s="14">
        <f t="shared" si="5"/>
        <v>79755</v>
      </c>
      <c r="E86" s="17">
        <f>IF(F3="1",SUMIF(Data!A:A,'3'!$A$2,Data!ER:ER),0)</f>
        <v>234481</v>
      </c>
      <c r="F86" s="21">
        <f t="shared" si="4"/>
        <v>2.94</v>
      </c>
    </row>
    <row r="87" spans="1:6" ht="14.25" customHeight="1" x14ac:dyDescent="0.2">
      <c r="A87" s="19">
        <v>21</v>
      </c>
      <c r="B87" s="181" t="s">
        <v>461</v>
      </c>
      <c r="C87" s="182"/>
      <c r="D87" s="14">
        <f t="shared" si="5"/>
        <v>100362</v>
      </c>
      <c r="E87" s="17">
        <f>IF(F3="1",SUMIF(Data!A:A,'3'!$A$2,Data!ES:ES),0)</f>
        <v>293872</v>
      </c>
      <c r="F87" s="21">
        <f t="shared" si="4"/>
        <v>2.93</v>
      </c>
    </row>
    <row r="88" spans="1:6" x14ac:dyDescent="0.2">
      <c r="A88" s="19">
        <v>22</v>
      </c>
      <c r="B88" s="181" t="s">
        <v>19</v>
      </c>
      <c r="C88" s="182"/>
      <c r="D88" s="14">
        <f t="shared" si="5"/>
        <v>6272</v>
      </c>
      <c r="E88" s="17">
        <f>IF(F3="1",SUMIF(Data!A:A,'3'!$A$2,Data!ET:ET),0)</f>
        <v>18385</v>
      </c>
      <c r="F88" s="21">
        <f t="shared" si="4"/>
        <v>2.93</v>
      </c>
    </row>
    <row r="89" spans="1:6" x14ac:dyDescent="0.2">
      <c r="A89" s="19">
        <v>23</v>
      </c>
      <c r="B89" s="181" t="s">
        <v>20</v>
      </c>
      <c r="C89" s="182"/>
      <c r="D89" s="14">
        <f t="shared" si="5"/>
        <v>94204</v>
      </c>
      <c r="E89" s="17">
        <f>IF(F3="1",SUMIF(Data!A:A,'3'!$A$2,Data!EU:EU),0)</f>
        <v>202042</v>
      </c>
      <c r="F89" s="21">
        <f t="shared" si="4"/>
        <v>2.14</v>
      </c>
    </row>
    <row r="90" spans="1:6" x14ac:dyDescent="0.2">
      <c r="A90" s="19">
        <v>24</v>
      </c>
      <c r="B90" s="181" t="s">
        <v>21</v>
      </c>
      <c r="C90" s="182"/>
      <c r="D90" s="14">
        <f t="shared" si="5"/>
        <v>413530</v>
      </c>
      <c r="E90" s="17">
        <f>IF(F3="1",SUMIF(Data!A:A,'3'!$A$2,Data!EV:EV),0)</f>
        <v>490750</v>
      </c>
      <c r="F90" s="21">
        <f t="shared" si="4"/>
        <v>1.19</v>
      </c>
    </row>
    <row r="91" spans="1:6" x14ac:dyDescent="0.2">
      <c r="A91" s="19">
        <v>25</v>
      </c>
      <c r="B91" s="181" t="s">
        <v>22</v>
      </c>
      <c r="C91" s="182"/>
      <c r="D91" s="14">
        <f t="shared" si="5"/>
        <v>397514</v>
      </c>
      <c r="E91" s="17">
        <f>IF(F3="1",SUMIF(Data!A:A,'3'!$A$2,Data!EW:EW),0)</f>
        <v>869952</v>
      </c>
      <c r="F91" s="21">
        <f t="shared" si="4"/>
        <v>2.19</v>
      </c>
    </row>
    <row r="92" spans="1:6" x14ac:dyDescent="0.2">
      <c r="A92" s="19">
        <v>26</v>
      </c>
      <c r="B92" s="181" t="s">
        <v>23</v>
      </c>
      <c r="C92" s="182"/>
      <c r="D92" s="14">
        <f t="shared" si="5"/>
        <v>212822</v>
      </c>
      <c r="E92" s="17">
        <f>IF(F3="1",SUMIF(Data!A:A,'3'!$A$2,Data!EX:EX),0)</f>
        <v>704757</v>
      </c>
      <c r="F92" s="21">
        <f t="shared" si="4"/>
        <v>3.31</v>
      </c>
    </row>
    <row r="93" spans="1:6" x14ac:dyDescent="0.2">
      <c r="A93" s="19">
        <v>28</v>
      </c>
      <c r="B93" s="181" t="s">
        <v>24</v>
      </c>
      <c r="C93" s="182"/>
      <c r="D93" s="14">
        <f t="shared" si="5"/>
        <v>0</v>
      </c>
      <c r="E93" s="17">
        <f>IF(F3="1",SUMIF(Data!A:A,'3'!$A$2,Data!EZ:EZ),0)</f>
        <v>0</v>
      </c>
      <c r="F93" s="21" t="str">
        <f t="shared" si="4"/>
        <v/>
      </c>
    </row>
    <row r="94" spans="1:6" ht="15.75" customHeight="1" thickBot="1" x14ac:dyDescent="0.25">
      <c r="A94" s="22">
        <v>29</v>
      </c>
      <c r="B94" s="183" t="s">
        <v>25</v>
      </c>
      <c r="C94" s="184"/>
      <c r="D94" s="23">
        <f t="shared" si="5"/>
        <v>0</v>
      </c>
      <c r="E94" s="24">
        <f>IF(F3="1",SUMIF(Data!A:A,'3'!$A$2,Data!FA:FA),0)</f>
        <v>0</v>
      </c>
      <c r="F94" s="25" t="str">
        <f t="shared" si="4"/>
        <v/>
      </c>
    </row>
    <row r="95" spans="1:6" x14ac:dyDescent="0.2">
      <c r="B95" s="30" t="s">
        <v>35</v>
      </c>
      <c r="C95" s="30"/>
      <c r="D95" s="59">
        <f>SUM(D67:D94)</f>
        <v>4425555</v>
      </c>
      <c r="E95" s="31">
        <f>SUM(E67:E94)</f>
        <v>12031546</v>
      </c>
      <c r="F95" s="32">
        <f t="shared" si="4"/>
        <v>2.72</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IF(F3="1",SUMIF(Data!A:A,'3'!$A$2,Data!AH:AH),0)</f>
        <v>6829208</v>
      </c>
      <c r="F98" s="20">
        <f>IF(OR(E98=0,E98=0),"",ROUND(E98/$D$105,2))</f>
        <v>1.54</v>
      </c>
    </row>
    <row r="99" spans="2:6" x14ac:dyDescent="0.2">
      <c r="B99" s="187" t="s">
        <v>31</v>
      </c>
      <c r="C99" s="188"/>
      <c r="D99" s="36"/>
      <c r="E99" s="17">
        <f>IF(F3="1",SUMIF(Data!A:A,'3'!$A$2,Data!AI:AI),0)</f>
        <v>2687309</v>
      </c>
      <c r="F99" s="21">
        <f t="shared" ref="F99:F104" si="6">IF(OR(E99=0,E99=0),"",ROUND(E99/$D$105,2))</f>
        <v>0.61</v>
      </c>
    </row>
    <row r="100" spans="2:6" x14ac:dyDescent="0.2">
      <c r="B100" s="187" t="s">
        <v>1078</v>
      </c>
      <c r="C100" s="188"/>
      <c r="D100" s="36"/>
      <c r="E100" s="17">
        <f>IF(F3="1",SUMIF(Data!A:A,'3'!$A$2,Data!AJ:AJ),0)</f>
        <v>1136751</v>
      </c>
      <c r="F100" s="21">
        <f t="shared" si="6"/>
        <v>0.26</v>
      </c>
    </row>
    <row r="101" spans="2:6" x14ac:dyDescent="0.2">
      <c r="B101" s="187" t="s">
        <v>1079</v>
      </c>
      <c r="C101" s="188"/>
      <c r="D101" s="36"/>
      <c r="E101" s="17">
        <f>IF(F3="1",SUMIF(Data!A:A,'3'!$A$2,Data!AK:AK),0)</f>
        <v>1343479</v>
      </c>
      <c r="F101" s="21">
        <f t="shared" si="6"/>
        <v>0.3</v>
      </c>
    </row>
    <row r="102" spans="2:6" x14ac:dyDescent="0.2">
      <c r="B102" s="187" t="s">
        <v>1080</v>
      </c>
      <c r="C102" s="188"/>
      <c r="D102" s="36"/>
      <c r="E102" s="17">
        <f>IF(F3="1",SUMIF(Data!A:A,'3'!$A$2,Data!AL:AL),0)</f>
        <v>356323</v>
      </c>
      <c r="F102" s="21">
        <f t="shared" si="6"/>
        <v>0.08</v>
      </c>
    </row>
    <row r="103" spans="2:6" x14ac:dyDescent="0.2">
      <c r="B103" s="189" t="s">
        <v>34</v>
      </c>
      <c r="C103" s="190"/>
      <c r="D103" s="36"/>
      <c r="E103" s="17">
        <f>IF(F3="1",SUMIF(Data!A:A,'3'!$A$2,Data!AM:AM),0)</f>
        <v>0</v>
      </c>
      <c r="F103" s="21" t="str">
        <f t="shared" si="6"/>
        <v/>
      </c>
    </row>
    <row r="104" spans="2:6" ht="15.75" customHeight="1" thickBot="1" x14ac:dyDescent="0.25">
      <c r="B104" s="179" t="s">
        <v>29</v>
      </c>
      <c r="C104" s="180"/>
      <c r="D104" s="37"/>
      <c r="E104" s="24">
        <f>IF(F3="1",SUMIF(Data!A:A,'3'!$A$2,Data!Q:Q),0)</f>
        <v>2335109</v>
      </c>
      <c r="F104" s="25">
        <f t="shared" si="6"/>
        <v>0.53</v>
      </c>
    </row>
    <row r="105" spans="2:6" x14ac:dyDescent="0.2">
      <c r="B105" s="30" t="s">
        <v>35</v>
      </c>
      <c r="C105" s="30"/>
      <c r="D105" s="34">
        <f>D95</f>
        <v>4425555</v>
      </c>
      <c r="E105" s="31">
        <f>SUM(E98:E104)</f>
        <v>14688179</v>
      </c>
      <c r="F105" s="32">
        <f>IF($D$105=0,"",ROUND(E105/$D$105,2))</f>
        <v>3.32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12031546</v>
      </c>
      <c r="D109" s="15">
        <f>IF(F3="1",SUMIF(Data!$A:$A,$A$2,Data!HJ:HJ),0)</f>
        <v>0</v>
      </c>
      <c r="E109" s="15">
        <f>IF(F3="1",SUMIF(Data!$A:$A,$A$2,Data!IN:IN),0)</f>
        <v>0</v>
      </c>
      <c r="F109" s="47">
        <f>SUM(C109:E109)</f>
        <v>12031546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356323</v>
      </c>
      <c r="F116" s="48">
        <f t="shared" si="7"/>
        <v>356323</v>
      </c>
    </row>
    <row r="117" spans="1:6" ht="15" thickBot="1" x14ac:dyDescent="0.25">
      <c r="B117" s="43" t="s">
        <v>933</v>
      </c>
      <c r="C117" s="52"/>
      <c r="D117" s="52">
        <f>IF(F3="1",SUMIF(Data!A:A,$A$2,Data!Q:Q),0)</f>
        <v>2335109</v>
      </c>
      <c r="E117" s="52"/>
      <c r="F117" s="49">
        <f>SUM(C117:E117)</f>
        <v>2335109</v>
      </c>
    </row>
    <row r="118" spans="1:6" x14ac:dyDescent="0.2">
      <c r="B118" s="13" t="s">
        <v>35</v>
      </c>
      <c r="C118" s="4">
        <f>SUM(C109:C116)</f>
        <v>12031546</v>
      </c>
      <c r="D118" s="4">
        <f>SUM(D109:D116)</f>
        <v>0</v>
      </c>
      <c r="E118" s="4">
        <f>SUM(E109:E116)</f>
        <v>356323</v>
      </c>
      <c r="F118" s="4">
        <f>SUM(F109:F116)</f>
        <v>12387869</v>
      </c>
    </row>
    <row r="119" spans="1:6" ht="15" thickBot="1" x14ac:dyDescent="0.25"/>
    <row r="120" spans="1:6" ht="15" thickBot="1" x14ac:dyDescent="0.25">
      <c r="B120" s="55" t="s">
        <v>934</v>
      </c>
      <c r="C120" s="53"/>
      <c r="D120" s="53"/>
      <c r="E120" s="53">
        <f>IF(F3="1",SUMIF(Data!A:A,'3'!$A$2,Data!AM:AM),0)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421</v>
      </c>
      <c r="B2" s="58" t="str">
        <f>VLOOKUP(A2,Data!A:G,7,0)</f>
        <v>Angelina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4863</v>
      </c>
      <c r="E5" s="15">
        <f>E36+E67+IFERROR($E$105/$D$105*D5,0)</f>
        <v>17509.445430825312</v>
      </c>
      <c r="F5" s="20">
        <f>IF(OR(D5=0,E5=0),"",ROUND(E5/D5,2))</f>
        <v>3.6</v>
      </c>
    </row>
    <row r="6" spans="1:6" x14ac:dyDescent="0.2">
      <c r="A6" s="19">
        <v>2</v>
      </c>
      <c r="B6" s="181" t="s">
        <v>1</v>
      </c>
      <c r="C6" s="182"/>
      <c r="D6" s="14">
        <f t="shared" ref="D6:D32" si="0">D37</f>
        <v>53706</v>
      </c>
      <c r="E6" s="17">
        <f t="shared" ref="E6:E32" si="1">E37+E68+IFERROR($E$105/$D$105*D6,0)</f>
        <v>419521.44855190301</v>
      </c>
      <c r="F6" s="21">
        <f t="shared" ref="F6:F33" si="2">IF(OR(D6=0,E6=0),"",ROUND(E6/D6,2))</f>
        <v>7.81</v>
      </c>
    </row>
    <row r="7" spans="1:6" ht="14.25" customHeight="1" x14ac:dyDescent="0.2">
      <c r="A7" s="19">
        <v>3</v>
      </c>
      <c r="B7" s="181" t="s">
        <v>2</v>
      </c>
      <c r="C7" s="182"/>
      <c r="D7" s="14">
        <f t="shared" si="0"/>
        <v>169888</v>
      </c>
      <c r="E7" s="17">
        <f t="shared" si="1"/>
        <v>795297.86250299215</v>
      </c>
      <c r="F7" s="21">
        <f t="shared" si="2"/>
        <v>4.68</v>
      </c>
    </row>
    <row r="8" spans="1:6" ht="14.25" customHeight="1" x14ac:dyDescent="0.2">
      <c r="A8" s="19">
        <v>4</v>
      </c>
      <c r="B8" s="181" t="s">
        <v>3</v>
      </c>
      <c r="C8" s="182"/>
      <c r="D8" s="14">
        <f t="shared" si="0"/>
        <v>153617</v>
      </c>
      <c r="E8" s="17">
        <f t="shared" si="1"/>
        <v>781186.57736933825</v>
      </c>
      <c r="F8" s="21">
        <f t="shared" si="2"/>
        <v>5.09</v>
      </c>
    </row>
    <row r="9" spans="1:6" x14ac:dyDescent="0.2">
      <c r="A9" s="19">
        <v>5</v>
      </c>
      <c r="B9" s="181" t="s">
        <v>4</v>
      </c>
      <c r="C9" s="182"/>
      <c r="D9" s="14">
        <f t="shared" si="0"/>
        <v>576</v>
      </c>
      <c r="E9" s="17">
        <f t="shared" si="1"/>
        <v>3317.8362262297715</v>
      </c>
      <c r="F9" s="21">
        <f t="shared" si="2"/>
        <v>5.76</v>
      </c>
    </row>
    <row r="10" spans="1:6" x14ac:dyDescent="0.2">
      <c r="A10" s="19">
        <v>6</v>
      </c>
      <c r="B10" s="181" t="s">
        <v>5</v>
      </c>
      <c r="C10" s="182"/>
      <c r="D10" s="14">
        <f t="shared" si="0"/>
        <v>6080</v>
      </c>
      <c r="E10" s="17">
        <f t="shared" si="1"/>
        <v>49948.604610203147</v>
      </c>
      <c r="F10" s="21">
        <f t="shared" si="2"/>
        <v>8.2200000000000006</v>
      </c>
    </row>
    <row r="11" spans="1:6" x14ac:dyDescent="0.2">
      <c r="A11" s="19">
        <v>7</v>
      </c>
      <c r="B11" s="181" t="s">
        <v>6</v>
      </c>
      <c r="C11" s="182"/>
      <c r="D11" s="14">
        <f t="shared" si="0"/>
        <v>49181</v>
      </c>
      <c r="E11" s="17">
        <f t="shared" si="1"/>
        <v>398398.33410105278</v>
      </c>
      <c r="F11" s="21">
        <f t="shared" si="2"/>
        <v>8.1</v>
      </c>
    </row>
    <row r="12" spans="1:6" x14ac:dyDescent="0.2">
      <c r="A12" s="19">
        <v>8</v>
      </c>
      <c r="B12" s="181" t="s">
        <v>7</v>
      </c>
      <c r="C12" s="182"/>
      <c r="D12" s="14">
        <f t="shared" si="0"/>
        <v>17296</v>
      </c>
      <c r="E12" s="17">
        <f t="shared" si="1"/>
        <v>137159.49890428843</v>
      </c>
      <c r="F12" s="21">
        <f t="shared" si="2"/>
        <v>7.93</v>
      </c>
    </row>
    <row r="13" spans="1:6" x14ac:dyDescent="0.2">
      <c r="A13" s="19">
        <v>9</v>
      </c>
      <c r="B13" s="181" t="s">
        <v>8</v>
      </c>
      <c r="C13" s="182"/>
      <c r="D13" s="14">
        <f t="shared" si="0"/>
        <v>71467</v>
      </c>
      <c r="E13" s="17">
        <f t="shared" si="1"/>
        <v>348864.73711799149</v>
      </c>
      <c r="F13" s="21">
        <f t="shared" si="2"/>
        <v>4.88</v>
      </c>
    </row>
    <row r="14" spans="1:6" x14ac:dyDescent="0.2">
      <c r="A14" s="19">
        <v>10</v>
      </c>
      <c r="B14" s="181" t="s">
        <v>9</v>
      </c>
      <c r="C14" s="182"/>
      <c r="D14" s="14">
        <f t="shared" si="0"/>
        <v>4158</v>
      </c>
      <c r="E14" s="17">
        <f t="shared" si="1"/>
        <v>28363.474008096164</v>
      </c>
      <c r="F14" s="21">
        <f t="shared" si="2"/>
        <v>6.82</v>
      </c>
    </row>
    <row r="15" spans="1:6" x14ac:dyDescent="0.2">
      <c r="A15" s="19">
        <v>11</v>
      </c>
      <c r="B15" s="181" t="s">
        <v>10</v>
      </c>
      <c r="C15" s="182"/>
      <c r="D15" s="14">
        <f t="shared" si="0"/>
        <v>30272</v>
      </c>
      <c r="E15" s="17">
        <f t="shared" si="1"/>
        <v>240060.72611185355</v>
      </c>
      <c r="F15" s="21">
        <f t="shared" si="2"/>
        <v>7.93</v>
      </c>
    </row>
    <row r="16" spans="1:6" ht="14.25" customHeight="1" x14ac:dyDescent="0.2">
      <c r="A16" s="19">
        <v>12</v>
      </c>
      <c r="B16" s="181" t="s">
        <v>11</v>
      </c>
      <c r="C16" s="182"/>
      <c r="D16" s="14">
        <f t="shared" si="0"/>
        <v>329259</v>
      </c>
      <c r="E16" s="17">
        <f t="shared" si="1"/>
        <v>1401351.7725906048</v>
      </c>
      <c r="F16" s="21">
        <f t="shared" si="2"/>
        <v>4.26</v>
      </c>
    </row>
    <row r="17" spans="1:6" x14ac:dyDescent="0.2">
      <c r="A17" s="19">
        <v>13</v>
      </c>
      <c r="B17" s="181" t="s">
        <v>12</v>
      </c>
      <c r="C17" s="182"/>
      <c r="D17" s="14">
        <f t="shared" si="0"/>
        <v>23304</v>
      </c>
      <c r="E17" s="17">
        <f t="shared" si="1"/>
        <v>118931.74898621286</v>
      </c>
      <c r="F17" s="21">
        <f t="shared" si="2"/>
        <v>5.0999999999999996</v>
      </c>
    </row>
    <row r="18" spans="1:6" ht="14.25" customHeight="1" x14ac:dyDescent="0.2">
      <c r="A18" s="19">
        <v>14</v>
      </c>
      <c r="B18" s="181" t="s">
        <v>464</v>
      </c>
      <c r="C18" s="182"/>
      <c r="D18" s="14">
        <f t="shared" si="0"/>
        <v>133040</v>
      </c>
      <c r="E18" s="17">
        <f t="shared" si="1"/>
        <v>996006.75614168204</v>
      </c>
      <c r="F18" s="21">
        <f t="shared" si="2"/>
        <v>7.49</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222130</v>
      </c>
      <c r="E20" s="17">
        <f t="shared" si="1"/>
        <v>1191960.1023132277</v>
      </c>
      <c r="F20" s="21">
        <f t="shared" si="2"/>
        <v>5.37</v>
      </c>
    </row>
    <row r="21" spans="1:6" x14ac:dyDescent="0.2">
      <c r="A21" s="19">
        <v>17</v>
      </c>
      <c r="B21" s="181" t="s">
        <v>15</v>
      </c>
      <c r="C21" s="182"/>
      <c r="D21" s="14">
        <f t="shared" si="0"/>
        <v>27980</v>
      </c>
      <c r="E21" s="17">
        <f t="shared" si="1"/>
        <v>217425.44029498092</v>
      </c>
      <c r="F21" s="21">
        <f t="shared" si="2"/>
        <v>7.77</v>
      </c>
    </row>
    <row r="22" spans="1:6" x14ac:dyDescent="0.2">
      <c r="A22" s="19">
        <v>18</v>
      </c>
      <c r="B22" s="181" t="s">
        <v>16</v>
      </c>
      <c r="C22" s="182"/>
      <c r="D22" s="14">
        <f t="shared" si="0"/>
        <v>54256</v>
      </c>
      <c r="E22" s="17">
        <f t="shared" si="1"/>
        <v>266700.49008736544</v>
      </c>
      <c r="F22" s="21">
        <f t="shared" si="2"/>
        <v>4.92</v>
      </c>
    </row>
    <row r="23" spans="1:6" x14ac:dyDescent="0.2">
      <c r="A23" s="19">
        <v>19</v>
      </c>
      <c r="B23" s="181" t="s">
        <v>17</v>
      </c>
      <c r="C23" s="182"/>
      <c r="D23" s="14">
        <f t="shared" si="0"/>
        <v>260208</v>
      </c>
      <c r="E23" s="17">
        <f t="shared" si="1"/>
        <v>1096853.2651992994</v>
      </c>
      <c r="F23" s="21">
        <f t="shared" si="2"/>
        <v>4.22</v>
      </c>
    </row>
    <row r="24" spans="1:6" x14ac:dyDescent="0.2">
      <c r="A24" s="19">
        <v>20</v>
      </c>
      <c r="B24" s="181" t="s">
        <v>18</v>
      </c>
      <c r="C24" s="182"/>
      <c r="D24" s="14">
        <f t="shared" si="0"/>
        <v>6784</v>
      </c>
      <c r="E24" s="17">
        <f t="shared" si="1"/>
        <v>78495.737775595087</v>
      </c>
      <c r="F24" s="21">
        <f t="shared" si="2"/>
        <v>11.57</v>
      </c>
    </row>
    <row r="25" spans="1:6" ht="14.25" customHeight="1" x14ac:dyDescent="0.2">
      <c r="A25" s="19">
        <v>21</v>
      </c>
      <c r="B25" s="181" t="s">
        <v>461</v>
      </c>
      <c r="C25" s="182"/>
      <c r="D25" s="14">
        <f t="shared" si="0"/>
        <v>7112</v>
      </c>
      <c r="E25" s="17">
        <f t="shared" si="1"/>
        <v>62201.686182198158</v>
      </c>
      <c r="F25" s="21">
        <f t="shared" si="2"/>
        <v>8.75</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48912</v>
      </c>
      <c r="E27" s="17">
        <f t="shared" si="1"/>
        <v>269956.84287734481</v>
      </c>
      <c r="F27" s="21">
        <f t="shared" si="2"/>
        <v>5.52</v>
      </c>
    </row>
    <row r="28" spans="1:6" x14ac:dyDescent="0.2">
      <c r="A28" s="19">
        <v>24</v>
      </c>
      <c r="B28" s="181" t="s">
        <v>21</v>
      </c>
      <c r="C28" s="182"/>
      <c r="D28" s="14">
        <f t="shared" si="0"/>
        <v>186292</v>
      </c>
      <c r="E28" s="17">
        <f t="shared" si="1"/>
        <v>800771.63586249412</v>
      </c>
      <c r="F28" s="21">
        <f t="shared" si="2"/>
        <v>4.3</v>
      </c>
    </row>
    <row r="29" spans="1:6" x14ac:dyDescent="0.2">
      <c r="A29" s="19">
        <v>25</v>
      </c>
      <c r="B29" s="181" t="s">
        <v>22</v>
      </c>
      <c r="C29" s="182"/>
      <c r="D29" s="14">
        <f t="shared" si="0"/>
        <v>314376</v>
      </c>
      <c r="E29" s="17">
        <f t="shared" si="1"/>
        <v>1194110.9886409908</v>
      </c>
      <c r="F29" s="21">
        <f t="shared" si="2"/>
        <v>3.8</v>
      </c>
    </row>
    <row r="30" spans="1:6" x14ac:dyDescent="0.2">
      <c r="A30" s="19">
        <v>26</v>
      </c>
      <c r="B30" s="181" t="s">
        <v>23</v>
      </c>
      <c r="C30" s="182"/>
      <c r="D30" s="14">
        <f t="shared" si="0"/>
        <v>89525</v>
      </c>
      <c r="E30" s="17">
        <f t="shared" si="1"/>
        <v>573551.98811322975</v>
      </c>
      <c r="F30" s="21">
        <f t="shared" si="2"/>
        <v>6.41</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2264282</v>
      </c>
      <c r="E33" s="31">
        <f>SUM(E5:E32)</f>
        <v>11487947.000000002</v>
      </c>
      <c r="F33" s="32">
        <f t="shared" si="2"/>
        <v>5.07</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IF(F3="1",SUMIF(Data!A:A,'4'!$A$2,Data!CU:CU),0)</f>
        <v>4863</v>
      </c>
      <c r="E36" s="15">
        <f>IF(F3="1",SUMIF(Data!$A:$A,$A$2,Data!IO:IO),0)</f>
        <v>1452</v>
      </c>
      <c r="F36" s="20">
        <f t="shared" ref="F36:F64" si="3">IF(OR(D36=0,E36=0),"",ROUND(E36/D36,2))</f>
        <v>0.3</v>
      </c>
    </row>
    <row r="37" spans="1:6" x14ac:dyDescent="0.2">
      <c r="A37" s="19">
        <v>2</v>
      </c>
      <c r="B37" s="181" t="s">
        <v>1</v>
      </c>
      <c r="C37" s="182"/>
      <c r="D37" s="14">
        <f>IF(F3="1",SUMIF(Data!A:A,'4'!$A$2,Data!CV:CV),0)</f>
        <v>53706</v>
      </c>
      <c r="E37" s="17">
        <f>IF(F3="1",SUMIF(Data!$A:$A,$A$2,Data!IP:IP),0)</f>
        <v>31873</v>
      </c>
      <c r="F37" s="21">
        <f t="shared" si="3"/>
        <v>0.59</v>
      </c>
    </row>
    <row r="38" spans="1:6" ht="14.25" customHeight="1" x14ac:dyDescent="0.2">
      <c r="A38" s="19">
        <v>3</v>
      </c>
      <c r="B38" s="181" t="s">
        <v>2</v>
      </c>
      <c r="C38" s="182"/>
      <c r="D38" s="14">
        <f>IF(F3="1",SUMIF(Data!A:A,'4'!$A$2,Data!CW:CW),0)</f>
        <v>169888</v>
      </c>
      <c r="E38" s="17">
        <f>IF($F$3="1",SUMIF(Data!$A:$A,$A$2,Data!IQ:IQ),0)</f>
        <v>64172</v>
      </c>
      <c r="F38" s="21">
        <f t="shared" si="3"/>
        <v>0.38</v>
      </c>
    </row>
    <row r="39" spans="1:6" ht="14.25" customHeight="1" x14ac:dyDescent="0.2">
      <c r="A39" s="19">
        <v>4</v>
      </c>
      <c r="B39" s="181" t="s">
        <v>3</v>
      </c>
      <c r="C39" s="182"/>
      <c r="D39" s="14">
        <f>IF(F3="1",SUMIF(Data!A:A,'4'!$A$2,Data!CX:CX),0)</f>
        <v>153617</v>
      </c>
      <c r="E39" s="17">
        <f>IF($F$3="1",SUMIF(Data!$A:$A,$A$2,Data!IR:IR),0)</f>
        <v>32706</v>
      </c>
      <c r="F39" s="21">
        <f t="shared" si="3"/>
        <v>0.21</v>
      </c>
    </row>
    <row r="40" spans="1:6" x14ac:dyDescent="0.2">
      <c r="A40" s="19">
        <v>5</v>
      </c>
      <c r="B40" s="181" t="s">
        <v>4</v>
      </c>
      <c r="C40" s="182"/>
      <c r="D40" s="14">
        <f>IF(F3="1",SUMIF(Data!A:A,'4'!$A$2,Data!CY:CY),0)</f>
        <v>576</v>
      </c>
      <c r="E40" s="17">
        <f>IF($F$3="1",SUMIF(Data!$A:$A,$A$2,Data!IS:IS),0)</f>
        <v>781</v>
      </c>
      <c r="F40" s="21">
        <f t="shared" si="3"/>
        <v>1.36</v>
      </c>
    </row>
    <row r="41" spans="1:6" x14ac:dyDescent="0.2">
      <c r="A41" s="19">
        <v>6</v>
      </c>
      <c r="B41" s="181" t="s">
        <v>5</v>
      </c>
      <c r="C41" s="182"/>
      <c r="D41" s="14">
        <f>IF(F3="1",SUMIF(Data!A:A,'4'!$A$2,Data!CZ:CZ),0)</f>
        <v>6080</v>
      </c>
      <c r="E41" s="17">
        <f>IF($F$3="1",SUMIF(Data!$A:$A,$A$2,Data!IT:IT),0)</f>
        <v>3817</v>
      </c>
      <c r="F41" s="21">
        <f t="shared" si="3"/>
        <v>0.63</v>
      </c>
    </row>
    <row r="42" spans="1:6" x14ac:dyDescent="0.2">
      <c r="A42" s="19">
        <v>7</v>
      </c>
      <c r="B42" s="181" t="s">
        <v>6</v>
      </c>
      <c r="C42" s="182"/>
      <c r="D42" s="14">
        <f>IF(F3="1",SUMIF(Data!A:A,'4'!$A$2,Data!DA:DA),0)</f>
        <v>49181</v>
      </c>
      <c r="E42" s="17">
        <f>IF($F$3="1",SUMIF(Data!$A:$A,$A$2,Data!IU:IU),0)</f>
        <v>39815</v>
      </c>
      <c r="F42" s="21">
        <f t="shared" si="3"/>
        <v>0.81</v>
      </c>
    </row>
    <row r="43" spans="1:6" x14ac:dyDescent="0.2">
      <c r="A43" s="19">
        <v>8</v>
      </c>
      <c r="B43" s="181" t="s">
        <v>7</v>
      </c>
      <c r="C43" s="182"/>
      <c r="D43" s="14">
        <f>IF(F3="1",SUMIF(Data!A:A,'4'!$A$2,Data!DB:DB),0)</f>
        <v>17296</v>
      </c>
      <c r="E43" s="17">
        <f>IF($F$3="1",SUMIF(Data!$A:$A,$A$2,Data!IV:IV),0)</f>
        <v>13970</v>
      </c>
      <c r="F43" s="21">
        <f t="shared" si="3"/>
        <v>0.81</v>
      </c>
    </row>
    <row r="44" spans="1:6" x14ac:dyDescent="0.2">
      <c r="A44" s="19">
        <v>9</v>
      </c>
      <c r="B44" s="181" t="s">
        <v>8</v>
      </c>
      <c r="C44" s="182"/>
      <c r="D44" s="14">
        <f>IF(F3="1",SUMIF(Data!A:A,'4'!$A$2,Data!DC:DC),0)</f>
        <v>71467</v>
      </c>
      <c r="E44" s="17">
        <f>IF($F$3="1",SUMIF(Data!$A:$A,$A$2,Data!IW:IW),0)</f>
        <v>42353</v>
      </c>
      <c r="F44" s="21">
        <f t="shared" si="3"/>
        <v>0.59</v>
      </c>
    </row>
    <row r="45" spans="1:6" x14ac:dyDescent="0.2">
      <c r="A45" s="19">
        <v>10</v>
      </c>
      <c r="B45" s="181" t="s">
        <v>9</v>
      </c>
      <c r="C45" s="182"/>
      <c r="D45" s="14">
        <f>IF(F3="1",SUMIF(Data!A:A,'4'!$A$2,Data!DD:DD),0)</f>
        <v>4158</v>
      </c>
      <c r="E45" s="17">
        <f>IF($F$3="1",SUMIF(Data!$A:$A,$A$2,Data!IX:IX),0)</f>
        <v>4868</v>
      </c>
      <c r="F45" s="21">
        <f t="shared" si="3"/>
        <v>1.17</v>
      </c>
    </row>
    <row r="46" spans="1:6" x14ac:dyDescent="0.2">
      <c r="A46" s="19">
        <v>11</v>
      </c>
      <c r="B46" s="181" t="s">
        <v>10</v>
      </c>
      <c r="C46" s="182"/>
      <c r="D46" s="14">
        <f>IF(F3="1",SUMIF(Data!A:A,'4'!$A$2,Data!DE:DE),0)</f>
        <v>30272</v>
      </c>
      <c r="E46" s="17">
        <f>IF($F$3="1",SUMIF(Data!$A:$A,$A$2,Data!IY:IY),0)</f>
        <v>24450</v>
      </c>
      <c r="F46" s="21">
        <f t="shared" si="3"/>
        <v>0.81</v>
      </c>
    </row>
    <row r="47" spans="1:6" ht="14.25" customHeight="1" x14ac:dyDescent="0.2">
      <c r="A47" s="19">
        <v>12</v>
      </c>
      <c r="B47" s="181" t="s">
        <v>11</v>
      </c>
      <c r="C47" s="182"/>
      <c r="D47" s="14">
        <f>IF(F3="1",SUMIF(Data!A:A,'4'!$A$2,Data!DF:DF),0)</f>
        <v>329259</v>
      </c>
      <c r="E47" s="17">
        <f>IF($F$3="1",SUMIF(Data!$A:$A,$A$2,Data!IZ:IZ),0)</f>
        <v>41842</v>
      </c>
      <c r="F47" s="21">
        <f t="shared" si="3"/>
        <v>0.13</v>
      </c>
    </row>
    <row r="48" spans="1:6" x14ac:dyDescent="0.2">
      <c r="A48" s="19">
        <v>13</v>
      </c>
      <c r="B48" s="181" t="s">
        <v>12</v>
      </c>
      <c r="C48" s="182"/>
      <c r="D48" s="14">
        <f>IF(F3="1",SUMIF(Data!A:A,'4'!$A$2,Data!DG:DG),0)</f>
        <v>23304</v>
      </c>
      <c r="E48" s="17">
        <f>IF($F$3="1",SUMIF(Data!$A:$A,$A$2,Data!JA:JA),0)</f>
        <v>5274</v>
      </c>
      <c r="F48" s="21">
        <f t="shared" si="3"/>
        <v>0.23</v>
      </c>
    </row>
    <row r="49" spans="1:6" ht="14.25" customHeight="1" x14ac:dyDescent="0.2">
      <c r="A49" s="19">
        <v>14</v>
      </c>
      <c r="B49" s="181" t="s">
        <v>464</v>
      </c>
      <c r="C49" s="182"/>
      <c r="D49" s="14">
        <f>IF(F3="1",SUMIF(Data!A:A,'4'!$A$2,Data!DH:DH),0)</f>
        <v>133040</v>
      </c>
      <c r="E49" s="17">
        <f>IF($F$3="1",SUMIF(Data!$A:$A,$A$2,Data!JB:JB),0)</f>
        <v>47838</v>
      </c>
      <c r="F49" s="21">
        <f t="shared" si="3"/>
        <v>0.36</v>
      </c>
    </row>
    <row r="50" spans="1:6" x14ac:dyDescent="0.2">
      <c r="A50" s="19">
        <v>15</v>
      </c>
      <c r="B50" s="181" t="s">
        <v>13</v>
      </c>
      <c r="C50" s="182"/>
      <c r="D50" s="14">
        <f>IF(F3="1",SUMIF(Data!A:A,'4'!$A$2,Data!DI:DI),0)</f>
        <v>0</v>
      </c>
      <c r="E50" s="17">
        <f>IF($F$3="1",SUMIF(Data!$A:$A,$A$2,Data!JC:JC),0)</f>
        <v>0</v>
      </c>
      <c r="F50" s="21" t="str">
        <f t="shared" si="3"/>
        <v/>
      </c>
    </row>
    <row r="51" spans="1:6" x14ac:dyDescent="0.2">
      <c r="A51" s="19">
        <v>16</v>
      </c>
      <c r="B51" s="181" t="s">
        <v>14</v>
      </c>
      <c r="C51" s="182"/>
      <c r="D51" s="14">
        <f>IF(F3="1",SUMIF(Data!A:A,'4'!$A$2,Data!DJ:DJ),0)</f>
        <v>222130</v>
      </c>
      <c r="E51" s="17">
        <f>IF($F$3="1",SUMIF(Data!$A:$A,$A$2,Data!JD:JD),0)</f>
        <v>142889</v>
      </c>
      <c r="F51" s="21">
        <f t="shared" si="3"/>
        <v>0.64</v>
      </c>
    </row>
    <row r="52" spans="1:6" x14ac:dyDescent="0.2">
      <c r="A52" s="19">
        <v>17</v>
      </c>
      <c r="B52" s="181" t="s">
        <v>15</v>
      </c>
      <c r="C52" s="182"/>
      <c r="D52" s="14">
        <f>IF(F3="1",SUMIF(Data!A:A,'4'!$A$2,Data!DK:DK),0)</f>
        <v>27980</v>
      </c>
      <c r="E52" s="17">
        <f>IF($F$3="1",SUMIF(Data!$A:$A,$A$2,Data!JE:JE),0)</f>
        <v>15602</v>
      </c>
      <c r="F52" s="21">
        <f t="shared" si="3"/>
        <v>0.56000000000000005</v>
      </c>
    </row>
    <row r="53" spans="1:6" x14ac:dyDescent="0.2">
      <c r="A53" s="19">
        <v>18</v>
      </c>
      <c r="B53" s="181" t="s">
        <v>16</v>
      </c>
      <c r="C53" s="182"/>
      <c r="D53" s="14">
        <f>IF(F3="1",SUMIF(Data!A:A,'4'!$A$2,Data!DL:DL),0)</f>
        <v>54256</v>
      </c>
      <c r="E53" s="17">
        <f>IF($F$3="1",SUMIF(Data!$A:$A,$A$2,Data!JF:JF),0)</f>
        <v>32626</v>
      </c>
      <c r="F53" s="21">
        <f t="shared" si="3"/>
        <v>0.6</v>
      </c>
    </row>
    <row r="54" spans="1:6" x14ac:dyDescent="0.2">
      <c r="A54" s="19">
        <v>19</v>
      </c>
      <c r="B54" s="181" t="s">
        <v>17</v>
      </c>
      <c r="C54" s="182"/>
      <c r="D54" s="14">
        <f>IF(F3="1",SUMIF(Data!A:A,'4'!$A$2,Data!DM:DM),0)</f>
        <v>260208</v>
      </c>
      <c r="E54" s="17">
        <f>IF($F$3="1",SUMIF(Data!$A:$A,$A$2,Data!JG:JG),0)</f>
        <v>35844</v>
      </c>
      <c r="F54" s="21">
        <f t="shared" si="3"/>
        <v>0.14000000000000001</v>
      </c>
    </row>
    <row r="55" spans="1:6" x14ac:dyDescent="0.2">
      <c r="A55" s="19">
        <v>20</v>
      </c>
      <c r="B55" s="181" t="s">
        <v>18</v>
      </c>
      <c r="C55" s="182"/>
      <c r="D55" s="14">
        <f>IF(F3="1",SUMIF(Data!A:A,'4'!$A$2,Data!DN:DN),0)</f>
        <v>6784</v>
      </c>
      <c r="E55" s="17">
        <f>IF($F$3="1",SUMIF(Data!$A:$A,$A$2,Data!JH:JH),0)</f>
        <v>10279</v>
      </c>
      <c r="F55" s="21">
        <f t="shared" si="3"/>
        <v>1.52</v>
      </c>
    </row>
    <row r="56" spans="1:6" ht="14.25" customHeight="1" x14ac:dyDescent="0.2">
      <c r="A56" s="19">
        <v>21</v>
      </c>
      <c r="B56" s="181" t="s">
        <v>461</v>
      </c>
      <c r="C56" s="182"/>
      <c r="D56" s="14">
        <f>IF(F3="1",SUMIF(Data!A:A,'4'!$A$2,Data!DO:DO),0)</f>
        <v>7112</v>
      </c>
      <c r="E56" s="17">
        <f>IF($F$3="1",SUMIF(Data!$A:$A,$A$2,Data!JI:JI),0)</f>
        <v>10145</v>
      </c>
      <c r="F56" s="21">
        <f t="shared" si="3"/>
        <v>1.43</v>
      </c>
    </row>
    <row r="57" spans="1:6" x14ac:dyDescent="0.2">
      <c r="A57" s="19">
        <v>22</v>
      </c>
      <c r="B57" s="181" t="s">
        <v>19</v>
      </c>
      <c r="C57" s="182"/>
      <c r="D57" s="14">
        <f>IF(F3="1",SUMIF(Data!A:A,'4'!$A$2,Data!DP:DP),0)</f>
        <v>0</v>
      </c>
      <c r="E57" s="17">
        <f>IF($F$3="1",SUMIF(Data!$A:$A,$A$2,Data!JJ:JJ),0)</f>
        <v>0</v>
      </c>
      <c r="F57" s="21" t="str">
        <f t="shared" si="3"/>
        <v/>
      </c>
    </row>
    <row r="58" spans="1:6" x14ac:dyDescent="0.2">
      <c r="A58" s="19">
        <v>23</v>
      </c>
      <c r="B58" s="181" t="s">
        <v>20</v>
      </c>
      <c r="C58" s="182"/>
      <c r="D58" s="14">
        <f>IF(F3="1",SUMIF(Data!A:A,'4'!$A$2,Data!DQ:DQ),0)</f>
        <v>48912</v>
      </c>
      <c r="E58" s="17">
        <f>IF($F$3="1",SUMIF(Data!$A:$A,$A$2,Data!JK:JK),0)</f>
        <v>20682</v>
      </c>
      <c r="F58" s="21">
        <f t="shared" si="3"/>
        <v>0.42</v>
      </c>
    </row>
    <row r="59" spans="1:6" x14ac:dyDescent="0.2">
      <c r="A59" s="19">
        <v>24</v>
      </c>
      <c r="B59" s="181" t="s">
        <v>21</v>
      </c>
      <c r="C59" s="182"/>
      <c r="D59" s="14">
        <f>IF(F3="1",SUMIF(Data!A:A,'4'!$A$2,Data!DR:DR),0)</f>
        <v>186292</v>
      </c>
      <c r="E59" s="17">
        <f>IF($F$3="1",SUMIF(Data!$A:$A,$A$2,Data!JL:JL),0)</f>
        <v>117120</v>
      </c>
      <c r="F59" s="21">
        <f t="shared" si="3"/>
        <v>0.63</v>
      </c>
    </row>
    <row r="60" spans="1:6" x14ac:dyDescent="0.2">
      <c r="A60" s="19">
        <v>25</v>
      </c>
      <c r="B60" s="181" t="s">
        <v>22</v>
      </c>
      <c r="C60" s="182"/>
      <c r="D60" s="14">
        <f>IF(F3="1",SUMIF(Data!A:A,'4'!$A$2,Data!DS:DS),0)</f>
        <v>314376</v>
      </c>
      <c r="E60" s="17">
        <f>IF($F$3="1",SUMIF(Data!$A:$A,$A$2,Data!JM:JM),0)</f>
        <v>35379</v>
      </c>
      <c r="F60" s="21">
        <f t="shared" si="3"/>
        <v>0.11</v>
      </c>
    </row>
    <row r="61" spans="1:6" x14ac:dyDescent="0.2">
      <c r="A61" s="19">
        <v>26</v>
      </c>
      <c r="B61" s="181" t="s">
        <v>23</v>
      </c>
      <c r="C61" s="182"/>
      <c r="D61" s="14">
        <f>IF(F3="1",SUMIF(Data!A:A,'4'!$A$2,Data!DT:DT),0)</f>
        <v>89525</v>
      </c>
      <c r="E61" s="17">
        <f>IF($F$3="1",SUMIF(Data!$A:$A,$A$2,Data!JN:JN),0)</f>
        <v>110504</v>
      </c>
      <c r="F61" s="21">
        <f t="shared" si="3"/>
        <v>1.23</v>
      </c>
    </row>
    <row r="62" spans="1:6" x14ac:dyDescent="0.2">
      <c r="A62" s="19">
        <v>28</v>
      </c>
      <c r="B62" s="181" t="s">
        <v>24</v>
      </c>
      <c r="C62" s="182"/>
      <c r="D62" s="14">
        <f>IF(F3="1",SUMIF(Data!A:A,'4'!$A$2,Data!DV:DV),0)</f>
        <v>0</v>
      </c>
      <c r="E62" s="17">
        <f>IF($F$3="1",SUMIF(Data!$A:$A,$A$2,Data!JP:JP),0)</f>
        <v>0</v>
      </c>
      <c r="F62" s="21" t="str">
        <f t="shared" si="3"/>
        <v/>
      </c>
    </row>
    <row r="63" spans="1:6" ht="15.75" customHeight="1" thickBot="1" x14ac:dyDescent="0.25">
      <c r="A63" s="22">
        <v>29</v>
      </c>
      <c r="B63" s="183" t="s">
        <v>25</v>
      </c>
      <c r="C63" s="184"/>
      <c r="D63" s="23">
        <f>IF(F3="1",SUMIF(Data!A:A,'4'!$A$2,Data!DW:DW),0)</f>
        <v>0</v>
      </c>
      <c r="E63" s="24">
        <f>IF($F$3="1",SUMIF(Data!$A:$A,$A$2,Data!JQ:JQ),0)</f>
        <v>0</v>
      </c>
      <c r="F63" s="25" t="str">
        <f t="shared" si="3"/>
        <v/>
      </c>
    </row>
    <row r="64" spans="1:6" x14ac:dyDescent="0.2">
      <c r="B64" s="30" t="s">
        <v>35</v>
      </c>
      <c r="C64" s="30"/>
      <c r="D64" s="59">
        <f>SUM(D36:D63)</f>
        <v>2264282</v>
      </c>
      <c r="E64" s="31">
        <f>SUM(E36:E63)</f>
        <v>886281</v>
      </c>
      <c r="F64" s="32">
        <f t="shared" si="3"/>
        <v>0.39</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4863</v>
      </c>
      <c r="E67" s="15">
        <f>IF(F3="1",SUMIF(Data!A:A,'4'!$A$2,Data!DY:DY),0)</f>
        <v>7118</v>
      </c>
      <c r="F67" s="20">
        <f t="shared" ref="F67:F95" si="4">IF(OR(D67=0,E67=0),"",ROUND(E67/D67,2))</f>
        <v>1.46</v>
      </c>
    </row>
    <row r="68" spans="1:6" x14ac:dyDescent="0.2">
      <c r="A68" s="19">
        <v>2</v>
      </c>
      <c r="B68" s="181" t="s">
        <v>1</v>
      </c>
      <c r="C68" s="182"/>
      <c r="D68" s="14">
        <f t="shared" ref="D68:D94" si="5">D37</f>
        <v>53706</v>
      </c>
      <c r="E68" s="17">
        <f>IF(F3="1",SUMIF(Data!A:A,'4'!$A$2,Data!DZ:DZ),0)</f>
        <v>288923</v>
      </c>
      <c r="F68" s="21">
        <f t="shared" si="4"/>
        <v>5.38</v>
      </c>
    </row>
    <row r="69" spans="1:6" ht="14.25" customHeight="1" x14ac:dyDescent="0.2">
      <c r="A69" s="19">
        <v>3</v>
      </c>
      <c r="B69" s="181" t="s">
        <v>2</v>
      </c>
      <c r="C69" s="182"/>
      <c r="D69" s="14">
        <f t="shared" si="5"/>
        <v>169888</v>
      </c>
      <c r="E69" s="17">
        <f>IF(F3="1",SUMIF(Data!A:A,'4'!$A$2,Data!EA:EA),0)</f>
        <v>418828</v>
      </c>
      <c r="F69" s="21">
        <f t="shared" si="4"/>
        <v>2.4700000000000002</v>
      </c>
    </row>
    <row r="70" spans="1:6" ht="14.25" customHeight="1" x14ac:dyDescent="0.2">
      <c r="A70" s="19">
        <v>4</v>
      </c>
      <c r="B70" s="181" t="s">
        <v>3</v>
      </c>
      <c r="C70" s="182"/>
      <c r="D70" s="14">
        <f t="shared" si="5"/>
        <v>153617</v>
      </c>
      <c r="E70" s="17">
        <f>IF(F3="1",SUMIF(Data!A:A,'4'!$A$2,Data!EB:EB),0)</f>
        <v>466093</v>
      </c>
      <c r="F70" s="21">
        <f t="shared" si="4"/>
        <v>3.03</v>
      </c>
    </row>
    <row r="71" spans="1:6" x14ac:dyDescent="0.2">
      <c r="A71" s="19">
        <v>5</v>
      </c>
      <c r="B71" s="181" t="s">
        <v>4</v>
      </c>
      <c r="C71" s="182"/>
      <c r="D71" s="14">
        <f t="shared" si="5"/>
        <v>576</v>
      </c>
      <c r="E71" s="17">
        <f>IF(F3="1",SUMIF(Data!A:A,'4'!$A$2,Data!EC:EC),0)</f>
        <v>1478</v>
      </c>
      <c r="F71" s="21">
        <f t="shared" si="4"/>
        <v>2.57</v>
      </c>
    </row>
    <row r="72" spans="1:6" x14ac:dyDescent="0.2">
      <c r="A72" s="19">
        <v>6</v>
      </c>
      <c r="B72" s="181" t="s">
        <v>5</v>
      </c>
      <c r="C72" s="182"/>
      <c r="D72" s="14">
        <f t="shared" si="5"/>
        <v>6080</v>
      </c>
      <c r="E72" s="17">
        <f>IF(F3="1",SUMIF(Data!A:A,'4'!$A$2,Data!ED:ED),0)</f>
        <v>34955</v>
      </c>
      <c r="F72" s="21">
        <f t="shared" si="4"/>
        <v>5.75</v>
      </c>
    </row>
    <row r="73" spans="1:6" x14ac:dyDescent="0.2">
      <c r="A73" s="19">
        <v>7</v>
      </c>
      <c r="B73" s="181" t="s">
        <v>6</v>
      </c>
      <c r="C73" s="182"/>
      <c r="D73" s="14">
        <f t="shared" si="5"/>
        <v>49181</v>
      </c>
      <c r="E73" s="17">
        <f>IF(F3="1",SUMIF(Data!A:A,'4'!$A$2,Data!EE:EE),0)</f>
        <v>268176</v>
      </c>
      <c r="F73" s="21">
        <f t="shared" si="4"/>
        <v>5.45</v>
      </c>
    </row>
    <row r="74" spans="1:6" x14ac:dyDescent="0.2">
      <c r="A74" s="19">
        <v>8</v>
      </c>
      <c r="B74" s="181" t="s">
        <v>7</v>
      </c>
      <c r="C74" s="182"/>
      <c r="D74" s="14">
        <f t="shared" si="5"/>
        <v>17296</v>
      </c>
      <c r="E74" s="17">
        <f>IF(F3="1",SUMIF(Data!A:A,'4'!$A$2,Data!EF:EF),0)</f>
        <v>91395</v>
      </c>
      <c r="F74" s="21">
        <f t="shared" si="4"/>
        <v>5.28</v>
      </c>
    </row>
    <row r="75" spans="1:6" x14ac:dyDescent="0.2">
      <c r="A75" s="19">
        <v>9</v>
      </c>
      <c r="B75" s="181" t="s">
        <v>8</v>
      </c>
      <c r="C75" s="182"/>
      <c r="D75" s="14">
        <f t="shared" si="5"/>
        <v>71467</v>
      </c>
      <c r="E75" s="17">
        <f>IF(F3="1",SUMIF(Data!A:A,'4'!$A$2,Data!EG:EG),0)</f>
        <v>175137</v>
      </c>
      <c r="F75" s="21">
        <f t="shared" si="4"/>
        <v>2.4500000000000002</v>
      </c>
    </row>
    <row r="76" spans="1:6" x14ac:dyDescent="0.2">
      <c r="A76" s="19">
        <v>10</v>
      </c>
      <c r="B76" s="181" t="s">
        <v>9</v>
      </c>
      <c r="C76" s="182"/>
      <c r="D76" s="14">
        <f t="shared" si="5"/>
        <v>4158</v>
      </c>
      <c r="E76" s="17">
        <f>IF(F3="1",SUMIF(Data!A:A,'4'!$A$2,Data!EH:EH),0)</f>
        <v>15852</v>
      </c>
      <c r="F76" s="21">
        <f t="shared" si="4"/>
        <v>3.81</v>
      </c>
    </row>
    <row r="77" spans="1:6" x14ac:dyDescent="0.2">
      <c r="A77" s="19">
        <v>11</v>
      </c>
      <c r="B77" s="181" t="s">
        <v>10</v>
      </c>
      <c r="C77" s="182"/>
      <c r="D77" s="14">
        <f t="shared" si="5"/>
        <v>30272</v>
      </c>
      <c r="E77" s="17">
        <f>IF(F3="1",SUMIF(Data!A:A,'4'!$A$2,Data!EI:EI),0)</f>
        <v>159963</v>
      </c>
      <c r="F77" s="21">
        <f t="shared" si="4"/>
        <v>5.28</v>
      </c>
    </row>
    <row r="78" spans="1:6" ht="14.25" customHeight="1" x14ac:dyDescent="0.2">
      <c r="A78" s="19">
        <v>12</v>
      </c>
      <c r="B78" s="181" t="s">
        <v>11</v>
      </c>
      <c r="C78" s="182"/>
      <c r="D78" s="14">
        <f t="shared" si="5"/>
        <v>329259</v>
      </c>
      <c r="E78" s="17">
        <f>IF(F3="1",SUMIF(Data!A:A,'4'!$A$2,Data!EJ:EJ),0)</f>
        <v>754247</v>
      </c>
      <c r="F78" s="21">
        <f t="shared" si="4"/>
        <v>2.29</v>
      </c>
    </row>
    <row r="79" spans="1:6" x14ac:dyDescent="0.2">
      <c r="A79" s="19">
        <v>13</v>
      </c>
      <c r="B79" s="181" t="s">
        <v>12</v>
      </c>
      <c r="C79" s="182"/>
      <c r="D79" s="14">
        <f t="shared" si="5"/>
        <v>23304</v>
      </c>
      <c r="E79" s="17">
        <f>IF(F3="1",SUMIF(Data!A:A,'4'!$A$2,Data!EK:EK),0)</f>
        <v>70819</v>
      </c>
      <c r="F79" s="21">
        <f t="shared" si="4"/>
        <v>3.04</v>
      </c>
    </row>
    <row r="80" spans="1:6" ht="14.25" customHeight="1" x14ac:dyDescent="0.2">
      <c r="A80" s="19">
        <v>14</v>
      </c>
      <c r="B80" s="181" t="s">
        <v>464</v>
      </c>
      <c r="C80" s="182"/>
      <c r="D80" s="14">
        <f t="shared" si="5"/>
        <v>133040</v>
      </c>
      <c r="E80" s="17">
        <f>IF(F3="1",SUMIF(Data!A:A,'4'!$A$2,Data!EL:EL),0)</f>
        <v>703607</v>
      </c>
      <c r="F80" s="21">
        <f t="shared" si="4"/>
        <v>5.29</v>
      </c>
    </row>
    <row r="81" spans="1:6" x14ac:dyDescent="0.2">
      <c r="A81" s="19">
        <v>15</v>
      </c>
      <c r="B81" s="181" t="s">
        <v>13</v>
      </c>
      <c r="C81" s="182"/>
      <c r="D81" s="14">
        <f t="shared" si="5"/>
        <v>0</v>
      </c>
      <c r="E81" s="17">
        <f>IF(F3="1",SUMIF(Data!A:A,'4'!$A$2,Data!EM:EM),0)</f>
        <v>0</v>
      </c>
      <c r="F81" s="21" t="str">
        <f t="shared" si="4"/>
        <v/>
      </c>
    </row>
    <row r="82" spans="1:6" x14ac:dyDescent="0.2">
      <c r="A82" s="19">
        <v>16</v>
      </c>
      <c r="B82" s="181" t="s">
        <v>14</v>
      </c>
      <c r="C82" s="182"/>
      <c r="D82" s="14">
        <f t="shared" si="5"/>
        <v>222130</v>
      </c>
      <c r="E82" s="17">
        <f>IF(F3="1",SUMIF(Data!A:A,'4'!$A$2,Data!EN:EN),0)</f>
        <v>640739</v>
      </c>
      <c r="F82" s="21">
        <f t="shared" si="4"/>
        <v>2.88</v>
      </c>
    </row>
    <row r="83" spans="1:6" x14ac:dyDescent="0.2">
      <c r="A83" s="19">
        <v>17</v>
      </c>
      <c r="B83" s="181" t="s">
        <v>15</v>
      </c>
      <c r="C83" s="182"/>
      <c r="D83" s="14">
        <f t="shared" si="5"/>
        <v>27980</v>
      </c>
      <c r="E83" s="17">
        <f>IF(F3="1",SUMIF(Data!A:A,'4'!$A$2,Data!EO:EO),0)</f>
        <v>150389</v>
      </c>
      <c r="F83" s="21">
        <f t="shared" si="4"/>
        <v>5.37</v>
      </c>
    </row>
    <row r="84" spans="1:6" x14ac:dyDescent="0.2">
      <c r="A84" s="19">
        <v>18</v>
      </c>
      <c r="B84" s="181" t="s">
        <v>16</v>
      </c>
      <c r="C84" s="182"/>
      <c r="D84" s="14">
        <f t="shared" si="5"/>
        <v>54256</v>
      </c>
      <c r="E84" s="17">
        <f>IF(F3="1",SUMIF(Data!A:A,'4'!$A$2,Data!EP:EP),0)</f>
        <v>134338</v>
      </c>
      <c r="F84" s="21">
        <f t="shared" si="4"/>
        <v>2.48</v>
      </c>
    </row>
    <row r="85" spans="1:6" x14ac:dyDescent="0.2">
      <c r="A85" s="19">
        <v>19</v>
      </c>
      <c r="B85" s="181" t="s">
        <v>17</v>
      </c>
      <c r="C85" s="182"/>
      <c r="D85" s="14">
        <f t="shared" si="5"/>
        <v>260208</v>
      </c>
      <c r="E85" s="17">
        <f>IF(F3="1",SUMIF(Data!A:A,'4'!$A$2,Data!EQ:EQ),0)</f>
        <v>582680</v>
      </c>
      <c r="F85" s="21">
        <f t="shared" si="4"/>
        <v>2.2400000000000002</v>
      </c>
    </row>
    <row r="86" spans="1:6" x14ac:dyDescent="0.2">
      <c r="A86" s="19">
        <v>20</v>
      </c>
      <c r="B86" s="181" t="s">
        <v>18</v>
      </c>
      <c r="C86" s="182"/>
      <c r="D86" s="14">
        <f t="shared" si="5"/>
        <v>6784</v>
      </c>
      <c r="E86" s="17">
        <f>IF(F3="1",SUMIF(Data!A:A,'4'!$A$2,Data!ER:ER),0)</f>
        <v>55746</v>
      </c>
      <c r="F86" s="21">
        <f t="shared" si="4"/>
        <v>8.2200000000000006</v>
      </c>
    </row>
    <row r="87" spans="1:6" ht="14.25" customHeight="1" x14ac:dyDescent="0.2">
      <c r="A87" s="19">
        <v>21</v>
      </c>
      <c r="B87" s="181" t="s">
        <v>461</v>
      </c>
      <c r="C87" s="182"/>
      <c r="D87" s="14">
        <f t="shared" si="5"/>
        <v>7112</v>
      </c>
      <c r="E87" s="17">
        <f>IF(F3="1",SUMIF(Data!A:A,'4'!$A$2,Data!ES:ES),0)</f>
        <v>38983</v>
      </c>
      <c r="F87" s="21">
        <f t="shared" si="4"/>
        <v>5.48</v>
      </c>
    </row>
    <row r="88" spans="1:6" x14ac:dyDescent="0.2">
      <c r="A88" s="19">
        <v>22</v>
      </c>
      <c r="B88" s="181" t="s">
        <v>19</v>
      </c>
      <c r="C88" s="182"/>
      <c r="D88" s="14">
        <f t="shared" si="5"/>
        <v>0</v>
      </c>
      <c r="E88" s="17">
        <f>IF(F3="1",SUMIF(Data!A:A,'4'!$A$2,Data!ET:ET),0)</f>
        <v>0</v>
      </c>
      <c r="F88" s="21" t="str">
        <f t="shared" si="4"/>
        <v/>
      </c>
    </row>
    <row r="89" spans="1:6" x14ac:dyDescent="0.2">
      <c r="A89" s="19">
        <v>23</v>
      </c>
      <c r="B89" s="181" t="s">
        <v>20</v>
      </c>
      <c r="C89" s="182"/>
      <c r="D89" s="14">
        <f t="shared" si="5"/>
        <v>48912</v>
      </c>
      <c r="E89" s="17">
        <f>IF(F3="1",SUMIF(Data!A:A,'4'!$A$2,Data!EU:EU),0)</f>
        <v>159362</v>
      </c>
      <c r="F89" s="21">
        <f t="shared" si="4"/>
        <v>3.26</v>
      </c>
    </row>
    <row r="90" spans="1:6" x14ac:dyDescent="0.2">
      <c r="A90" s="19">
        <v>24</v>
      </c>
      <c r="B90" s="181" t="s">
        <v>21</v>
      </c>
      <c r="C90" s="182"/>
      <c r="D90" s="14">
        <f t="shared" si="5"/>
        <v>186292</v>
      </c>
      <c r="E90" s="17">
        <f>IF(F3="1",SUMIF(Data!A:A,'4'!$A$2,Data!EV:EV),0)</f>
        <v>341199</v>
      </c>
      <c r="F90" s="21">
        <f t="shared" si="4"/>
        <v>1.83</v>
      </c>
    </row>
    <row r="91" spans="1:6" x14ac:dyDescent="0.2">
      <c r="A91" s="19">
        <v>25</v>
      </c>
      <c r="B91" s="181" t="s">
        <v>22</v>
      </c>
      <c r="C91" s="182"/>
      <c r="D91" s="14">
        <f t="shared" si="5"/>
        <v>314376</v>
      </c>
      <c r="E91" s="17">
        <f>IF(F3="1",SUMIF(Data!A:A,'4'!$A$2,Data!EW:EW),0)</f>
        <v>580828</v>
      </c>
      <c r="F91" s="21">
        <f t="shared" si="4"/>
        <v>1.85</v>
      </c>
    </row>
    <row r="92" spans="1:6" x14ac:dyDescent="0.2">
      <c r="A92" s="19">
        <v>26</v>
      </c>
      <c r="B92" s="181" t="s">
        <v>23</v>
      </c>
      <c r="C92" s="182"/>
      <c r="D92" s="14">
        <f t="shared" si="5"/>
        <v>89525</v>
      </c>
      <c r="E92" s="17">
        <f>IF(F3="1",SUMIF(Data!A:A,'4'!$A$2,Data!EX:EX),0)</f>
        <v>298478</v>
      </c>
      <c r="F92" s="21">
        <f t="shared" si="4"/>
        <v>3.33</v>
      </c>
    </row>
    <row r="93" spans="1:6" x14ac:dyDescent="0.2">
      <c r="A93" s="19">
        <v>28</v>
      </c>
      <c r="B93" s="181" t="s">
        <v>24</v>
      </c>
      <c r="C93" s="182"/>
      <c r="D93" s="14">
        <f t="shared" si="5"/>
        <v>0</v>
      </c>
      <c r="E93" s="17">
        <f>IF(F3="1",SUMIF(Data!A:A,'4'!$A$2,Data!EZ:EZ),0)</f>
        <v>0</v>
      </c>
      <c r="F93" s="21" t="str">
        <f t="shared" si="4"/>
        <v/>
      </c>
    </row>
    <row r="94" spans="1:6" ht="15.75" customHeight="1" thickBot="1" x14ac:dyDescent="0.25">
      <c r="A94" s="22">
        <v>29</v>
      </c>
      <c r="B94" s="183" t="s">
        <v>25</v>
      </c>
      <c r="C94" s="184"/>
      <c r="D94" s="23">
        <f t="shared" si="5"/>
        <v>0</v>
      </c>
      <c r="E94" s="24">
        <f>IF(F3="1",SUMIF(Data!A:A,'4'!$A$2,Data!FA:FA),0)</f>
        <v>0</v>
      </c>
      <c r="F94" s="25" t="str">
        <f t="shared" si="4"/>
        <v/>
      </c>
    </row>
    <row r="95" spans="1:6" x14ac:dyDescent="0.2">
      <c r="B95" s="30" t="s">
        <v>35</v>
      </c>
      <c r="C95" s="30"/>
      <c r="D95" s="59">
        <f>SUM(D67:D94)</f>
        <v>2264282</v>
      </c>
      <c r="E95" s="31">
        <f>SUM(E67:E94)</f>
        <v>6439333</v>
      </c>
      <c r="F95" s="32">
        <f t="shared" si="4"/>
        <v>2.84</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IF(F3="1",SUMIF(Data!A:A,'4'!$A$2,Data!AH:AH),0)</f>
        <v>1376502</v>
      </c>
      <c r="F98" s="20">
        <f>IF(OR(E98=0,E98=0),"",ROUND(E98/$D$105,2))</f>
        <v>0.61</v>
      </c>
    </row>
    <row r="99" spans="2:6" x14ac:dyDescent="0.2">
      <c r="B99" s="187" t="s">
        <v>31</v>
      </c>
      <c r="C99" s="188"/>
      <c r="D99" s="36"/>
      <c r="E99" s="17">
        <f>IF(F3="1",SUMIF(Data!A:A,'4'!$A$2,Data!AI:AI),0)</f>
        <v>734484</v>
      </c>
      <c r="F99" s="21">
        <f t="shared" ref="F99:F104" si="6">IF(OR(E99=0,E99=0),"",ROUND(E99/$D$105,2))</f>
        <v>0.32</v>
      </c>
    </row>
    <row r="100" spans="2:6" x14ac:dyDescent="0.2">
      <c r="B100" s="187" t="s">
        <v>1078</v>
      </c>
      <c r="C100" s="188"/>
      <c r="D100" s="36"/>
      <c r="E100" s="17">
        <f>IF(F3="1",SUMIF(Data!A:A,'4'!$A$2,Data!AJ:AJ),0)</f>
        <v>354612</v>
      </c>
      <c r="F100" s="21">
        <f t="shared" si="6"/>
        <v>0.16</v>
      </c>
    </row>
    <row r="101" spans="2:6" x14ac:dyDescent="0.2">
      <c r="B101" s="187" t="s">
        <v>1079</v>
      </c>
      <c r="C101" s="188"/>
      <c r="D101" s="36"/>
      <c r="E101" s="17">
        <f>IF(F3="1",SUMIF(Data!A:A,'4'!$A$2,Data!AK:AK),0)</f>
        <v>1367875</v>
      </c>
      <c r="F101" s="21">
        <f t="shared" si="6"/>
        <v>0.6</v>
      </c>
    </row>
    <row r="102" spans="2:6" x14ac:dyDescent="0.2">
      <c r="B102" s="187" t="s">
        <v>1080</v>
      </c>
      <c r="C102" s="188"/>
      <c r="D102" s="36"/>
      <c r="E102" s="17">
        <f>IF(F3="1",SUMIF(Data!A:A,'4'!$A$2,Data!AL:AL),0)</f>
        <v>0</v>
      </c>
      <c r="F102" s="21" t="str">
        <f t="shared" si="6"/>
        <v/>
      </c>
    </row>
    <row r="103" spans="2:6" x14ac:dyDescent="0.2">
      <c r="B103" s="189" t="s">
        <v>34</v>
      </c>
      <c r="C103" s="190"/>
      <c r="D103" s="36"/>
      <c r="E103" s="17">
        <f>IF(F3="1",SUMIF(Data!A:A,'4'!$A$2,Data!AM:AM),0)</f>
        <v>0</v>
      </c>
      <c r="F103" s="21" t="str">
        <f t="shared" si="6"/>
        <v/>
      </c>
    </row>
    <row r="104" spans="2:6" ht="15.75" customHeight="1" thickBot="1" x14ac:dyDescent="0.25">
      <c r="B104" s="179" t="s">
        <v>29</v>
      </c>
      <c r="C104" s="180"/>
      <c r="D104" s="37"/>
      <c r="E104" s="24">
        <f>IF(F3="1",SUMIF(Data!A:A,'4'!$A$2,Data!Q:Q),0)</f>
        <v>328860</v>
      </c>
      <c r="F104" s="25">
        <f t="shared" si="6"/>
        <v>0.15</v>
      </c>
    </row>
    <row r="105" spans="2:6" x14ac:dyDescent="0.2">
      <c r="B105" s="30" t="s">
        <v>35</v>
      </c>
      <c r="C105" s="30"/>
      <c r="D105" s="34">
        <f>D95</f>
        <v>2264282</v>
      </c>
      <c r="E105" s="31">
        <f>SUM(E98:E104)</f>
        <v>4162333</v>
      </c>
      <c r="F105" s="32">
        <f>IF($D$105=0,"",ROUND(E105/$D$105,2))</f>
        <v>1.84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6439333</v>
      </c>
      <c r="D109" s="15">
        <f>IF(F3="1",SUMIF(Data!$A:$A,$A$2,Data!HJ:HJ),0)</f>
        <v>0</v>
      </c>
      <c r="E109" s="15">
        <f>IF(F3="1",SUMIF(Data!$A:$A,$A$2,Data!IN:IN),0)</f>
        <v>0</v>
      </c>
      <c r="F109" s="47">
        <f>SUM(C109:E109)</f>
        <v>6439333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328860</v>
      </c>
      <c r="E117" s="52"/>
      <c r="F117" s="49">
        <f>SUM(C117:E117)</f>
        <v>328860</v>
      </c>
    </row>
    <row r="118" spans="1:6" x14ac:dyDescent="0.2">
      <c r="B118" s="13" t="s">
        <v>35</v>
      </c>
      <c r="C118" s="4">
        <f>SUM(C109:C116)</f>
        <v>6439333</v>
      </c>
      <c r="D118" s="4">
        <f>SUM(D109:D116)</f>
        <v>0</v>
      </c>
      <c r="E118" s="4">
        <f>SUM(E109:E116)</f>
        <v>0</v>
      </c>
      <c r="F118" s="4">
        <f>SUM(F109:F116)</f>
        <v>6439333</v>
      </c>
    </row>
    <row r="119" spans="1:6" ht="15" thickBot="1" x14ac:dyDescent="0.25"/>
    <row r="120" spans="1:6" ht="15" thickBot="1" x14ac:dyDescent="0.25">
      <c r="B120" s="55" t="s">
        <v>934</v>
      </c>
      <c r="C120" s="53"/>
      <c r="D120" s="53"/>
      <c r="E120" s="53">
        <f>IF(F3="1",SUMIF(Data!A:A,'4'!$A$2,Data!AM:AM),0)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42578125" style="10" bestFit="1" customWidth="1"/>
    <col min="13"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444</v>
      </c>
      <c r="B2" s="58" t="str">
        <f>VLOOKUP(A2,Data!A:G,7,0)</f>
        <v>Austin Community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76208</v>
      </c>
      <c r="E5" s="15">
        <f>E36+E67+IFERROR($E$105/$D$105*D5,0)</f>
        <v>279566.17265885818</v>
      </c>
      <c r="F5" s="20">
        <f>IF(OR(D5=0,E5=0),"",ROUND(E5/D5,2))</f>
        <v>3.67</v>
      </c>
    </row>
    <row r="6" spans="1:6" x14ac:dyDescent="0.2">
      <c r="A6" s="19">
        <v>2</v>
      </c>
      <c r="B6" s="181" t="s">
        <v>1</v>
      </c>
      <c r="C6" s="182"/>
      <c r="D6" s="14">
        <f t="shared" ref="D6:D32" si="0">D37</f>
        <v>255904</v>
      </c>
      <c r="E6" s="17">
        <f t="shared" ref="E6:E32" si="1">E37+E68+IFERROR($E$105/$D$105*D6,0)</f>
        <v>2596999.1686974131</v>
      </c>
      <c r="F6" s="21">
        <f t="shared" ref="F6:F33" si="2">IF(OR(D6=0,E6=0),"",ROUND(E6/D6,2))</f>
        <v>10.15</v>
      </c>
    </row>
    <row r="7" spans="1:6" ht="14.25" customHeight="1" x14ac:dyDescent="0.2">
      <c r="A7" s="19">
        <v>3</v>
      </c>
      <c r="B7" s="181" t="s">
        <v>2</v>
      </c>
      <c r="C7" s="182"/>
      <c r="D7" s="14">
        <f t="shared" si="0"/>
        <v>1085504</v>
      </c>
      <c r="E7" s="17">
        <f t="shared" si="1"/>
        <v>9098408.4677446093</v>
      </c>
      <c r="F7" s="21">
        <f t="shared" si="2"/>
        <v>8.3800000000000008</v>
      </c>
    </row>
    <row r="8" spans="1:6" ht="14.25" customHeight="1" x14ac:dyDescent="0.2">
      <c r="A8" s="19">
        <v>4</v>
      </c>
      <c r="B8" s="181" t="s">
        <v>3</v>
      </c>
      <c r="C8" s="182"/>
      <c r="D8" s="14">
        <f t="shared" si="0"/>
        <v>509296</v>
      </c>
      <c r="E8" s="17">
        <f t="shared" si="1"/>
        <v>4759211.1601730241</v>
      </c>
      <c r="F8" s="21">
        <f t="shared" si="2"/>
        <v>9.34</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149472</v>
      </c>
      <c r="E10" s="17">
        <f t="shared" si="1"/>
        <v>913053.39239535015</v>
      </c>
      <c r="F10" s="21">
        <f t="shared" si="2"/>
        <v>6.11</v>
      </c>
    </row>
    <row r="11" spans="1:6" x14ac:dyDescent="0.2">
      <c r="A11" s="19">
        <v>7</v>
      </c>
      <c r="B11" s="181" t="s">
        <v>6</v>
      </c>
      <c r="C11" s="182"/>
      <c r="D11" s="14">
        <f t="shared" si="0"/>
        <v>583472</v>
      </c>
      <c r="E11" s="17">
        <f t="shared" si="1"/>
        <v>5640283.0174995968</v>
      </c>
      <c r="F11" s="21">
        <f t="shared" si="2"/>
        <v>9.67</v>
      </c>
    </row>
    <row r="12" spans="1:6" x14ac:dyDescent="0.2">
      <c r="A12" s="19">
        <v>8</v>
      </c>
      <c r="B12" s="181" t="s">
        <v>7</v>
      </c>
      <c r="C12" s="182"/>
      <c r="D12" s="14">
        <f t="shared" si="0"/>
        <v>7872</v>
      </c>
      <c r="E12" s="17">
        <f t="shared" si="1"/>
        <v>526244.13498806593</v>
      </c>
      <c r="F12" s="21">
        <f t="shared" si="2"/>
        <v>66.849999999999994</v>
      </c>
    </row>
    <row r="13" spans="1:6" x14ac:dyDescent="0.2">
      <c r="A13" s="19">
        <v>9</v>
      </c>
      <c r="B13" s="181" t="s">
        <v>8</v>
      </c>
      <c r="C13" s="182"/>
      <c r="D13" s="14">
        <f t="shared" si="0"/>
        <v>162080</v>
      </c>
      <c r="E13" s="17">
        <f t="shared" si="1"/>
        <v>1215644.3646933096</v>
      </c>
      <c r="F13" s="21">
        <f t="shared" si="2"/>
        <v>7.5</v>
      </c>
    </row>
    <row r="14" spans="1:6" x14ac:dyDescent="0.2">
      <c r="A14" s="19">
        <v>10</v>
      </c>
      <c r="B14" s="181" t="s">
        <v>9</v>
      </c>
      <c r="C14" s="182"/>
      <c r="D14" s="14">
        <f t="shared" si="0"/>
        <v>7104</v>
      </c>
      <c r="E14" s="17">
        <f t="shared" si="1"/>
        <v>928054.75596484006</v>
      </c>
      <c r="F14" s="21">
        <f t="shared" si="2"/>
        <v>130.63999999999999</v>
      </c>
    </row>
    <row r="15" spans="1:6" x14ac:dyDescent="0.2">
      <c r="A15" s="19">
        <v>11</v>
      </c>
      <c r="B15" s="181" t="s">
        <v>10</v>
      </c>
      <c r="C15" s="182"/>
      <c r="D15" s="14">
        <f t="shared" si="0"/>
        <v>191936</v>
      </c>
      <c r="E15" s="17">
        <f t="shared" si="1"/>
        <v>1124129.9742212184</v>
      </c>
      <c r="F15" s="21">
        <f t="shared" si="2"/>
        <v>5.86</v>
      </c>
    </row>
    <row r="16" spans="1:6" ht="14.25" customHeight="1" x14ac:dyDescent="0.2">
      <c r="A16" s="19">
        <v>12</v>
      </c>
      <c r="B16" s="181" t="s">
        <v>11</v>
      </c>
      <c r="C16" s="182"/>
      <c r="D16" s="14">
        <f t="shared" si="0"/>
        <v>1573824</v>
      </c>
      <c r="E16" s="17">
        <f t="shared" si="1"/>
        <v>11225294.963345774</v>
      </c>
      <c r="F16" s="21">
        <f t="shared" si="2"/>
        <v>7.13</v>
      </c>
    </row>
    <row r="17" spans="1:6" x14ac:dyDescent="0.2">
      <c r="A17" s="19">
        <v>13</v>
      </c>
      <c r="B17" s="181" t="s">
        <v>12</v>
      </c>
      <c r="C17" s="182"/>
      <c r="D17" s="14">
        <f t="shared" si="0"/>
        <v>521616</v>
      </c>
      <c r="E17" s="17">
        <f t="shared" si="1"/>
        <v>3546427.615337274</v>
      </c>
      <c r="F17" s="21">
        <f t="shared" si="2"/>
        <v>6.8</v>
      </c>
    </row>
    <row r="18" spans="1:6" ht="14.25" customHeight="1" x14ac:dyDescent="0.2">
      <c r="A18" s="19">
        <v>14</v>
      </c>
      <c r="B18" s="181" t="s">
        <v>464</v>
      </c>
      <c r="C18" s="182"/>
      <c r="D18" s="14">
        <f t="shared" si="0"/>
        <v>164656</v>
      </c>
      <c r="E18" s="17">
        <f t="shared" si="1"/>
        <v>2382798.3235003799</v>
      </c>
      <c r="F18" s="21">
        <f t="shared" si="2"/>
        <v>14.47</v>
      </c>
    </row>
    <row r="19" spans="1:6" x14ac:dyDescent="0.2">
      <c r="A19" s="19">
        <v>15</v>
      </c>
      <c r="B19" s="181" t="s">
        <v>13</v>
      </c>
      <c r="C19" s="182"/>
      <c r="D19" s="14">
        <f t="shared" si="0"/>
        <v>0</v>
      </c>
      <c r="E19" s="17">
        <f t="shared" si="1"/>
        <v>42833</v>
      </c>
      <c r="F19" s="21" t="str">
        <f t="shared" si="2"/>
        <v/>
      </c>
    </row>
    <row r="20" spans="1:6" x14ac:dyDescent="0.2">
      <c r="A20" s="19">
        <v>16</v>
      </c>
      <c r="B20" s="181" t="s">
        <v>14</v>
      </c>
      <c r="C20" s="182"/>
      <c r="D20" s="14">
        <f t="shared" si="0"/>
        <v>346599</v>
      </c>
      <c r="E20" s="17">
        <f t="shared" si="1"/>
        <v>4013225.3542592321</v>
      </c>
      <c r="F20" s="21">
        <f t="shared" si="2"/>
        <v>11.58</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83488</v>
      </c>
      <c r="E22" s="17">
        <f t="shared" si="1"/>
        <v>1045321.5779831875</v>
      </c>
      <c r="F22" s="21">
        <f t="shared" si="2"/>
        <v>12.52</v>
      </c>
    </row>
    <row r="23" spans="1:6" x14ac:dyDescent="0.2">
      <c r="A23" s="19">
        <v>19</v>
      </c>
      <c r="B23" s="181" t="s">
        <v>17</v>
      </c>
      <c r="C23" s="182"/>
      <c r="D23" s="14">
        <f t="shared" si="0"/>
        <v>1469526</v>
      </c>
      <c r="E23" s="17">
        <f t="shared" si="1"/>
        <v>9936623.6855275184</v>
      </c>
      <c r="F23" s="21">
        <f t="shared" si="2"/>
        <v>6.76</v>
      </c>
    </row>
    <row r="24" spans="1:6" x14ac:dyDescent="0.2">
      <c r="A24" s="19">
        <v>20</v>
      </c>
      <c r="B24" s="181" t="s">
        <v>18</v>
      </c>
      <c r="C24" s="182"/>
      <c r="D24" s="14">
        <f t="shared" si="0"/>
        <v>61088</v>
      </c>
      <c r="E24" s="17">
        <f t="shared" si="1"/>
        <v>729481.02313909726</v>
      </c>
      <c r="F24" s="21">
        <f t="shared" si="2"/>
        <v>11.94</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1152</v>
      </c>
      <c r="E26" s="17">
        <f t="shared" si="1"/>
        <v>1062513.068534839</v>
      </c>
      <c r="F26" s="21">
        <f t="shared" si="2"/>
        <v>922.32</v>
      </c>
    </row>
    <row r="27" spans="1:6" x14ac:dyDescent="0.2">
      <c r="A27" s="19">
        <v>23</v>
      </c>
      <c r="B27" s="181" t="s">
        <v>20</v>
      </c>
      <c r="C27" s="182"/>
      <c r="D27" s="14">
        <f t="shared" si="0"/>
        <v>207520</v>
      </c>
      <c r="E27" s="17">
        <f t="shared" si="1"/>
        <v>1612444.2902341781</v>
      </c>
      <c r="F27" s="21">
        <f t="shared" si="2"/>
        <v>7.77</v>
      </c>
    </row>
    <row r="28" spans="1:6" x14ac:dyDescent="0.2">
      <c r="A28" s="19">
        <v>24</v>
      </c>
      <c r="B28" s="181" t="s">
        <v>21</v>
      </c>
      <c r="C28" s="182"/>
      <c r="D28" s="14">
        <f t="shared" si="0"/>
        <v>170608</v>
      </c>
      <c r="E28" s="17">
        <f t="shared" si="1"/>
        <v>1299212.0109303808</v>
      </c>
      <c r="F28" s="21">
        <f t="shared" si="2"/>
        <v>7.62</v>
      </c>
    </row>
    <row r="29" spans="1:6" x14ac:dyDescent="0.2">
      <c r="A29" s="19">
        <v>25</v>
      </c>
      <c r="B29" s="181" t="s">
        <v>22</v>
      </c>
      <c r="C29" s="182"/>
      <c r="D29" s="14">
        <f t="shared" si="0"/>
        <v>2352336</v>
      </c>
      <c r="E29" s="17">
        <f t="shared" si="1"/>
        <v>14053980.861952128</v>
      </c>
      <c r="F29" s="21">
        <f t="shared" si="2"/>
        <v>5.97</v>
      </c>
    </row>
    <row r="30" spans="1:6" x14ac:dyDescent="0.2">
      <c r="A30" s="19">
        <v>26</v>
      </c>
      <c r="B30" s="181" t="s">
        <v>23</v>
      </c>
      <c r="C30" s="182"/>
      <c r="D30" s="14">
        <f t="shared" si="0"/>
        <v>703728</v>
      </c>
      <c r="E30" s="17">
        <f t="shared" si="1"/>
        <v>6657999.6162197273</v>
      </c>
      <c r="F30" s="21">
        <f t="shared" si="2"/>
        <v>9.4600000000000009</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10684989</v>
      </c>
      <c r="E33" s="31">
        <f>SUM(E5:E32)</f>
        <v>84689750</v>
      </c>
      <c r="F33" s="32">
        <f t="shared" si="2"/>
        <v>7.93</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IF(F3="1",SUMIF(Data!A:A,'5'!$A$2,Data!CU:CU),0)</f>
        <v>76208</v>
      </c>
      <c r="E36" s="15">
        <f>IF(F3="1",SUMIF(Data!$A:$A,$A$2,Data!IO:IO),0)</f>
        <v>0</v>
      </c>
      <c r="F36" s="20" t="str">
        <f t="shared" ref="F36:F64" si="3">IF(OR(D36=0,E36=0),"",ROUND(E36/D36,2))</f>
        <v/>
      </c>
    </row>
    <row r="37" spans="1:6" x14ac:dyDescent="0.2">
      <c r="A37" s="19">
        <v>2</v>
      </c>
      <c r="B37" s="181" t="s">
        <v>1</v>
      </c>
      <c r="C37" s="182"/>
      <c r="D37" s="14">
        <f>IF(F3="1",SUMIF(Data!A:A,'5'!$A$2,Data!CV:CV),0)</f>
        <v>255904</v>
      </c>
      <c r="E37" s="17">
        <f>IF(F3="1",SUMIF(Data!$A:$A,$A$2,Data!IP:IP),0)</f>
        <v>474212</v>
      </c>
      <c r="F37" s="21">
        <f t="shared" si="3"/>
        <v>1.85</v>
      </c>
    </row>
    <row r="38" spans="1:6" ht="14.25" customHeight="1" x14ac:dyDescent="0.2">
      <c r="A38" s="19">
        <v>3</v>
      </c>
      <c r="B38" s="181" t="s">
        <v>2</v>
      </c>
      <c r="C38" s="182"/>
      <c r="D38" s="14">
        <f>IF(F3="1",SUMIF(Data!A:A,'5'!$A$2,Data!CW:CW),0)</f>
        <v>1085504</v>
      </c>
      <c r="E38" s="17">
        <f>IF($F$3="1",SUMIF(Data!$A:$A,$A$2,Data!IQ:IQ),0)</f>
        <v>1307138</v>
      </c>
      <c r="F38" s="21">
        <f t="shared" si="3"/>
        <v>1.2</v>
      </c>
    </row>
    <row r="39" spans="1:6" ht="14.25" customHeight="1" x14ac:dyDescent="0.2">
      <c r="A39" s="19">
        <v>4</v>
      </c>
      <c r="B39" s="181" t="s">
        <v>3</v>
      </c>
      <c r="C39" s="182"/>
      <c r="D39" s="14">
        <f>IF(F3="1",SUMIF(Data!A:A,'5'!$A$2,Data!CX:CX),0)</f>
        <v>509296</v>
      </c>
      <c r="E39" s="17">
        <f>IF($F$3="1",SUMIF(Data!$A:$A,$A$2,Data!IR:IR),0)</f>
        <v>417942</v>
      </c>
      <c r="F39" s="21">
        <f t="shared" si="3"/>
        <v>0.82</v>
      </c>
    </row>
    <row r="40" spans="1:6" x14ac:dyDescent="0.2">
      <c r="A40" s="19">
        <v>5</v>
      </c>
      <c r="B40" s="181" t="s">
        <v>4</v>
      </c>
      <c r="C40" s="182"/>
      <c r="D40" s="14">
        <f>IF(F3="1",SUMIF(Data!A:A,'5'!$A$2,Data!CY:CY),0)</f>
        <v>0</v>
      </c>
      <c r="E40" s="17">
        <f>IF($F$3="1",SUMIF(Data!$A:$A,$A$2,Data!IS:IS),0)</f>
        <v>0</v>
      </c>
      <c r="F40" s="21" t="str">
        <f t="shared" si="3"/>
        <v/>
      </c>
    </row>
    <row r="41" spans="1:6" x14ac:dyDescent="0.2">
      <c r="A41" s="19">
        <v>6</v>
      </c>
      <c r="B41" s="181" t="s">
        <v>5</v>
      </c>
      <c r="C41" s="182"/>
      <c r="D41" s="14">
        <f>IF(F3="1",SUMIF(Data!A:A,'5'!$A$2,Data!CZ:CZ),0)</f>
        <v>149472</v>
      </c>
      <c r="E41" s="17">
        <f>IF($F$3="1",SUMIF(Data!$A:$A,$A$2,Data!IT:IT),0)</f>
        <v>100160</v>
      </c>
      <c r="F41" s="21">
        <f t="shared" si="3"/>
        <v>0.67</v>
      </c>
    </row>
    <row r="42" spans="1:6" x14ac:dyDescent="0.2">
      <c r="A42" s="19">
        <v>7</v>
      </c>
      <c r="B42" s="181" t="s">
        <v>6</v>
      </c>
      <c r="C42" s="182"/>
      <c r="D42" s="14">
        <f>IF(F3="1",SUMIF(Data!A:A,'5'!$A$2,Data!DA:DA),0)</f>
        <v>583472</v>
      </c>
      <c r="E42" s="17">
        <f>IF($F$3="1",SUMIF(Data!$A:$A,$A$2,Data!IU:IU),0)</f>
        <v>1109693</v>
      </c>
      <c r="F42" s="21">
        <f t="shared" si="3"/>
        <v>1.9</v>
      </c>
    </row>
    <row r="43" spans="1:6" x14ac:dyDescent="0.2">
      <c r="A43" s="19">
        <v>8</v>
      </c>
      <c r="B43" s="181" t="s">
        <v>7</v>
      </c>
      <c r="C43" s="182"/>
      <c r="D43" s="14">
        <f>IF(F3="1",SUMIF(Data!A:A,'5'!$A$2,Data!DB:DB),0)</f>
        <v>7872</v>
      </c>
      <c r="E43" s="17">
        <f>IF($F$3="1",SUMIF(Data!$A:$A,$A$2,Data!IV:IV),0)</f>
        <v>142118</v>
      </c>
      <c r="F43" s="21">
        <f t="shared" si="3"/>
        <v>18.05</v>
      </c>
    </row>
    <row r="44" spans="1:6" x14ac:dyDescent="0.2">
      <c r="A44" s="19">
        <v>9</v>
      </c>
      <c r="B44" s="181" t="s">
        <v>8</v>
      </c>
      <c r="C44" s="182"/>
      <c r="D44" s="14">
        <f>IF(F3="1",SUMIF(Data!A:A,'5'!$A$2,Data!DC:DC),0)</f>
        <v>162080</v>
      </c>
      <c r="E44" s="17">
        <f>IF($F$3="1",SUMIF(Data!$A:$A,$A$2,Data!IW:IW),0)</f>
        <v>205349</v>
      </c>
      <c r="F44" s="21">
        <f t="shared" si="3"/>
        <v>1.27</v>
      </c>
    </row>
    <row r="45" spans="1:6" x14ac:dyDescent="0.2">
      <c r="A45" s="19">
        <v>10</v>
      </c>
      <c r="B45" s="181" t="s">
        <v>9</v>
      </c>
      <c r="C45" s="182"/>
      <c r="D45" s="14">
        <f>IF(F3="1",SUMIF(Data!A:A,'5'!$A$2,Data!DD:DD),0)</f>
        <v>7104</v>
      </c>
      <c r="E45" s="17">
        <f>IF($F$3="1",SUMIF(Data!$A:$A,$A$2,Data!IX:IX),0)</f>
        <v>200</v>
      </c>
      <c r="F45" s="21">
        <f t="shared" si="3"/>
        <v>0.03</v>
      </c>
    </row>
    <row r="46" spans="1:6" x14ac:dyDescent="0.2">
      <c r="A46" s="19">
        <v>11</v>
      </c>
      <c r="B46" s="181" t="s">
        <v>10</v>
      </c>
      <c r="C46" s="182"/>
      <c r="D46" s="14">
        <f>IF(F3="1",SUMIF(Data!A:A,'5'!$A$2,Data!DE:DE),0)</f>
        <v>191936</v>
      </c>
      <c r="E46" s="17">
        <f>IF($F$3="1",SUMIF(Data!$A:$A,$A$2,Data!IY:IY),0)</f>
        <v>79987</v>
      </c>
      <c r="F46" s="21">
        <f t="shared" si="3"/>
        <v>0.42</v>
      </c>
    </row>
    <row r="47" spans="1:6" ht="14.25" customHeight="1" x14ac:dyDescent="0.2">
      <c r="A47" s="19">
        <v>12</v>
      </c>
      <c r="B47" s="181" t="s">
        <v>11</v>
      </c>
      <c r="C47" s="182"/>
      <c r="D47" s="14">
        <f>IF(F3="1",SUMIF(Data!A:A,'5'!$A$2,Data!DF:DF),0)</f>
        <v>1573824</v>
      </c>
      <c r="E47" s="17">
        <f>IF($F$3="1",SUMIF(Data!$A:$A,$A$2,Data!IZ:IZ),0)</f>
        <v>306570</v>
      </c>
      <c r="F47" s="21">
        <f t="shared" si="3"/>
        <v>0.19</v>
      </c>
    </row>
    <row r="48" spans="1:6" x14ac:dyDescent="0.2">
      <c r="A48" s="19">
        <v>13</v>
      </c>
      <c r="B48" s="181" t="s">
        <v>12</v>
      </c>
      <c r="C48" s="182"/>
      <c r="D48" s="14">
        <f>IF(F3="1",SUMIF(Data!A:A,'5'!$A$2,Data!DG:DG),0)</f>
        <v>521616</v>
      </c>
      <c r="E48" s="17">
        <f>IF($F$3="1",SUMIF(Data!$A:$A,$A$2,Data!JA:JA),0)</f>
        <v>82797</v>
      </c>
      <c r="F48" s="21">
        <f t="shared" si="3"/>
        <v>0.16</v>
      </c>
    </row>
    <row r="49" spans="1:6" ht="14.25" customHeight="1" x14ac:dyDescent="0.2">
      <c r="A49" s="19">
        <v>14</v>
      </c>
      <c r="B49" s="181" t="s">
        <v>464</v>
      </c>
      <c r="C49" s="182"/>
      <c r="D49" s="14">
        <f>IF(F3="1",SUMIF(Data!A:A,'5'!$A$2,Data!DH:DH),0)</f>
        <v>164656</v>
      </c>
      <c r="E49" s="17">
        <f>IF($F$3="1",SUMIF(Data!$A:$A,$A$2,Data!JB:JB),0)</f>
        <v>111069</v>
      </c>
      <c r="F49" s="21">
        <f t="shared" si="3"/>
        <v>0.67</v>
      </c>
    </row>
    <row r="50" spans="1:6" x14ac:dyDescent="0.2">
      <c r="A50" s="19">
        <v>15</v>
      </c>
      <c r="B50" s="181" t="s">
        <v>13</v>
      </c>
      <c r="C50" s="182"/>
      <c r="D50" s="14">
        <f>IF(F3="1",SUMIF(Data!A:A,'5'!$A$2,Data!DI:DI),0)</f>
        <v>0</v>
      </c>
      <c r="E50" s="17">
        <f>IF($F$3="1",SUMIF(Data!$A:$A,$A$2,Data!JC:JC),0)</f>
        <v>6553</v>
      </c>
      <c r="F50" s="21" t="str">
        <f t="shared" si="3"/>
        <v/>
      </c>
    </row>
    <row r="51" spans="1:6" x14ac:dyDescent="0.2">
      <c r="A51" s="19">
        <v>16</v>
      </c>
      <c r="B51" s="181" t="s">
        <v>14</v>
      </c>
      <c r="C51" s="182"/>
      <c r="D51" s="14">
        <f>IF(F3="1",SUMIF(Data!A:A,'5'!$A$2,Data!DJ:DJ),0)</f>
        <v>346599</v>
      </c>
      <c r="E51" s="17">
        <f>IF($F$3="1",SUMIF(Data!$A:$A,$A$2,Data!JD:JD),0)</f>
        <v>286635</v>
      </c>
      <c r="F51" s="21">
        <f t="shared" si="3"/>
        <v>0.83</v>
      </c>
    </row>
    <row r="52" spans="1:6" x14ac:dyDescent="0.2">
      <c r="A52" s="19">
        <v>17</v>
      </c>
      <c r="B52" s="181" t="s">
        <v>15</v>
      </c>
      <c r="C52" s="182"/>
      <c r="D52" s="14">
        <f>IF(F3="1",SUMIF(Data!A:A,'5'!$A$2,Data!DK:DK),0)</f>
        <v>0</v>
      </c>
      <c r="E52" s="17">
        <f>IF($F$3="1",SUMIF(Data!$A:$A,$A$2,Data!JE:JE),0)</f>
        <v>0</v>
      </c>
      <c r="F52" s="21" t="str">
        <f t="shared" si="3"/>
        <v/>
      </c>
    </row>
    <row r="53" spans="1:6" x14ac:dyDescent="0.2">
      <c r="A53" s="19">
        <v>18</v>
      </c>
      <c r="B53" s="181" t="s">
        <v>16</v>
      </c>
      <c r="C53" s="182"/>
      <c r="D53" s="14">
        <f>IF(F3="1",SUMIF(Data!A:A,'5'!$A$2,Data!DL:DL),0)</f>
        <v>83488</v>
      </c>
      <c r="E53" s="17">
        <f>IF($F$3="1",SUMIF(Data!$A:$A,$A$2,Data!JF:JF),0)</f>
        <v>53791</v>
      </c>
      <c r="F53" s="21">
        <f t="shared" si="3"/>
        <v>0.64</v>
      </c>
    </row>
    <row r="54" spans="1:6" x14ac:dyDescent="0.2">
      <c r="A54" s="19">
        <v>19</v>
      </c>
      <c r="B54" s="181" t="s">
        <v>17</v>
      </c>
      <c r="C54" s="182"/>
      <c r="D54" s="14">
        <f>IF(F3="1",SUMIF(Data!A:A,'5'!$A$2,Data!DM:DM),0)</f>
        <v>1469526</v>
      </c>
      <c r="E54" s="17">
        <f>IF($F$3="1",SUMIF(Data!$A:$A,$A$2,Data!JG:JG),0)</f>
        <v>174818</v>
      </c>
      <c r="F54" s="21">
        <f t="shared" si="3"/>
        <v>0.12</v>
      </c>
    </row>
    <row r="55" spans="1:6" x14ac:dyDescent="0.2">
      <c r="A55" s="19">
        <v>20</v>
      </c>
      <c r="B55" s="181" t="s">
        <v>18</v>
      </c>
      <c r="C55" s="182"/>
      <c r="D55" s="14">
        <f>IF(F3="1",SUMIF(Data!A:A,'5'!$A$2,Data!DN:DN),0)</f>
        <v>61088</v>
      </c>
      <c r="E55" s="17">
        <f>IF($F$3="1",SUMIF(Data!$A:$A,$A$2,Data!JH:JH),0)</f>
        <v>134627</v>
      </c>
      <c r="F55" s="21">
        <f t="shared" si="3"/>
        <v>2.2000000000000002</v>
      </c>
    </row>
    <row r="56" spans="1:6" ht="14.25" customHeight="1" x14ac:dyDescent="0.2">
      <c r="A56" s="19">
        <v>21</v>
      </c>
      <c r="B56" s="181" t="s">
        <v>461</v>
      </c>
      <c r="C56" s="182"/>
      <c r="D56" s="14">
        <f>IF(F3="1",SUMIF(Data!A:A,'5'!$A$2,Data!DO:DO),0)</f>
        <v>0</v>
      </c>
      <c r="E56" s="17">
        <f>IF($F$3="1",SUMIF(Data!$A:$A,$A$2,Data!JI:JI),0)</f>
        <v>0</v>
      </c>
      <c r="F56" s="21" t="str">
        <f t="shared" si="3"/>
        <v/>
      </c>
    </row>
    <row r="57" spans="1:6" x14ac:dyDescent="0.2">
      <c r="A57" s="19">
        <v>22</v>
      </c>
      <c r="B57" s="181" t="s">
        <v>19</v>
      </c>
      <c r="C57" s="182"/>
      <c r="D57" s="14">
        <f>IF(F3="1",SUMIF(Data!A:A,'5'!$A$2,Data!DP:DP),0)</f>
        <v>1152</v>
      </c>
      <c r="E57" s="17">
        <f>IF($F$3="1",SUMIF(Data!$A:$A,$A$2,Data!JJ:JJ),0)</f>
        <v>273937</v>
      </c>
      <c r="F57" s="21">
        <f t="shared" si="3"/>
        <v>237.79</v>
      </c>
    </row>
    <row r="58" spans="1:6" x14ac:dyDescent="0.2">
      <c r="A58" s="19">
        <v>23</v>
      </c>
      <c r="B58" s="181" t="s">
        <v>20</v>
      </c>
      <c r="C58" s="182"/>
      <c r="D58" s="14">
        <f>IF(F3="1",SUMIF(Data!A:A,'5'!$A$2,Data!DQ:DQ),0)</f>
        <v>207520</v>
      </c>
      <c r="E58" s="17">
        <f>IF($F$3="1",SUMIF(Data!$A:$A,$A$2,Data!JK:JK),0)</f>
        <v>161968</v>
      </c>
      <c r="F58" s="21">
        <f t="shared" si="3"/>
        <v>0.78</v>
      </c>
    </row>
    <row r="59" spans="1:6" x14ac:dyDescent="0.2">
      <c r="A59" s="19">
        <v>24</v>
      </c>
      <c r="B59" s="181" t="s">
        <v>21</v>
      </c>
      <c r="C59" s="182"/>
      <c r="D59" s="14">
        <f>IF(F3="1",SUMIF(Data!A:A,'5'!$A$2,Data!DR:DR),0)</f>
        <v>170608</v>
      </c>
      <c r="E59" s="17">
        <f>IF($F$3="1",SUMIF(Data!$A:$A,$A$2,Data!JL:JL),0)</f>
        <v>214826</v>
      </c>
      <c r="F59" s="21">
        <f t="shared" si="3"/>
        <v>1.26</v>
      </c>
    </row>
    <row r="60" spans="1:6" x14ac:dyDescent="0.2">
      <c r="A60" s="19">
        <v>25</v>
      </c>
      <c r="B60" s="181" t="s">
        <v>22</v>
      </c>
      <c r="C60" s="182"/>
      <c r="D60" s="14">
        <f>IF(F3="1",SUMIF(Data!A:A,'5'!$A$2,Data!DS:DS),0)</f>
        <v>2352336</v>
      </c>
      <c r="E60" s="17">
        <f>IF($F$3="1",SUMIF(Data!$A:$A,$A$2,Data!JM:JM),0)</f>
        <v>174294</v>
      </c>
      <c r="F60" s="21">
        <f t="shared" si="3"/>
        <v>7.0000000000000007E-2</v>
      </c>
    </row>
    <row r="61" spans="1:6" x14ac:dyDescent="0.2">
      <c r="A61" s="19">
        <v>26</v>
      </c>
      <c r="B61" s="181" t="s">
        <v>23</v>
      </c>
      <c r="C61" s="182"/>
      <c r="D61" s="14">
        <f>IF(F3="1",SUMIF(Data!A:A,'5'!$A$2,Data!DT:DT),0)</f>
        <v>703728</v>
      </c>
      <c r="E61" s="17">
        <f>IF($F$3="1",SUMIF(Data!$A:$A,$A$2,Data!JN:JN),0)</f>
        <v>719815</v>
      </c>
      <c r="F61" s="21">
        <f t="shared" si="3"/>
        <v>1.02</v>
      </c>
    </row>
    <row r="62" spans="1:6" x14ac:dyDescent="0.2">
      <c r="A62" s="19">
        <v>28</v>
      </c>
      <c r="B62" s="181" t="s">
        <v>24</v>
      </c>
      <c r="C62" s="182"/>
      <c r="D62" s="14">
        <f>IF(F3="1",SUMIF(Data!A:A,'5'!$A$2,Data!DV:DV),0)</f>
        <v>0</v>
      </c>
      <c r="E62" s="17">
        <f>IF($F$3="1",SUMIF(Data!$A:$A,$A$2,Data!JP:JP),0)</f>
        <v>0</v>
      </c>
      <c r="F62" s="21" t="str">
        <f t="shared" si="3"/>
        <v/>
      </c>
    </row>
    <row r="63" spans="1:6" ht="15.75" customHeight="1" thickBot="1" x14ac:dyDescent="0.25">
      <c r="A63" s="22">
        <v>29</v>
      </c>
      <c r="B63" s="183" t="s">
        <v>25</v>
      </c>
      <c r="C63" s="184"/>
      <c r="D63" s="23">
        <f>IF(F3="1",SUMIF(Data!A:A,'5'!$A$2,Data!DW:DW),0)</f>
        <v>0</v>
      </c>
      <c r="E63" s="24">
        <f>IF($F$3="1",SUMIF(Data!$A:$A,$A$2,Data!JQ:JQ),0)</f>
        <v>0</v>
      </c>
      <c r="F63" s="25" t="str">
        <f t="shared" si="3"/>
        <v/>
      </c>
    </row>
    <row r="64" spans="1:6" x14ac:dyDescent="0.2">
      <c r="B64" s="30" t="s">
        <v>35</v>
      </c>
      <c r="C64" s="30"/>
      <c r="D64" s="59">
        <f>SUM(D36:D63)</f>
        <v>10684989</v>
      </c>
      <c r="E64" s="31">
        <f>SUM(E36:E63)</f>
        <v>6538499</v>
      </c>
      <c r="F64" s="32">
        <f t="shared" si="3"/>
        <v>0.61</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76208</v>
      </c>
      <c r="E67" s="15">
        <f>IF(F3="1",SUMIF(Data!A:A,'5'!$A$2,Data!DY:DY),0)</f>
        <v>0</v>
      </c>
      <c r="F67" s="20" t="str">
        <f t="shared" ref="F67:F95" si="4">IF(OR(D67=0,E67=0),"",ROUND(E67/D67,2))</f>
        <v/>
      </c>
    </row>
    <row r="68" spans="1:6" x14ac:dyDescent="0.2">
      <c r="A68" s="19">
        <v>2</v>
      </c>
      <c r="B68" s="181" t="s">
        <v>1</v>
      </c>
      <c r="C68" s="182"/>
      <c r="D68" s="14">
        <f t="shared" ref="D68:D94" si="5">D37</f>
        <v>255904</v>
      </c>
      <c r="E68" s="17">
        <f>IF(F3="1",SUMIF(Data!A:A,'5'!$A$2,Data!DZ:DZ),0)</f>
        <v>1184013</v>
      </c>
      <c r="F68" s="21">
        <f t="shared" si="4"/>
        <v>4.63</v>
      </c>
    </row>
    <row r="69" spans="1:6" ht="14.25" customHeight="1" x14ac:dyDescent="0.2">
      <c r="A69" s="19">
        <v>3</v>
      </c>
      <c r="B69" s="181" t="s">
        <v>2</v>
      </c>
      <c r="C69" s="182"/>
      <c r="D69" s="14">
        <f t="shared" si="5"/>
        <v>1085504</v>
      </c>
      <c r="E69" s="17">
        <f>IF(F3="1",SUMIF(Data!A:A,'5'!$A$2,Data!EA:EA),0)</f>
        <v>3809140</v>
      </c>
      <c r="F69" s="21">
        <f t="shared" si="4"/>
        <v>3.51</v>
      </c>
    </row>
    <row r="70" spans="1:6" ht="14.25" customHeight="1" x14ac:dyDescent="0.2">
      <c r="A70" s="19">
        <v>4</v>
      </c>
      <c r="B70" s="181" t="s">
        <v>3</v>
      </c>
      <c r="C70" s="182"/>
      <c r="D70" s="14">
        <f t="shared" si="5"/>
        <v>509296</v>
      </c>
      <c r="E70" s="17">
        <f>IF(F3="1",SUMIF(Data!A:A,'5'!$A$2,Data!EB:EB),0)</f>
        <v>2472936</v>
      </c>
      <c r="F70" s="21">
        <f t="shared" si="4"/>
        <v>4.8600000000000003</v>
      </c>
    </row>
    <row r="71" spans="1:6" x14ac:dyDescent="0.2">
      <c r="A71" s="19">
        <v>5</v>
      </c>
      <c r="B71" s="181" t="s">
        <v>4</v>
      </c>
      <c r="C71" s="182"/>
      <c r="D71" s="14">
        <f t="shared" si="5"/>
        <v>0</v>
      </c>
      <c r="E71" s="17">
        <f>IF(F3="1",SUMIF(Data!A:A,'5'!$A$2,Data!EC:EC),0)</f>
        <v>0</v>
      </c>
      <c r="F71" s="21" t="str">
        <f t="shared" si="4"/>
        <v/>
      </c>
    </row>
    <row r="72" spans="1:6" x14ac:dyDescent="0.2">
      <c r="A72" s="19">
        <v>6</v>
      </c>
      <c r="B72" s="181" t="s">
        <v>5</v>
      </c>
      <c r="C72" s="182"/>
      <c r="D72" s="14">
        <f t="shared" si="5"/>
        <v>149472</v>
      </c>
      <c r="E72" s="17">
        <f>IF(F3="1",SUMIF(Data!A:A,'5'!$A$2,Data!ED:ED),0)</f>
        <v>264561</v>
      </c>
      <c r="F72" s="21">
        <f t="shared" si="4"/>
        <v>1.77</v>
      </c>
    </row>
    <row r="73" spans="1:6" x14ac:dyDescent="0.2">
      <c r="A73" s="19">
        <v>7</v>
      </c>
      <c r="B73" s="181" t="s">
        <v>6</v>
      </c>
      <c r="C73" s="182"/>
      <c r="D73" s="14">
        <f t="shared" si="5"/>
        <v>583472</v>
      </c>
      <c r="E73" s="17">
        <f>IF(F3="1",SUMIF(Data!A:A,'5'!$A$2,Data!EE:EE),0)</f>
        <v>2390145</v>
      </c>
      <c r="F73" s="21">
        <f t="shared" si="4"/>
        <v>4.0999999999999996</v>
      </c>
    </row>
    <row r="74" spans="1:6" x14ac:dyDescent="0.2">
      <c r="A74" s="19">
        <v>8</v>
      </c>
      <c r="B74" s="181" t="s">
        <v>7</v>
      </c>
      <c r="C74" s="182"/>
      <c r="D74" s="14">
        <f t="shared" si="5"/>
        <v>7872</v>
      </c>
      <c r="E74" s="17">
        <f>IF(F3="1",SUMIF(Data!A:A,'5'!$A$2,Data!EF:EF),0)</f>
        <v>355248</v>
      </c>
      <c r="F74" s="21">
        <f t="shared" si="4"/>
        <v>45.13</v>
      </c>
    </row>
    <row r="75" spans="1:6" x14ac:dyDescent="0.2">
      <c r="A75" s="19">
        <v>9</v>
      </c>
      <c r="B75" s="181" t="s">
        <v>8</v>
      </c>
      <c r="C75" s="182"/>
      <c r="D75" s="14">
        <f t="shared" si="5"/>
        <v>162080</v>
      </c>
      <c r="E75" s="17">
        <f>IF(F3="1",SUMIF(Data!A:A,'5'!$A$2,Data!EG:EG),0)</f>
        <v>415711</v>
      </c>
      <c r="F75" s="21">
        <f t="shared" si="4"/>
        <v>2.56</v>
      </c>
    </row>
    <row r="76" spans="1:6" x14ac:dyDescent="0.2">
      <c r="A76" s="19">
        <v>10</v>
      </c>
      <c r="B76" s="181" t="s">
        <v>9</v>
      </c>
      <c r="C76" s="182"/>
      <c r="D76" s="14">
        <f t="shared" si="5"/>
        <v>7104</v>
      </c>
      <c r="E76" s="17">
        <f>IF(F3="1",SUMIF(Data!A:A,'5'!$A$2,Data!EH:EH),0)</f>
        <v>901794</v>
      </c>
      <c r="F76" s="21">
        <f t="shared" si="4"/>
        <v>126.94</v>
      </c>
    </row>
    <row r="77" spans="1:6" x14ac:dyDescent="0.2">
      <c r="A77" s="19">
        <v>11</v>
      </c>
      <c r="B77" s="181" t="s">
        <v>10</v>
      </c>
      <c r="C77" s="182"/>
      <c r="D77" s="14">
        <f t="shared" si="5"/>
        <v>191936</v>
      </c>
      <c r="E77" s="17">
        <f>IF(F3="1",SUMIF(Data!A:A,'5'!$A$2,Data!EI:EI),0)</f>
        <v>340033</v>
      </c>
      <c r="F77" s="21">
        <f t="shared" si="4"/>
        <v>1.77</v>
      </c>
    </row>
    <row r="78" spans="1:6" ht="14.25" customHeight="1" x14ac:dyDescent="0.2">
      <c r="A78" s="19">
        <v>12</v>
      </c>
      <c r="B78" s="181" t="s">
        <v>11</v>
      </c>
      <c r="C78" s="182"/>
      <c r="D78" s="14">
        <f t="shared" si="5"/>
        <v>1573824</v>
      </c>
      <c r="E78" s="17">
        <f>IF(F3="1",SUMIF(Data!A:A,'5'!$A$2,Data!EJ:EJ),0)</f>
        <v>5145211</v>
      </c>
      <c r="F78" s="21">
        <f t="shared" si="4"/>
        <v>3.27</v>
      </c>
    </row>
    <row r="79" spans="1:6" x14ac:dyDescent="0.2">
      <c r="A79" s="19">
        <v>13</v>
      </c>
      <c r="B79" s="181" t="s">
        <v>12</v>
      </c>
      <c r="C79" s="182"/>
      <c r="D79" s="14">
        <f t="shared" si="5"/>
        <v>521616</v>
      </c>
      <c r="E79" s="17">
        <f>IF(F3="1",SUMIF(Data!A:A,'5'!$A$2,Data!EK:EK),0)</f>
        <v>1550102</v>
      </c>
      <c r="F79" s="21">
        <f t="shared" si="4"/>
        <v>2.97</v>
      </c>
    </row>
    <row r="80" spans="1:6" ht="14.25" customHeight="1" x14ac:dyDescent="0.2">
      <c r="A80" s="19">
        <v>14</v>
      </c>
      <c r="B80" s="181" t="s">
        <v>464</v>
      </c>
      <c r="C80" s="182"/>
      <c r="D80" s="14">
        <f t="shared" si="5"/>
        <v>164656</v>
      </c>
      <c r="E80" s="17">
        <f>IF(F3="1",SUMIF(Data!A:A,'5'!$A$2,Data!EL:EL),0)</f>
        <v>1667695</v>
      </c>
      <c r="F80" s="21">
        <f t="shared" si="4"/>
        <v>10.130000000000001</v>
      </c>
    </row>
    <row r="81" spans="1:6" x14ac:dyDescent="0.2">
      <c r="A81" s="19">
        <v>15</v>
      </c>
      <c r="B81" s="181" t="s">
        <v>13</v>
      </c>
      <c r="C81" s="182"/>
      <c r="D81" s="14">
        <f t="shared" si="5"/>
        <v>0</v>
      </c>
      <c r="E81" s="17">
        <f>IF(F3="1",SUMIF(Data!A:A,'5'!$A$2,Data!EM:EM),0)</f>
        <v>36280</v>
      </c>
      <c r="F81" s="21" t="str">
        <f t="shared" si="4"/>
        <v/>
      </c>
    </row>
    <row r="82" spans="1:6" x14ac:dyDescent="0.2">
      <c r="A82" s="19">
        <v>16</v>
      </c>
      <c r="B82" s="181" t="s">
        <v>14</v>
      </c>
      <c r="C82" s="182"/>
      <c r="D82" s="14">
        <f t="shared" si="5"/>
        <v>346599</v>
      </c>
      <c r="E82" s="17">
        <f>IF(F3="1",SUMIF(Data!A:A,'5'!$A$2,Data!EN:EN),0)</f>
        <v>2455105</v>
      </c>
      <c r="F82" s="21">
        <f t="shared" si="4"/>
        <v>7.08</v>
      </c>
    </row>
    <row r="83" spans="1:6" x14ac:dyDescent="0.2">
      <c r="A83" s="19">
        <v>17</v>
      </c>
      <c r="B83" s="181" t="s">
        <v>15</v>
      </c>
      <c r="C83" s="182"/>
      <c r="D83" s="14">
        <f t="shared" si="5"/>
        <v>0</v>
      </c>
      <c r="E83" s="17">
        <f>IF(F3="1",SUMIF(Data!A:A,'5'!$A$2,Data!EO:EO),0)</f>
        <v>0</v>
      </c>
      <c r="F83" s="21" t="str">
        <f t="shared" si="4"/>
        <v/>
      </c>
    </row>
    <row r="84" spans="1:6" x14ac:dyDescent="0.2">
      <c r="A84" s="19">
        <v>18</v>
      </c>
      <c r="B84" s="181" t="s">
        <v>16</v>
      </c>
      <c r="C84" s="182"/>
      <c r="D84" s="14">
        <f t="shared" si="5"/>
        <v>83488</v>
      </c>
      <c r="E84" s="17">
        <f>IF(F3="1",SUMIF(Data!A:A,'5'!$A$2,Data!EP:EP),0)</f>
        <v>685258</v>
      </c>
      <c r="F84" s="21">
        <f t="shared" si="4"/>
        <v>8.2100000000000009</v>
      </c>
    </row>
    <row r="85" spans="1:6" x14ac:dyDescent="0.2">
      <c r="A85" s="19">
        <v>19</v>
      </c>
      <c r="B85" s="181" t="s">
        <v>17</v>
      </c>
      <c r="C85" s="182"/>
      <c r="D85" s="14">
        <f t="shared" si="5"/>
        <v>1469526</v>
      </c>
      <c r="E85" s="17">
        <f>IF(F3="1",SUMIF(Data!A:A,'5'!$A$2,Data!EQ:EQ),0)</f>
        <v>4370905</v>
      </c>
      <c r="F85" s="21">
        <f t="shared" si="4"/>
        <v>2.97</v>
      </c>
    </row>
    <row r="86" spans="1:6" x14ac:dyDescent="0.2">
      <c r="A86" s="19">
        <v>20</v>
      </c>
      <c r="B86" s="181" t="s">
        <v>18</v>
      </c>
      <c r="C86" s="182"/>
      <c r="D86" s="14">
        <f t="shared" si="5"/>
        <v>61088</v>
      </c>
      <c r="E86" s="17">
        <f>IF(F3="1",SUMIF(Data!A:A,'5'!$A$2,Data!ER:ER),0)</f>
        <v>370755</v>
      </c>
      <c r="F86" s="21">
        <f t="shared" si="4"/>
        <v>6.07</v>
      </c>
    </row>
    <row r="87" spans="1:6" ht="14.25" customHeight="1" x14ac:dyDescent="0.2">
      <c r="A87" s="19">
        <v>21</v>
      </c>
      <c r="B87" s="181" t="s">
        <v>461</v>
      </c>
      <c r="C87" s="182"/>
      <c r="D87" s="14">
        <f t="shared" si="5"/>
        <v>0</v>
      </c>
      <c r="E87" s="17">
        <f>IF(F3="1",SUMIF(Data!A:A,'5'!$A$2,Data!ES:ES),0)</f>
        <v>0</v>
      </c>
      <c r="F87" s="21" t="str">
        <f t="shared" si="4"/>
        <v/>
      </c>
    </row>
    <row r="88" spans="1:6" x14ac:dyDescent="0.2">
      <c r="A88" s="19">
        <v>22</v>
      </c>
      <c r="B88" s="181" t="s">
        <v>19</v>
      </c>
      <c r="C88" s="182"/>
      <c r="D88" s="14">
        <f t="shared" si="5"/>
        <v>1152</v>
      </c>
      <c r="E88" s="17">
        <f>IF(F3="1",SUMIF(Data!A:A,'5'!$A$2,Data!ET:ET),0)</f>
        <v>784350</v>
      </c>
      <c r="F88" s="21">
        <f t="shared" si="4"/>
        <v>680.86</v>
      </c>
    </row>
    <row r="89" spans="1:6" x14ac:dyDescent="0.2">
      <c r="A89" s="19">
        <v>23</v>
      </c>
      <c r="B89" s="181" t="s">
        <v>20</v>
      </c>
      <c r="C89" s="182"/>
      <c r="D89" s="14">
        <f t="shared" si="5"/>
        <v>207520</v>
      </c>
      <c r="E89" s="17">
        <f>IF(F3="1",SUMIF(Data!A:A,'5'!$A$2,Data!EU:EU),0)</f>
        <v>689197</v>
      </c>
      <c r="F89" s="21">
        <f t="shared" si="4"/>
        <v>3.32</v>
      </c>
    </row>
    <row r="90" spans="1:6" x14ac:dyDescent="0.2">
      <c r="A90" s="19">
        <v>24</v>
      </c>
      <c r="B90" s="181" t="s">
        <v>21</v>
      </c>
      <c r="C90" s="182"/>
      <c r="D90" s="14">
        <f t="shared" si="5"/>
        <v>170608</v>
      </c>
      <c r="E90" s="17">
        <f>IF(F3="1",SUMIF(Data!A:A,'5'!$A$2,Data!EV:EV),0)</f>
        <v>458517</v>
      </c>
      <c r="F90" s="21">
        <f t="shared" si="4"/>
        <v>2.69</v>
      </c>
    </row>
    <row r="91" spans="1:6" x14ac:dyDescent="0.2">
      <c r="A91" s="19">
        <v>25</v>
      </c>
      <c r="B91" s="181" t="s">
        <v>22</v>
      </c>
      <c r="C91" s="182"/>
      <c r="D91" s="14">
        <f t="shared" si="5"/>
        <v>2352336</v>
      </c>
      <c r="E91" s="17">
        <f>IF(F3="1",SUMIF(Data!A:A,'5'!$A$2,Data!EW:EW),0)</f>
        <v>5250231</v>
      </c>
      <c r="F91" s="21">
        <f t="shared" si="4"/>
        <v>2.23</v>
      </c>
    </row>
    <row r="92" spans="1:6" x14ac:dyDescent="0.2">
      <c r="A92" s="19">
        <v>26</v>
      </c>
      <c r="B92" s="181" t="s">
        <v>23</v>
      </c>
      <c r="C92" s="182"/>
      <c r="D92" s="14">
        <f t="shared" si="5"/>
        <v>703728</v>
      </c>
      <c r="E92" s="17">
        <f>IF(F3="1",SUMIF(Data!A:A,'5'!$A$2,Data!EX:EX),0)</f>
        <v>3356585</v>
      </c>
      <c r="F92" s="21">
        <f t="shared" si="4"/>
        <v>4.7699999999999996</v>
      </c>
    </row>
    <row r="93" spans="1:6" x14ac:dyDescent="0.2">
      <c r="A93" s="19">
        <v>28</v>
      </c>
      <c r="B93" s="181" t="s">
        <v>24</v>
      </c>
      <c r="C93" s="182"/>
      <c r="D93" s="14">
        <f t="shared" si="5"/>
        <v>0</v>
      </c>
      <c r="E93" s="17">
        <f>IF(F3="1",SUMIF(Data!A:A,'5'!$A$2,Data!EZ:EZ),0)</f>
        <v>0</v>
      </c>
      <c r="F93" s="21" t="str">
        <f t="shared" si="4"/>
        <v/>
      </c>
    </row>
    <row r="94" spans="1:6" ht="15.75" customHeight="1" thickBot="1" x14ac:dyDescent="0.25">
      <c r="A94" s="22">
        <v>29</v>
      </c>
      <c r="B94" s="183" t="s">
        <v>25</v>
      </c>
      <c r="C94" s="184"/>
      <c r="D94" s="23">
        <f t="shared" si="5"/>
        <v>0</v>
      </c>
      <c r="E94" s="24">
        <f>IF(F3="1",SUMIF(Data!A:A,'5'!$A$2,Data!FA:FA),0)</f>
        <v>0</v>
      </c>
      <c r="F94" s="25" t="str">
        <f t="shared" si="4"/>
        <v/>
      </c>
    </row>
    <row r="95" spans="1:6" x14ac:dyDescent="0.2">
      <c r="B95" s="30" t="s">
        <v>35</v>
      </c>
      <c r="C95" s="30"/>
      <c r="D95" s="59">
        <f>SUM(D67:D94)</f>
        <v>10684989</v>
      </c>
      <c r="E95" s="31">
        <f>SUM(E67:E94)</f>
        <v>38953772</v>
      </c>
      <c r="F95" s="32">
        <f t="shared" si="4"/>
        <v>3.65</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IF(F3="1",SUMIF(Data!A:A,'5'!$A$2,Data!AH:AH),0)</f>
        <v>16055276</v>
      </c>
      <c r="F98" s="20">
        <f>IF(OR(E98=0,E98=0),"",ROUND(E98/$D$105,2))</f>
        <v>1.5</v>
      </c>
    </row>
    <row r="99" spans="2:6" x14ac:dyDescent="0.2">
      <c r="B99" s="187" t="s">
        <v>31</v>
      </c>
      <c r="C99" s="188"/>
      <c r="D99" s="36"/>
      <c r="E99" s="17">
        <f>IF(F3="1",SUMIF(Data!A:A,'5'!$A$2,Data!AI:AI),0)</f>
        <v>7396642</v>
      </c>
      <c r="F99" s="21">
        <f t="shared" ref="F99:F104" si="6">IF(OR(E99=0,E99=0),"",ROUND(E99/$D$105,2))</f>
        <v>0.69</v>
      </c>
    </row>
    <row r="100" spans="2:6" x14ac:dyDescent="0.2">
      <c r="B100" s="187" t="s">
        <v>1078</v>
      </c>
      <c r="C100" s="188"/>
      <c r="D100" s="36"/>
      <c r="E100" s="17">
        <f>IF(F3="1",SUMIF(Data!A:A,'5'!$A$2,Data!AJ:AJ),0)</f>
        <v>2529946</v>
      </c>
      <c r="F100" s="21">
        <f t="shared" si="6"/>
        <v>0.24</v>
      </c>
    </row>
    <row r="101" spans="2:6" x14ac:dyDescent="0.2">
      <c r="B101" s="187" t="s">
        <v>1079</v>
      </c>
      <c r="C101" s="188"/>
      <c r="D101" s="36"/>
      <c r="E101" s="17">
        <f>IF(F3="1",SUMIF(Data!A:A,'5'!$A$2,Data!AK:AK),0)</f>
        <v>10044334</v>
      </c>
      <c r="F101" s="21">
        <f t="shared" si="6"/>
        <v>0.94</v>
      </c>
    </row>
    <row r="102" spans="2:6" x14ac:dyDescent="0.2">
      <c r="B102" s="187" t="s">
        <v>1080</v>
      </c>
      <c r="C102" s="188"/>
      <c r="D102" s="36"/>
      <c r="E102" s="17">
        <f>IF(F3="1",SUMIF(Data!A:A,'5'!$A$2,Data!AL:AL),0)</f>
        <v>0</v>
      </c>
      <c r="F102" s="21" t="str">
        <f t="shared" si="6"/>
        <v/>
      </c>
    </row>
    <row r="103" spans="2:6" x14ac:dyDescent="0.2">
      <c r="B103" s="189" t="s">
        <v>34</v>
      </c>
      <c r="C103" s="190"/>
      <c r="D103" s="36"/>
      <c r="E103" s="17">
        <f>IF(F3="1",SUMIF(Data!A:A,'5'!$A$2,Data!AM:AM),0)</f>
        <v>0</v>
      </c>
      <c r="F103" s="21" t="str">
        <f t="shared" si="6"/>
        <v/>
      </c>
    </row>
    <row r="104" spans="2:6" ht="15.75" customHeight="1" thickBot="1" x14ac:dyDescent="0.25">
      <c r="B104" s="179" t="s">
        <v>29</v>
      </c>
      <c r="C104" s="180"/>
      <c r="D104" s="37"/>
      <c r="E104" s="24">
        <f>IF(F3="1",SUMIF(Data!A:A,'5'!$A$2,Data!Q:Q),0)</f>
        <v>3171281</v>
      </c>
      <c r="F104" s="25">
        <f t="shared" si="6"/>
        <v>0.3</v>
      </c>
    </row>
    <row r="105" spans="2:6" x14ac:dyDescent="0.2">
      <c r="B105" s="30" t="s">
        <v>35</v>
      </c>
      <c r="C105" s="30"/>
      <c r="D105" s="34">
        <f>D95</f>
        <v>10684989</v>
      </c>
      <c r="E105" s="31">
        <f>SUM(E98:E104)</f>
        <v>39197479</v>
      </c>
      <c r="F105" s="32">
        <f>IF($D$105=0,"",ROUND(E105/$D$105,2))</f>
        <v>3.67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38953772</v>
      </c>
      <c r="D109" s="15">
        <f>IF(F3="1",SUMIF(Data!$A:$A,$A$2,Data!HJ:HJ),0)</f>
        <v>0</v>
      </c>
      <c r="E109" s="15">
        <f>IF(F3="1",SUMIF(Data!$A:$A,$A$2,Data!IN:IN),0)</f>
        <v>0</v>
      </c>
      <c r="F109" s="47">
        <f>SUM(C109:E109)</f>
        <v>38953772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3171281</v>
      </c>
      <c r="E117" s="52"/>
      <c r="F117" s="49">
        <f>SUM(C117:E117)</f>
        <v>3171281</v>
      </c>
    </row>
    <row r="118" spans="1:6" x14ac:dyDescent="0.2">
      <c r="B118" s="13" t="s">
        <v>35</v>
      </c>
      <c r="C118" s="4">
        <f>SUM(C109:C116)</f>
        <v>38953772</v>
      </c>
      <c r="D118" s="4">
        <f>SUM(D109:D116)</f>
        <v>0</v>
      </c>
      <c r="E118" s="4">
        <f>SUM(E109:E116)</f>
        <v>0</v>
      </c>
      <c r="F118" s="4">
        <f>SUM(F109:F116)</f>
        <v>38953772</v>
      </c>
    </row>
    <row r="119" spans="1:6" ht="15" thickBot="1" x14ac:dyDescent="0.25"/>
    <row r="120" spans="1:6" ht="15" thickBot="1" x14ac:dyDescent="0.25">
      <c r="B120" s="55" t="s">
        <v>934</v>
      </c>
      <c r="C120" s="53"/>
      <c r="D120" s="53"/>
      <c r="E120" s="53">
        <f>IF(F3="1",SUMIF(Data!A:A,'5'!$A$2,Data!AM:AM),0)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356</v>
      </c>
      <c r="B2" s="58" t="str">
        <f>VLOOKUP(A2,Data!A:G,7,0)</f>
        <v>Blinn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29568</v>
      </c>
      <c r="E5" s="15">
        <f>E36+E67+IFERROR($E$105/$D$105*D5,0)</f>
        <v>284201.55767627509</v>
      </c>
      <c r="F5" s="20">
        <f>IF(OR(D5=0,E5=0),"",ROUND(E5/D5,2))</f>
        <v>9.61</v>
      </c>
    </row>
    <row r="6" spans="1:6" x14ac:dyDescent="0.2">
      <c r="A6" s="19">
        <v>2</v>
      </c>
      <c r="B6" s="181" t="s">
        <v>1</v>
      </c>
      <c r="C6" s="182"/>
      <c r="D6" s="14">
        <f t="shared" ref="D6:D32" si="0">D37</f>
        <v>3328</v>
      </c>
      <c r="E6" s="17">
        <f t="shared" ref="E6:E32" si="1">E37+E68+IFERROR($E$105/$D$105*D6,0)</f>
        <v>8827.3441540396216</v>
      </c>
      <c r="F6" s="21">
        <f t="shared" ref="F6:F33" si="2">IF(OR(D6=0,E6=0),"",ROUND(E6/D6,2))</f>
        <v>2.65</v>
      </c>
    </row>
    <row r="7" spans="1:6" ht="14.25" customHeight="1" x14ac:dyDescent="0.2">
      <c r="A7" s="19">
        <v>3</v>
      </c>
      <c r="B7" s="181" t="s">
        <v>2</v>
      </c>
      <c r="C7" s="182"/>
      <c r="D7" s="14">
        <f t="shared" si="0"/>
        <v>1014896</v>
      </c>
      <c r="E7" s="17">
        <f t="shared" si="1"/>
        <v>5254574.0145908045</v>
      </c>
      <c r="F7" s="21">
        <f t="shared" si="2"/>
        <v>5.18</v>
      </c>
    </row>
    <row r="8" spans="1:6" ht="14.25" customHeight="1" x14ac:dyDescent="0.2">
      <c r="A8" s="19">
        <v>4</v>
      </c>
      <c r="B8" s="181" t="s">
        <v>3</v>
      </c>
      <c r="C8" s="182"/>
      <c r="D8" s="14">
        <f t="shared" si="0"/>
        <v>317232</v>
      </c>
      <c r="E8" s="17">
        <f t="shared" si="1"/>
        <v>2519036.1179910749</v>
      </c>
      <c r="F8" s="21">
        <f t="shared" si="2"/>
        <v>7.94</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18752</v>
      </c>
      <c r="E10" s="17">
        <f t="shared" si="1"/>
        <v>124585.68917564633</v>
      </c>
      <c r="F10" s="21">
        <f t="shared" si="2"/>
        <v>6.64</v>
      </c>
    </row>
    <row r="11" spans="1:6" x14ac:dyDescent="0.2">
      <c r="A11" s="19">
        <v>7</v>
      </c>
      <c r="B11" s="181" t="s">
        <v>6</v>
      </c>
      <c r="C11" s="182"/>
      <c r="D11" s="14">
        <f t="shared" si="0"/>
        <v>202384</v>
      </c>
      <c r="E11" s="17">
        <f t="shared" si="1"/>
        <v>2196353.8663675347</v>
      </c>
      <c r="F11" s="21">
        <f t="shared" si="2"/>
        <v>10.85</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87968</v>
      </c>
      <c r="E13" s="17">
        <f t="shared" si="1"/>
        <v>633426.47191783576</v>
      </c>
      <c r="F13" s="21">
        <f t="shared" si="2"/>
        <v>7.2</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0</v>
      </c>
      <c r="E15" s="17">
        <f t="shared" si="1"/>
        <v>0</v>
      </c>
      <c r="F15" s="21" t="str">
        <f t="shared" si="2"/>
        <v/>
      </c>
    </row>
    <row r="16" spans="1:6" ht="14.25" customHeight="1" x14ac:dyDescent="0.2">
      <c r="A16" s="19">
        <v>12</v>
      </c>
      <c r="B16" s="181" t="s">
        <v>11</v>
      </c>
      <c r="C16" s="182"/>
      <c r="D16" s="14">
        <f t="shared" si="0"/>
        <v>932208</v>
      </c>
      <c r="E16" s="17">
        <f t="shared" si="1"/>
        <v>6132678.4636865892</v>
      </c>
      <c r="F16" s="21">
        <f t="shared" si="2"/>
        <v>6.58</v>
      </c>
    </row>
    <row r="17" spans="1:6" x14ac:dyDescent="0.2">
      <c r="A17" s="19">
        <v>13</v>
      </c>
      <c r="B17" s="181" t="s">
        <v>12</v>
      </c>
      <c r="C17" s="182"/>
      <c r="D17" s="14">
        <f t="shared" si="0"/>
        <v>147344</v>
      </c>
      <c r="E17" s="17">
        <f t="shared" si="1"/>
        <v>833782.17458918691</v>
      </c>
      <c r="F17" s="21">
        <f t="shared" si="2"/>
        <v>5.66</v>
      </c>
    </row>
    <row r="18" spans="1:6" ht="14.25" customHeight="1" x14ac:dyDescent="0.2">
      <c r="A18" s="19">
        <v>14</v>
      </c>
      <c r="B18" s="181" t="s">
        <v>464</v>
      </c>
      <c r="C18" s="182"/>
      <c r="D18" s="14">
        <f t="shared" si="0"/>
        <v>66288</v>
      </c>
      <c r="E18" s="17">
        <f t="shared" si="1"/>
        <v>855521.41745281802</v>
      </c>
      <c r="F18" s="21">
        <f t="shared" si="2"/>
        <v>12.91</v>
      </c>
    </row>
    <row r="19" spans="1:6" x14ac:dyDescent="0.2">
      <c r="A19" s="19">
        <v>15</v>
      </c>
      <c r="B19" s="181" t="s">
        <v>13</v>
      </c>
      <c r="C19" s="182"/>
      <c r="D19" s="14">
        <f t="shared" si="0"/>
        <v>18032</v>
      </c>
      <c r="E19" s="17">
        <f t="shared" si="1"/>
        <v>374498.92721924355</v>
      </c>
      <c r="F19" s="21">
        <f t="shared" si="2"/>
        <v>20.77</v>
      </c>
    </row>
    <row r="20" spans="1:6" x14ac:dyDescent="0.2">
      <c r="A20" s="19">
        <v>16</v>
      </c>
      <c r="B20" s="181" t="s">
        <v>14</v>
      </c>
      <c r="C20" s="182"/>
      <c r="D20" s="14">
        <f t="shared" si="0"/>
        <v>175724</v>
      </c>
      <c r="E20" s="17">
        <f t="shared" si="1"/>
        <v>1128206.6250373975</v>
      </c>
      <c r="F20" s="21">
        <f t="shared" si="2"/>
        <v>6.42</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65776</v>
      </c>
      <c r="E22" s="17">
        <f t="shared" si="1"/>
        <v>523699.36450604274</v>
      </c>
      <c r="F22" s="21">
        <f t="shared" si="2"/>
        <v>7.96</v>
      </c>
    </row>
    <row r="23" spans="1:6" x14ac:dyDescent="0.2">
      <c r="A23" s="19">
        <v>19</v>
      </c>
      <c r="B23" s="181" t="s">
        <v>17</v>
      </c>
      <c r="C23" s="182"/>
      <c r="D23" s="14">
        <f t="shared" si="0"/>
        <v>698464</v>
      </c>
      <c r="E23" s="17">
        <f t="shared" si="1"/>
        <v>4510285.8543290654</v>
      </c>
      <c r="F23" s="21">
        <f t="shared" si="2"/>
        <v>6.46</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226224</v>
      </c>
      <c r="E27" s="17">
        <f t="shared" si="1"/>
        <v>1596054.2067017606</v>
      </c>
      <c r="F27" s="21">
        <f t="shared" si="2"/>
        <v>7.06</v>
      </c>
    </row>
    <row r="28" spans="1:6" x14ac:dyDescent="0.2">
      <c r="A28" s="19">
        <v>24</v>
      </c>
      <c r="B28" s="181" t="s">
        <v>21</v>
      </c>
      <c r="C28" s="182"/>
      <c r="D28" s="14">
        <f t="shared" si="0"/>
        <v>121200</v>
      </c>
      <c r="E28" s="17">
        <f t="shared" si="1"/>
        <v>540947.59599447181</v>
      </c>
      <c r="F28" s="21">
        <f t="shared" si="2"/>
        <v>4.46</v>
      </c>
    </row>
    <row r="29" spans="1:6" x14ac:dyDescent="0.2">
      <c r="A29" s="19">
        <v>25</v>
      </c>
      <c r="B29" s="181" t="s">
        <v>22</v>
      </c>
      <c r="C29" s="182"/>
      <c r="D29" s="14">
        <f t="shared" si="0"/>
        <v>1404192</v>
      </c>
      <c r="E29" s="17">
        <f t="shared" si="1"/>
        <v>7513923.0848405063</v>
      </c>
      <c r="F29" s="21">
        <f t="shared" si="2"/>
        <v>5.35</v>
      </c>
    </row>
    <row r="30" spans="1:6" x14ac:dyDescent="0.2">
      <c r="A30" s="19">
        <v>26</v>
      </c>
      <c r="B30" s="181" t="s">
        <v>23</v>
      </c>
      <c r="C30" s="182"/>
      <c r="D30" s="14">
        <f t="shared" si="0"/>
        <v>109177</v>
      </c>
      <c r="E30" s="17">
        <f t="shared" si="1"/>
        <v>919734.22376970667</v>
      </c>
      <c r="F30" s="21">
        <f t="shared" si="2"/>
        <v>8.42</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5638757</v>
      </c>
      <c r="E33" s="31">
        <f>SUM(E5:E32)</f>
        <v>35950337</v>
      </c>
      <c r="F33" s="32">
        <f t="shared" si="2"/>
        <v>6.38</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IF(F3="1",SUMIF(Data!A:A,'6'!$A$2,Data!CU:CU),0)</f>
        <v>29568</v>
      </c>
      <c r="E36" s="15">
        <f>IF(F3="1",SUMIF(Data!$A:$A,$A$2,Data!IO:IO),0)</f>
        <v>59107</v>
      </c>
      <c r="F36" s="20">
        <f t="shared" ref="F36:F64" si="3">IF(OR(D36=0,E36=0),"",ROUND(E36/D36,2))</f>
        <v>2</v>
      </c>
    </row>
    <row r="37" spans="1:6" x14ac:dyDescent="0.2">
      <c r="A37" s="19">
        <v>2</v>
      </c>
      <c r="B37" s="181" t="s">
        <v>1</v>
      </c>
      <c r="C37" s="182"/>
      <c r="D37" s="14">
        <f>IF(F3="1",SUMIF(Data!A:A,'6'!$A$2,Data!CV:CV),0)</f>
        <v>3328</v>
      </c>
      <c r="E37" s="17">
        <f>IF(F3="1",SUMIF(Data!$A:$A,$A$2,Data!IP:IP),0)</f>
        <v>0</v>
      </c>
      <c r="F37" s="21" t="str">
        <f t="shared" si="3"/>
        <v/>
      </c>
    </row>
    <row r="38" spans="1:6" ht="14.25" customHeight="1" x14ac:dyDescent="0.2">
      <c r="A38" s="19">
        <v>3</v>
      </c>
      <c r="B38" s="181" t="s">
        <v>2</v>
      </c>
      <c r="C38" s="182"/>
      <c r="D38" s="14">
        <f>IF(F3="1",SUMIF(Data!A:A,'6'!$A$2,Data!CW:CW),0)</f>
        <v>1014896</v>
      </c>
      <c r="E38" s="17">
        <f>IF($F$3="1",SUMIF(Data!$A:$A,$A$2,Data!IQ:IQ),0)</f>
        <v>694779</v>
      </c>
      <c r="F38" s="21">
        <f t="shared" si="3"/>
        <v>0.68</v>
      </c>
    </row>
    <row r="39" spans="1:6" ht="14.25" customHeight="1" x14ac:dyDescent="0.2">
      <c r="A39" s="19">
        <v>4</v>
      </c>
      <c r="B39" s="181" t="s">
        <v>3</v>
      </c>
      <c r="C39" s="182"/>
      <c r="D39" s="14">
        <f>IF(F3="1",SUMIF(Data!A:A,'6'!$A$2,Data!CX:CX),0)</f>
        <v>317232</v>
      </c>
      <c r="E39" s="17">
        <f>IF($F$3="1",SUMIF(Data!$A:$A,$A$2,Data!IR:IR),0)</f>
        <v>363925</v>
      </c>
      <c r="F39" s="21">
        <f t="shared" si="3"/>
        <v>1.1499999999999999</v>
      </c>
    </row>
    <row r="40" spans="1:6" x14ac:dyDescent="0.2">
      <c r="A40" s="19">
        <v>5</v>
      </c>
      <c r="B40" s="181" t="s">
        <v>4</v>
      </c>
      <c r="C40" s="182"/>
      <c r="D40" s="14">
        <f>IF(F3="1",SUMIF(Data!A:A,'6'!$A$2,Data!CY:CY),0)</f>
        <v>0</v>
      </c>
      <c r="E40" s="17">
        <f>IF($F$3="1",SUMIF(Data!$A:$A,$A$2,Data!IS:IS),0)</f>
        <v>0</v>
      </c>
      <c r="F40" s="21" t="str">
        <f t="shared" si="3"/>
        <v/>
      </c>
    </row>
    <row r="41" spans="1:6" x14ac:dyDescent="0.2">
      <c r="A41" s="19">
        <v>6</v>
      </c>
      <c r="B41" s="181" t="s">
        <v>5</v>
      </c>
      <c r="C41" s="182"/>
      <c r="D41" s="14">
        <f>IF(F3="1",SUMIF(Data!A:A,'6'!$A$2,Data!CZ:CZ),0)</f>
        <v>18752</v>
      </c>
      <c r="E41" s="17">
        <f>IF($F$3="1",SUMIF(Data!$A:$A,$A$2,Data!IT:IT),0)</f>
        <v>18786</v>
      </c>
      <c r="F41" s="21">
        <f t="shared" si="3"/>
        <v>1</v>
      </c>
    </row>
    <row r="42" spans="1:6" x14ac:dyDescent="0.2">
      <c r="A42" s="19">
        <v>7</v>
      </c>
      <c r="B42" s="181" t="s">
        <v>6</v>
      </c>
      <c r="C42" s="182"/>
      <c r="D42" s="14">
        <f>IF(F3="1",SUMIF(Data!A:A,'6'!$A$2,Data!DA:DA),0)</f>
        <v>202384</v>
      </c>
      <c r="E42" s="17">
        <f>IF($F$3="1",SUMIF(Data!$A:$A,$A$2,Data!IU:IU),0)</f>
        <v>1212771</v>
      </c>
      <c r="F42" s="21">
        <f t="shared" si="3"/>
        <v>5.99</v>
      </c>
    </row>
    <row r="43" spans="1:6" x14ac:dyDescent="0.2">
      <c r="A43" s="19">
        <v>8</v>
      </c>
      <c r="B43" s="181" t="s">
        <v>7</v>
      </c>
      <c r="C43" s="182"/>
      <c r="D43" s="14">
        <f>IF(F3="1",SUMIF(Data!A:A,'6'!$A$2,Data!DB:DB),0)</f>
        <v>0</v>
      </c>
      <c r="E43" s="17">
        <f>IF($F$3="1",SUMIF(Data!$A:$A,$A$2,Data!IV:IV),0)</f>
        <v>0</v>
      </c>
      <c r="F43" s="21" t="str">
        <f t="shared" si="3"/>
        <v/>
      </c>
    </row>
    <row r="44" spans="1:6" x14ac:dyDescent="0.2">
      <c r="A44" s="19">
        <v>9</v>
      </c>
      <c r="B44" s="181" t="s">
        <v>8</v>
      </c>
      <c r="C44" s="182"/>
      <c r="D44" s="14">
        <f>IF(F3="1",SUMIF(Data!A:A,'6'!$A$2,Data!DC:DC),0)</f>
        <v>87968</v>
      </c>
      <c r="E44" s="17">
        <f>IF($F$3="1",SUMIF(Data!$A:$A,$A$2,Data!IW:IW),0)</f>
        <v>268841</v>
      </c>
      <c r="F44" s="21">
        <f t="shared" si="3"/>
        <v>3.06</v>
      </c>
    </row>
    <row r="45" spans="1:6" x14ac:dyDescent="0.2">
      <c r="A45" s="19">
        <v>10</v>
      </c>
      <c r="B45" s="181" t="s">
        <v>9</v>
      </c>
      <c r="C45" s="182"/>
      <c r="D45" s="14">
        <f>IF(F3="1",SUMIF(Data!A:A,'6'!$A$2,Data!DD:DD),0)</f>
        <v>0</v>
      </c>
      <c r="E45" s="17">
        <f>IF($F$3="1",SUMIF(Data!$A:$A,$A$2,Data!IX:IX),0)</f>
        <v>0</v>
      </c>
      <c r="F45" s="21" t="str">
        <f t="shared" si="3"/>
        <v/>
      </c>
    </row>
    <row r="46" spans="1:6" x14ac:dyDescent="0.2">
      <c r="A46" s="19">
        <v>11</v>
      </c>
      <c r="B46" s="181" t="s">
        <v>10</v>
      </c>
      <c r="C46" s="182"/>
      <c r="D46" s="14">
        <f>IF(F3="1",SUMIF(Data!A:A,'6'!$A$2,Data!DE:DE),0)</f>
        <v>0</v>
      </c>
      <c r="E46" s="17">
        <f>IF($F$3="1",SUMIF(Data!$A:$A,$A$2,Data!IY:IY),0)</f>
        <v>0</v>
      </c>
      <c r="F46" s="21" t="str">
        <f t="shared" si="3"/>
        <v/>
      </c>
    </row>
    <row r="47" spans="1:6" ht="14.25" customHeight="1" x14ac:dyDescent="0.2">
      <c r="A47" s="19">
        <v>12</v>
      </c>
      <c r="B47" s="181" t="s">
        <v>11</v>
      </c>
      <c r="C47" s="182"/>
      <c r="D47" s="14">
        <f>IF(F3="1",SUMIF(Data!A:A,'6'!$A$2,Data!DF:DF),0)</f>
        <v>932208</v>
      </c>
      <c r="E47" s="17">
        <f>IF($F$3="1",SUMIF(Data!$A:$A,$A$2,Data!IZ:IZ),0)</f>
        <v>1004914</v>
      </c>
      <c r="F47" s="21">
        <f t="shared" si="3"/>
        <v>1.08</v>
      </c>
    </row>
    <row r="48" spans="1:6" x14ac:dyDescent="0.2">
      <c r="A48" s="19">
        <v>13</v>
      </c>
      <c r="B48" s="181" t="s">
        <v>12</v>
      </c>
      <c r="C48" s="182"/>
      <c r="D48" s="14">
        <f>IF(F3="1",SUMIF(Data!A:A,'6'!$A$2,Data!DG:DG),0)</f>
        <v>147344</v>
      </c>
      <c r="E48" s="17">
        <f>IF($F$3="1",SUMIF(Data!$A:$A,$A$2,Data!JA:JA),0)</f>
        <v>75705</v>
      </c>
      <c r="F48" s="21">
        <f t="shared" si="3"/>
        <v>0.51</v>
      </c>
    </row>
    <row r="49" spans="1:6" ht="14.25" customHeight="1" x14ac:dyDescent="0.2">
      <c r="A49" s="19">
        <v>14</v>
      </c>
      <c r="B49" s="181" t="s">
        <v>464</v>
      </c>
      <c r="C49" s="182"/>
      <c r="D49" s="14">
        <f>IF(F3="1",SUMIF(Data!A:A,'6'!$A$2,Data!DH:DH),0)</f>
        <v>66288</v>
      </c>
      <c r="E49" s="17">
        <f>IF($F$3="1",SUMIF(Data!$A:$A,$A$2,Data!JB:JB),0)</f>
        <v>209743</v>
      </c>
      <c r="F49" s="21">
        <f t="shared" si="3"/>
        <v>3.16</v>
      </c>
    </row>
    <row r="50" spans="1:6" x14ac:dyDescent="0.2">
      <c r="A50" s="19">
        <v>15</v>
      </c>
      <c r="B50" s="181" t="s">
        <v>13</v>
      </c>
      <c r="C50" s="182"/>
      <c r="D50" s="14">
        <f>IF(F3="1",SUMIF(Data!A:A,'6'!$A$2,Data!DI:DI),0)</f>
        <v>18032</v>
      </c>
      <c r="E50" s="17">
        <f>IF($F$3="1",SUMIF(Data!$A:$A,$A$2,Data!JC:JC),0)</f>
        <v>141619</v>
      </c>
      <c r="F50" s="21">
        <f t="shared" si="3"/>
        <v>7.85</v>
      </c>
    </row>
    <row r="51" spans="1:6" x14ac:dyDescent="0.2">
      <c r="A51" s="19">
        <v>16</v>
      </c>
      <c r="B51" s="181" t="s">
        <v>14</v>
      </c>
      <c r="C51" s="182"/>
      <c r="D51" s="14">
        <f>IF(F3="1",SUMIF(Data!A:A,'6'!$A$2,Data!DJ:DJ),0)</f>
        <v>175724</v>
      </c>
      <c r="E51" s="17">
        <f>IF($F$3="1",SUMIF(Data!$A:$A,$A$2,Data!JD:JD),0)</f>
        <v>284650</v>
      </c>
      <c r="F51" s="21">
        <f t="shared" si="3"/>
        <v>1.62</v>
      </c>
    </row>
    <row r="52" spans="1:6" x14ac:dyDescent="0.2">
      <c r="A52" s="19">
        <v>17</v>
      </c>
      <c r="B52" s="181" t="s">
        <v>15</v>
      </c>
      <c r="C52" s="182"/>
      <c r="D52" s="14">
        <f>IF(F3="1",SUMIF(Data!A:A,'6'!$A$2,Data!DK:DK),0)</f>
        <v>0</v>
      </c>
      <c r="E52" s="17">
        <f>IF($F$3="1",SUMIF(Data!$A:$A,$A$2,Data!JE:JE),0)</f>
        <v>0</v>
      </c>
      <c r="F52" s="21" t="str">
        <f t="shared" si="3"/>
        <v/>
      </c>
    </row>
    <row r="53" spans="1:6" x14ac:dyDescent="0.2">
      <c r="A53" s="19">
        <v>18</v>
      </c>
      <c r="B53" s="181" t="s">
        <v>16</v>
      </c>
      <c r="C53" s="182"/>
      <c r="D53" s="14">
        <f>IF(F3="1",SUMIF(Data!A:A,'6'!$A$2,Data!DL:DL),0)</f>
        <v>65776</v>
      </c>
      <c r="E53" s="17">
        <f>IF($F$3="1",SUMIF(Data!$A:$A,$A$2,Data!JF:JF),0)</f>
        <v>177884</v>
      </c>
      <c r="F53" s="21">
        <f t="shared" si="3"/>
        <v>2.7</v>
      </c>
    </row>
    <row r="54" spans="1:6" x14ac:dyDescent="0.2">
      <c r="A54" s="19">
        <v>19</v>
      </c>
      <c r="B54" s="181" t="s">
        <v>17</v>
      </c>
      <c r="C54" s="182"/>
      <c r="D54" s="14">
        <f>IF(F3="1",SUMIF(Data!A:A,'6'!$A$2,Data!DM:DM),0)</f>
        <v>698464</v>
      </c>
      <c r="E54" s="17">
        <f>IF($F$3="1",SUMIF(Data!$A:$A,$A$2,Data!JG:JG),0)</f>
        <v>590063</v>
      </c>
      <c r="F54" s="21">
        <f t="shared" si="3"/>
        <v>0.84</v>
      </c>
    </row>
    <row r="55" spans="1:6" x14ac:dyDescent="0.2">
      <c r="A55" s="19">
        <v>20</v>
      </c>
      <c r="B55" s="181" t="s">
        <v>18</v>
      </c>
      <c r="C55" s="182"/>
      <c r="D55" s="14">
        <f>IF(F3="1",SUMIF(Data!A:A,'6'!$A$2,Data!DN:DN),0)</f>
        <v>0</v>
      </c>
      <c r="E55" s="17">
        <f>IF($F$3="1",SUMIF(Data!$A:$A,$A$2,Data!JH:JH),0)</f>
        <v>0</v>
      </c>
      <c r="F55" s="21" t="str">
        <f t="shared" si="3"/>
        <v/>
      </c>
    </row>
    <row r="56" spans="1:6" ht="14.25" customHeight="1" x14ac:dyDescent="0.2">
      <c r="A56" s="19">
        <v>21</v>
      </c>
      <c r="B56" s="181" t="s">
        <v>461</v>
      </c>
      <c r="C56" s="182"/>
      <c r="D56" s="14">
        <f>IF(F3="1",SUMIF(Data!A:A,'6'!$A$2,Data!DO:DO),0)</f>
        <v>0</v>
      </c>
      <c r="E56" s="17">
        <f>IF($F$3="1",SUMIF(Data!$A:$A,$A$2,Data!JI:JI),0)</f>
        <v>0</v>
      </c>
      <c r="F56" s="21" t="str">
        <f t="shared" si="3"/>
        <v/>
      </c>
    </row>
    <row r="57" spans="1:6" x14ac:dyDescent="0.2">
      <c r="A57" s="19">
        <v>22</v>
      </c>
      <c r="B57" s="181" t="s">
        <v>19</v>
      </c>
      <c r="C57" s="182"/>
      <c r="D57" s="14">
        <f>IF(F3="1",SUMIF(Data!A:A,'6'!$A$2,Data!DP:DP),0)</f>
        <v>0</v>
      </c>
      <c r="E57" s="17">
        <f>IF($F$3="1",SUMIF(Data!$A:$A,$A$2,Data!JJ:JJ),0)</f>
        <v>0</v>
      </c>
      <c r="F57" s="21" t="str">
        <f t="shared" si="3"/>
        <v/>
      </c>
    </row>
    <row r="58" spans="1:6" x14ac:dyDescent="0.2">
      <c r="A58" s="19">
        <v>23</v>
      </c>
      <c r="B58" s="181" t="s">
        <v>20</v>
      </c>
      <c r="C58" s="182"/>
      <c r="D58" s="14">
        <f>IF(F3="1",SUMIF(Data!A:A,'6'!$A$2,Data!DQ:DQ),0)</f>
        <v>226224</v>
      </c>
      <c r="E58" s="17">
        <f>IF($F$3="1",SUMIF(Data!$A:$A,$A$2,Data!JK:JK),0)</f>
        <v>263448</v>
      </c>
      <c r="F58" s="21">
        <f t="shared" si="3"/>
        <v>1.1599999999999999</v>
      </c>
    </row>
    <row r="59" spans="1:6" x14ac:dyDescent="0.2">
      <c r="A59" s="19">
        <v>24</v>
      </c>
      <c r="B59" s="181" t="s">
        <v>21</v>
      </c>
      <c r="C59" s="182"/>
      <c r="D59" s="14">
        <f>IF(F3="1",SUMIF(Data!A:A,'6'!$A$2,Data!DR:DR),0)</f>
        <v>121200</v>
      </c>
      <c r="E59" s="17">
        <f>IF($F$3="1",SUMIF(Data!$A:$A,$A$2,Data!JL:JL),0)</f>
        <v>45089</v>
      </c>
      <c r="F59" s="21">
        <f t="shared" si="3"/>
        <v>0.37</v>
      </c>
    </row>
    <row r="60" spans="1:6" x14ac:dyDescent="0.2">
      <c r="A60" s="19">
        <v>25</v>
      </c>
      <c r="B60" s="181" t="s">
        <v>22</v>
      </c>
      <c r="C60" s="182"/>
      <c r="D60" s="14">
        <f>IF(F3="1",SUMIF(Data!A:A,'6'!$A$2,Data!DS:DS),0)</f>
        <v>1404192</v>
      </c>
      <c r="E60" s="17">
        <f>IF($F$3="1",SUMIF(Data!$A:$A,$A$2,Data!JM:JM),0)</f>
        <v>776698</v>
      </c>
      <c r="F60" s="21">
        <f t="shared" si="3"/>
        <v>0.55000000000000004</v>
      </c>
    </row>
    <row r="61" spans="1:6" x14ac:dyDescent="0.2">
      <c r="A61" s="19">
        <v>26</v>
      </c>
      <c r="B61" s="181" t="s">
        <v>23</v>
      </c>
      <c r="C61" s="182"/>
      <c r="D61" s="14">
        <f>IF(F3="1",SUMIF(Data!A:A,'6'!$A$2,Data!DT:DT),0)</f>
        <v>109177</v>
      </c>
      <c r="E61" s="17">
        <f>IF($F$3="1",SUMIF(Data!$A:$A,$A$2,Data!JN:JN),0)</f>
        <v>265338</v>
      </c>
      <c r="F61" s="21">
        <f t="shared" si="3"/>
        <v>2.4300000000000002</v>
      </c>
    </row>
    <row r="62" spans="1:6" x14ac:dyDescent="0.2">
      <c r="A62" s="19">
        <v>28</v>
      </c>
      <c r="B62" s="181" t="s">
        <v>24</v>
      </c>
      <c r="C62" s="182"/>
      <c r="D62" s="14">
        <f>IF(F3="1",SUMIF(Data!A:A,'6'!$A$2,Data!DV:DV),0)</f>
        <v>0</v>
      </c>
      <c r="E62" s="17">
        <f>IF($F$3="1",SUMIF(Data!$A:$A,$A$2,Data!JP:JP),0)</f>
        <v>0</v>
      </c>
      <c r="F62" s="21" t="str">
        <f t="shared" si="3"/>
        <v/>
      </c>
    </row>
    <row r="63" spans="1:6" ht="15.75" customHeight="1" thickBot="1" x14ac:dyDescent="0.25">
      <c r="A63" s="22">
        <v>29</v>
      </c>
      <c r="B63" s="183" t="s">
        <v>25</v>
      </c>
      <c r="C63" s="184"/>
      <c r="D63" s="23">
        <f>IF(F3="1",SUMIF(Data!A:A,'6'!$A$2,Data!DW:DW),0)</f>
        <v>0</v>
      </c>
      <c r="E63" s="24">
        <f>IF($F$3="1",SUMIF(Data!$A:$A,$A$2,Data!JQ:JQ),0)</f>
        <v>0</v>
      </c>
      <c r="F63" s="25" t="str">
        <f t="shared" si="3"/>
        <v/>
      </c>
    </row>
    <row r="64" spans="1:6" x14ac:dyDescent="0.2">
      <c r="B64" s="30" t="s">
        <v>35</v>
      </c>
      <c r="C64" s="30"/>
      <c r="D64" s="59">
        <f>SUM(D36:D63)</f>
        <v>5638757</v>
      </c>
      <c r="E64" s="31">
        <f>SUM(E36:E63)</f>
        <v>6453360</v>
      </c>
      <c r="F64" s="32">
        <f t="shared" si="3"/>
        <v>1.1399999999999999</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29568</v>
      </c>
      <c r="E67" s="15">
        <f>IF(F3="1",SUMIF(Data!A:A,'6'!$A$2,Data!DY:DY),0)</f>
        <v>146667</v>
      </c>
      <c r="F67" s="20">
        <f t="shared" ref="F67:F95" si="4">IF(OR(D67=0,E67=0),"",ROUND(E67/D67,2))</f>
        <v>4.96</v>
      </c>
    </row>
    <row r="68" spans="1:6" x14ac:dyDescent="0.2">
      <c r="A68" s="19">
        <v>2</v>
      </c>
      <c r="B68" s="181" t="s">
        <v>1</v>
      </c>
      <c r="C68" s="182"/>
      <c r="D68" s="14">
        <f t="shared" ref="D68:D94" si="5">D37</f>
        <v>3328</v>
      </c>
      <c r="E68" s="17">
        <f>IF(F3="1",SUMIF(Data!A:A,'6'!$A$2,Data!DZ:DZ),0)</f>
        <v>0</v>
      </c>
      <c r="F68" s="21" t="str">
        <f t="shared" si="4"/>
        <v/>
      </c>
    </row>
    <row r="69" spans="1:6" ht="14.25" customHeight="1" x14ac:dyDescent="0.2">
      <c r="A69" s="19">
        <v>3</v>
      </c>
      <c r="B69" s="181" t="s">
        <v>2</v>
      </c>
      <c r="C69" s="182"/>
      <c r="D69" s="14">
        <f t="shared" si="5"/>
        <v>1014896</v>
      </c>
      <c r="E69" s="17">
        <f>IF(F3="1",SUMIF(Data!A:A,'6'!$A$2,Data!EA:EA),0)</f>
        <v>1867837</v>
      </c>
      <c r="F69" s="21">
        <f t="shared" si="4"/>
        <v>1.84</v>
      </c>
    </row>
    <row r="70" spans="1:6" ht="14.25" customHeight="1" x14ac:dyDescent="0.2">
      <c r="A70" s="19">
        <v>4</v>
      </c>
      <c r="B70" s="181" t="s">
        <v>3</v>
      </c>
      <c r="C70" s="182"/>
      <c r="D70" s="14">
        <f t="shared" si="5"/>
        <v>317232</v>
      </c>
      <c r="E70" s="17">
        <f>IF(F3="1",SUMIF(Data!A:A,'6'!$A$2,Data!EB:EB),0)</f>
        <v>1313670</v>
      </c>
      <c r="F70" s="21">
        <f t="shared" si="4"/>
        <v>4.1399999999999997</v>
      </c>
    </row>
    <row r="71" spans="1:6" x14ac:dyDescent="0.2">
      <c r="A71" s="19">
        <v>5</v>
      </c>
      <c r="B71" s="181" t="s">
        <v>4</v>
      </c>
      <c r="C71" s="182"/>
      <c r="D71" s="14">
        <f t="shared" si="5"/>
        <v>0</v>
      </c>
      <c r="E71" s="17">
        <f>IF(F3="1",SUMIF(Data!A:A,'6'!$A$2,Data!EC:EC),0)</f>
        <v>0</v>
      </c>
      <c r="F71" s="21" t="str">
        <f t="shared" si="4"/>
        <v/>
      </c>
    </row>
    <row r="72" spans="1:6" x14ac:dyDescent="0.2">
      <c r="A72" s="19">
        <v>6</v>
      </c>
      <c r="B72" s="181" t="s">
        <v>5</v>
      </c>
      <c r="C72" s="182"/>
      <c r="D72" s="14">
        <f t="shared" si="5"/>
        <v>18752</v>
      </c>
      <c r="E72" s="17">
        <f>IF(F3="1",SUMIF(Data!A:A,'6'!$A$2,Data!ED:ED),0)</f>
        <v>56061</v>
      </c>
      <c r="F72" s="21">
        <f t="shared" si="4"/>
        <v>2.99</v>
      </c>
    </row>
    <row r="73" spans="1:6" x14ac:dyDescent="0.2">
      <c r="A73" s="19">
        <v>7</v>
      </c>
      <c r="B73" s="181" t="s">
        <v>6</v>
      </c>
      <c r="C73" s="182"/>
      <c r="D73" s="14">
        <f t="shared" si="5"/>
        <v>202384</v>
      </c>
      <c r="E73" s="17">
        <f>IF(F3="1",SUMIF(Data!A:A,'6'!$A$2,Data!EE:EE),0)</f>
        <v>446770</v>
      </c>
      <c r="F73" s="21">
        <f t="shared" si="4"/>
        <v>2.21</v>
      </c>
    </row>
    <row r="74" spans="1:6" x14ac:dyDescent="0.2">
      <c r="A74" s="19">
        <v>8</v>
      </c>
      <c r="B74" s="181" t="s">
        <v>7</v>
      </c>
      <c r="C74" s="182"/>
      <c r="D74" s="14">
        <f t="shared" si="5"/>
        <v>0</v>
      </c>
      <c r="E74" s="17">
        <f>IF(F3="1",SUMIF(Data!A:A,'6'!$A$2,Data!EF:EF),0)</f>
        <v>0</v>
      </c>
      <c r="F74" s="21" t="str">
        <f t="shared" si="4"/>
        <v/>
      </c>
    </row>
    <row r="75" spans="1:6" x14ac:dyDescent="0.2">
      <c r="A75" s="19">
        <v>9</v>
      </c>
      <c r="B75" s="181" t="s">
        <v>8</v>
      </c>
      <c r="C75" s="182"/>
      <c r="D75" s="14">
        <f t="shared" si="5"/>
        <v>87968</v>
      </c>
      <c r="E75" s="17">
        <f>IF(F3="1",SUMIF(Data!A:A,'6'!$A$2,Data!EG:EG),0)</f>
        <v>131255</v>
      </c>
      <c r="F75" s="21">
        <f t="shared" si="4"/>
        <v>1.49</v>
      </c>
    </row>
    <row r="76" spans="1:6" x14ac:dyDescent="0.2">
      <c r="A76" s="19">
        <v>10</v>
      </c>
      <c r="B76" s="181" t="s">
        <v>9</v>
      </c>
      <c r="C76" s="182"/>
      <c r="D76" s="14">
        <f t="shared" si="5"/>
        <v>0</v>
      </c>
      <c r="E76" s="17">
        <f>IF(F3="1",SUMIF(Data!A:A,'6'!$A$2,Data!EH:EH),0)</f>
        <v>0</v>
      </c>
      <c r="F76" s="21" t="str">
        <f t="shared" si="4"/>
        <v/>
      </c>
    </row>
    <row r="77" spans="1:6" x14ac:dyDescent="0.2">
      <c r="A77" s="19">
        <v>11</v>
      </c>
      <c r="B77" s="181" t="s">
        <v>10</v>
      </c>
      <c r="C77" s="182"/>
      <c r="D77" s="14">
        <f t="shared" si="5"/>
        <v>0</v>
      </c>
      <c r="E77" s="17">
        <f>IF(F3="1",SUMIF(Data!A:A,'6'!$A$2,Data!EI:EI),0)</f>
        <v>0</v>
      </c>
      <c r="F77" s="21" t="str">
        <f t="shared" si="4"/>
        <v/>
      </c>
    </row>
    <row r="78" spans="1:6" ht="14.25" customHeight="1" x14ac:dyDescent="0.2">
      <c r="A78" s="19">
        <v>12</v>
      </c>
      <c r="B78" s="181" t="s">
        <v>11</v>
      </c>
      <c r="C78" s="182"/>
      <c r="D78" s="14">
        <f t="shared" si="5"/>
        <v>932208</v>
      </c>
      <c r="E78" s="17">
        <f>IF(F3="1",SUMIF(Data!A:A,'6'!$A$2,Data!EJ:EJ),0)</f>
        <v>2655132</v>
      </c>
      <c r="F78" s="21">
        <f t="shared" si="4"/>
        <v>2.85</v>
      </c>
    </row>
    <row r="79" spans="1:6" x14ac:dyDescent="0.2">
      <c r="A79" s="19">
        <v>13</v>
      </c>
      <c r="B79" s="181" t="s">
        <v>12</v>
      </c>
      <c r="C79" s="182"/>
      <c r="D79" s="14">
        <f t="shared" si="5"/>
        <v>147344</v>
      </c>
      <c r="E79" s="17">
        <f>IF(F3="1",SUMIF(Data!A:A,'6'!$A$2,Data!EK:EK),0)</f>
        <v>367255</v>
      </c>
      <c r="F79" s="21">
        <f t="shared" si="4"/>
        <v>2.4900000000000002</v>
      </c>
    </row>
    <row r="80" spans="1:6" ht="14.25" customHeight="1" x14ac:dyDescent="0.2">
      <c r="A80" s="19">
        <v>14</v>
      </c>
      <c r="B80" s="181" t="s">
        <v>464</v>
      </c>
      <c r="C80" s="182"/>
      <c r="D80" s="14">
        <f t="shared" si="5"/>
        <v>66288</v>
      </c>
      <c r="E80" s="17">
        <f>IF(F3="1",SUMIF(Data!A:A,'6'!$A$2,Data!EL:EL),0)</f>
        <v>469953</v>
      </c>
      <c r="F80" s="21">
        <f t="shared" si="4"/>
        <v>7.09</v>
      </c>
    </row>
    <row r="81" spans="1:6" x14ac:dyDescent="0.2">
      <c r="A81" s="19">
        <v>15</v>
      </c>
      <c r="B81" s="181" t="s">
        <v>13</v>
      </c>
      <c r="C81" s="182"/>
      <c r="D81" s="14">
        <f t="shared" si="5"/>
        <v>18032</v>
      </c>
      <c r="E81" s="17">
        <f>IF(F3="1",SUMIF(Data!A:A,'6'!$A$2,Data!EM:EM),0)</f>
        <v>185051</v>
      </c>
      <c r="F81" s="21">
        <f t="shared" si="4"/>
        <v>10.26</v>
      </c>
    </row>
    <row r="82" spans="1:6" x14ac:dyDescent="0.2">
      <c r="A82" s="19">
        <v>16</v>
      </c>
      <c r="B82" s="181" t="s">
        <v>14</v>
      </c>
      <c r="C82" s="182"/>
      <c r="D82" s="14">
        <f t="shared" si="5"/>
        <v>175724</v>
      </c>
      <c r="E82" s="17">
        <f>IF(F3="1",SUMIF(Data!A:A,'6'!$A$2,Data!EN:EN),0)</f>
        <v>377458</v>
      </c>
      <c r="F82" s="21">
        <f t="shared" si="4"/>
        <v>2.15</v>
      </c>
    </row>
    <row r="83" spans="1:6" x14ac:dyDescent="0.2">
      <c r="A83" s="19">
        <v>17</v>
      </c>
      <c r="B83" s="181" t="s">
        <v>15</v>
      </c>
      <c r="C83" s="182"/>
      <c r="D83" s="14">
        <f t="shared" si="5"/>
        <v>0</v>
      </c>
      <c r="E83" s="17">
        <f>IF(F3="1",SUMIF(Data!A:A,'6'!$A$2,Data!EO:EO),0)</f>
        <v>0</v>
      </c>
      <c r="F83" s="21" t="str">
        <f t="shared" si="4"/>
        <v/>
      </c>
    </row>
    <row r="84" spans="1:6" x14ac:dyDescent="0.2">
      <c r="A84" s="19">
        <v>18</v>
      </c>
      <c r="B84" s="181" t="s">
        <v>16</v>
      </c>
      <c r="C84" s="182"/>
      <c r="D84" s="14">
        <f t="shared" si="5"/>
        <v>65776</v>
      </c>
      <c r="E84" s="17">
        <f>IF(F3="1",SUMIF(Data!A:A,'6'!$A$2,Data!EP:EP),0)</f>
        <v>171348</v>
      </c>
      <c r="F84" s="21">
        <f t="shared" si="4"/>
        <v>2.61</v>
      </c>
    </row>
    <row r="85" spans="1:6" x14ac:dyDescent="0.2">
      <c r="A85" s="19">
        <v>19</v>
      </c>
      <c r="B85" s="181" t="s">
        <v>17</v>
      </c>
      <c r="C85" s="182"/>
      <c r="D85" s="14">
        <f t="shared" si="5"/>
        <v>698464</v>
      </c>
      <c r="E85" s="17">
        <f>IF(F3="1",SUMIF(Data!A:A,'6'!$A$2,Data!EQ:EQ),0)</f>
        <v>2067584</v>
      </c>
      <c r="F85" s="21">
        <f t="shared" si="4"/>
        <v>2.96</v>
      </c>
    </row>
    <row r="86" spans="1:6" x14ac:dyDescent="0.2">
      <c r="A86" s="19">
        <v>20</v>
      </c>
      <c r="B86" s="181" t="s">
        <v>18</v>
      </c>
      <c r="C86" s="182"/>
      <c r="D86" s="14">
        <f t="shared" si="5"/>
        <v>0</v>
      </c>
      <c r="E86" s="17">
        <f>IF(F3="1",SUMIF(Data!A:A,'6'!$A$2,Data!ER:ER),0)</f>
        <v>0</v>
      </c>
      <c r="F86" s="21" t="str">
        <f t="shared" si="4"/>
        <v/>
      </c>
    </row>
    <row r="87" spans="1:6" ht="14.25" customHeight="1" x14ac:dyDescent="0.2">
      <c r="A87" s="19">
        <v>21</v>
      </c>
      <c r="B87" s="181" t="s">
        <v>461</v>
      </c>
      <c r="C87" s="182"/>
      <c r="D87" s="14">
        <f t="shared" si="5"/>
        <v>0</v>
      </c>
      <c r="E87" s="17">
        <f>IF(F3="1",SUMIF(Data!A:A,'6'!$A$2,Data!ES:ES),0)</f>
        <v>0</v>
      </c>
      <c r="F87" s="21" t="str">
        <f t="shared" si="4"/>
        <v/>
      </c>
    </row>
    <row r="88" spans="1:6" x14ac:dyDescent="0.2">
      <c r="A88" s="19">
        <v>22</v>
      </c>
      <c r="B88" s="181" t="s">
        <v>19</v>
      </c>
      <c r="C88" s="182"/>
      <c r="D88" s="14">
        <f t="shared" si="5"/>
        <v>0</v>
      </c>
      <c r="E88" s="17">
        <f>IF(F3="1",SUMIF(Data!A:A,'6'!$A$2,Data!ET:ET),0)</f>
        <v>0</v>
      </c>
      <c r="F88" s="21" t="str">
        <f t="shared" si="4"/>
        <v/>
      </c>
    </row>
    <row r="89" spans="1:6" x14ac:dyDescent="0.2">
      <c r="A89" s="19">
        <v>23</v>
      </c>
      <c r="B89" s="181" t="s">
        <v>20</v>
      </c>
      <c r="C89" s="182"/>
      <c r="D89" s="14">
        <f t="shared" si="5"/>
        <v>226224</v>
      </c>
      <c r="E89" s="17">
        <f>IF(F3="1",SUMIF(Data!A:A,'6'!$A$2,Data!EU:EU),0)</f>
        <v>732559</v>
      </c>
      <c r="F89" s="21">
        <f t="shared" si="4"/>
        <v>3.24</v>
      </c>
    </row>
    <row r="90" spans="1:6" x14ac:dyDescent="0.2">
      <c r="A90" s="19">
        <v>24</v>
      </c>
      <c r="B90" s="181" t="s">
        <v>21</v>
      </c>
      <c r="C90" s="182"/>
      <c r="D90" s="14">
        <f t="shared" si="5"/>
        <v>121200</v>
      </c>
      <c r="E90" s="17">
        <f>IF(F3="1",SUMIF(Data!A:A,'6'!$A$2,Data!EV:EV),0)</f>
        <v>174382</v>
      </c>
      <c r="F90" s="21">
        <f t="shared" si="4"/>
        <v>1.44</v>
      </c>
    </row>
    <row r="91" spans="1:6" x14ac:dyDescent="0.2">
      <c r="A91" s="19">
        <v>25</v>
      </c>
      <c r="B91" s="181" t="s">
        <v>22</v>
      </c>
      <c r="C91" s="182"/>
      <c r="D91" s="14">
        <f t="shared" si="5"/>
        <v>1404192</v>
      </c>
      <c r="E91" s="17">
        <f>IF(F3="1",SUMIF(Data!A:A,'6'!$A$2,Data!EW:EW),0)</f>
        <v>3012680</v>
      </c>
      <c r="F91" s="21">
        <f t="shared" si="4"/>
        <v>2.15</v>
      </c>
    </row>
    <row r="92" spans="1:6" x14ac:dyDescent="0.2">
      <c r="A92" s="19">
        <v>26</v>
      </c>
      <c r="B92" s="181" t="s">
        <v>23</v>
      </c>
      <c r="C92" s="182"/>
      <c r="D92" s="14">
        <f t="shared" si="5"/>
        <v>109177</v>
      </c>
      <c r="E92" s="17">
        <f>IF(F3="1",SUMIF(Data!A:A,'6'!$A$2,Data!EX:EX),0)</f>
        <v>364810</v>
      </c>
      <c r="F92" s="21">
        <f t="shared" si="4"/>
        <v>3.34</v>
      </c>
    </row>
    <row r="93" spans="1:6" x14ac:dyDescent="0.2">
      <c r="A93" s="19">
        <v>28</v>
      </c>
      <c r="B93" s="181" t="s">
        <v>24</v>
      </c>
      <c r="C93" s="182"/>
      <c r="D93" s="14">
        <f t="shared" si="5"/>
        <v>0</v>
      </c>
      <c r="E93" s="17">
        <f>IF(F3="1",SUMIF(Data!A:A,'6'!$A$2,Data!EZ:EZ),0)</f>
        <v>0</v>
      </c>
      <c r="F93" s="21" t="str">
        <f t="shared" si="4"/>
        <v/>
      </c>
    </row>
    <row r="94" spans="1:6" ht="15.75" customHeight="1" thickBot="1" x14ac:dyDescent="0.25">
      <c r="A94" s="22">
        <v>29</v>
      </c>
      <c r="B94" s="183" t="s">
        <v>25</v>
      </c>
      <c r="C94" s="184"/>
      <c r="D94" s="23">
        <f t="shared" si="5"/>
        <v>0</v>
      </c>
      <c r="E94" s="24">
        <f>IF(F3="1",SUMIF(Data!A:A,'6'!$A$2,Data!FA:FA),0)</f>
        <v>0</v>
      </c>
      <c r="F94" s="25" t="str">
        <f t="shared" si="4"/>
        <v/>
      </c>
    </row>
    <row r="95" spans="1:6" x14ac:dyDescent="0.2">
      <c r="B95" s="30" t="s">
        <v>35</v>
      </c>
      <c r="C95" s="30"/>
      <c r="D95" s="59">
        <f>SUM(D67:D94)</f>
        <v>5638757</v>
      </c>
      <c r="E95" s="31">
        <f>SUM(E67:E94)</f>
        <v>14540472</v>
      </c>
      <c r="F95" s="32">
        <f t="shared" si="4"/>
        <v>2.58</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IF(F3="1",SUMIF(Data!A:A,'6'!$A$2,Data!AH:AH),0)</f>
        <v>5901383</v>
      </c>
      <c r="F98" s="20">
        <f>IF(OR(E98=0,E98=0),"",ROUND(E98/$D$105,2))</f>
        <v>1.05</v>
      </c>
    </row>
    <row r="99" spans="2:6" x14ac:dyDescent="0.2">
      <c r="B99" s="187" t="s">
        <v>31</v>
      </c>
      <c r="C99" s="188"/>
      <c r="D99" s="36"/>
      <c r="E99" s="17">
        <f>IF(F3="1",SUMIF(Data!A:A,'6'!$A$2,Data!AI:AI),0)</f>
        <v>3016312</v>
      </c>
      <c r="F99" s="21">
        <f t="shared" ref="F99:F104" si="6">IF(OR(E99=0,E99=0),"",ROUND(E99/$D$105,2))</f>
        <v>0.53</v>
      </c>
    </row>
    <row r="100" spans="2:6" x14ac:dyDescent="0.2">
      <c r="B100" s="187" t="s">
        <v>1078</v>
      </c>
      <c r="C100" s="188"/>
      <c r="D100" s="36"/>
      <c r="E100" s="17">
        <f>IF(F3="1",SUMIF(Data!A:A,'6'!$A$2,Data!AJ:AJ),0)</f>
        <v>1150858</v>
      </c>
      <c r="F100" s="21">
        <f t="shared" si="6"/>
        <v>0.2</v>
      </c>
    </row>
    <row r="101" spans="2:6" x14ac:dyDescent="0.2">
      <c r="B101" s="187" t="s">
        <v>1079</v>
      </c>
      <c r="C101" s="188"/>
      <c r="D101" s="36"/>
      <c r="E101" s="17">
        <f>IF(F3="1",SUMIF(Data!A:A,'6'!$A$2,Data!AK:AK),0)</f>
        <v>2141093</v>
      </c>
      <c r="F101" s="21">
        <f t="shared" si="6"/>
        <v>0.38</v>
      </c>
    </row>
    <row r="102" spans="2:6" x14ac:dyDescent="0.2">
      <c r="B102" s="187" t="s">
        <v>1080</v>
      </c>
      <c r="C102" s="188"/>
      <c r="D102" s="36"/>
      <c r="E102" s="17">
        <f>IF(F3="1",SUMIF(Data!A:A,'6'!$A$2,Data!AL:AL),0)</f>
        <v>0</v>
      </c>
      <c r="F102" s="21" t="str">
        <f t="shared" si="6"/>
        <v/>
      </c>
    </row>
    <row r="103" spans="2:6" x14ac:dyDescent="0.2">
      <c r="B103" s="189" t="s">
        <v>34</v>
      </c>
      <c r="C103" s="190"/>
      <c r="D103" s="36"/>
      <c r="E103" s="17">
        <f>IF(F3="1",SUMIF(Data!A:A,'6'!$A$2,Data!AM:AM),0)</f>
        <v>0</v>
      </c>
      <c r="F103" s="21" t="str">
        <f t="shared" si="6"/>
        <v/>
      </c>
    </row>
    <row r="104" spans="2:6" ht="15.75" customHeight="1" thickBot="1" x14ac:dyDescent="0.25">
      <c r="B104" s="179" t="s">
        <v>29</v>
      </c>
      <c r="C104" s="180"/>
      <c r="D104" s="37"/>
      <c r="E104" s="24">
        <f>IF(F3="1",SUMIF(Data!A:A,'6'!$A$2,Data!Q:Q),0)</f>
        <v>2746859</v>
      </c>
      <c r="F104" s="25">
        <f t="shared" si="6"/>
        <v>0.49</v>
      </c>
    </row>
    <row r="105" spans="2:6" x14ac:dyDescent="0.2">
      <c r="B105" s="30" t="s">
        <v>35</v>
      </c>
      <c r="C105" s="30"/>
      <c r="D105" s="34">
        <f>D95</f>
        <v>5638757</v>
      </c>
      <c r="E105" s="31">
        <f>SUM(E98:E104)</f>
        <v>14956505</v>
      </c>
      <c r="F105" s="32">
        <f>IF($D$105=0,"",ROUND(E105/$D$105,2))</f>
        <v>2.65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14540472</v>
      </c>
      <c r="D109" s="15">
        <f>IF(F3="1",SUMIF(Data!$A:$A,$A$2,Data!HJ:HJ),0)</f>
        <v>0</v>
      </c>
      <c r="E109" s="15">
        <f>IF(F3="1",SUMIF(Data!$A:$A,$A$2,Data!IN:IN),0)</f>
        <v>0</v>
      </c>
      <c r="F109" s="47">
        <f>SUM(C109:E109)</f>
        <v>14540472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2746859</v>
      </c>
      <c r="E117" s="52"/>
      <c r="F117" s="49">
        <f>SUM(C117:E117)</f>
        <v>2746859</v>
      </c>
    </row>
    <row r="118" spans="1:6" x14ac:dyDescent="0.2">
      <c r="B118" s="13" t="s">
        <v>35</v>
      </c>
      <c r="C118" s="4">
        <f>SUM(C109:C116)</f>
        <v>14540472</v>
      </c>
      <c r="D118" s="4">
        <f>SUM(D109:D116)</f>
        <v>0</v>
      </c>
      <c r="E118" s="4">
        <f>SUM(E109:E116)</f>
        <v>0</v>
      </c>
      <c r="F118" s="4">
        <f>SUM(F109:F116)</f>
        <v>14540472</v>
      </c>
    </row>
    <row r="119" spans="1:6" ht="15" thickBot="1" x14ac:dyDescent="0.25"/>
    <row r="120" spans="1:6" ht="15" thickBot="1" x14ac:dyDescent="0.25">
      <c r="B120" s="55" t="s">
        <v>934</v>
      </c>
      <c r="C120" s="53"/>
      <c r="D120" s="53"/>
      <c r="E120" s="53">
        <f>IF(F3="1",SUMIF(Data!A:A,'6'!$A$2,Data!AM:AM),0)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427</v>
      </c>
      <c r="B2" s="58" t="str">
        <f>VLOOKUP(A2,Data!A:G,7,0)</f>
        <v>Brazosport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132960</v>
      </c>
      <c r="E6" s="17">
        <f t="shared" ref="E6:E32" si="1">E37+E68+IFERROR($E$105/$D$105*D6,0)</f>
        <v>802074.86318654567</v>
      </c>
      <c r="F6" s="21">
        <f t="shared" ref="F6:F33" si="2">IF(OR(D6=0,E6=0),"",ROUND(E6/D6,2))</f>
        <v>6.03</v>
      </c>
    </row>
    <row r="7" spans="1:6" ht="14.25" customHeight="1" x14ac:dyDescent="0.2">
      <c r="A7" s="19">
        <v>3</v>
      </c>
      <c r="B7" s="181" t="s">
        <v>2</v>
      </c>
      <c r="C7" s="182"/>
      <c r="D7" s="14">
        <f t="shared" si="0"/>
        <v>214512</v>
      </c>
      <c r="E7" s="17">
        <f t="shared" si="1"/>
        <v>1376798.2110399541</v>
      </c>
      <c r="F7" s="21">
        <f t="shared" si="2"/>
        <v>6.42</v>
      </c>
    </row>
    <row r="8" spans="1:6" ht="14.25" customHeight="1" x14ac:dyDescent="0.2">
      <c r="A8" s="19">
        <v>4</v>
      </c>
      <c r="B8" s="181" t="s">
        <v>3</v>
      </c>
      <c r="C8" s="182"/>
      <c r="D8" s="14">
        <f t="shared" si="0"/>
        <v>162004</v>
      </c>
      <c r="E8" s="17">
        <f t="shared" si="1"/>
        <v>1061820.6095944131</v>
      </c>
      <c r="F8" s="21">
        <f t="shared" si="2"/>
        <v>6.55</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864</v>
      </c>
      <c r="E10" s="17">
        <f t="shared" si="1"/>
        <v>5711.1767282880228</v>
      </c>
      <c r="F10" s="21">
        <f t="shared" si="2"/>
        <v>6.61</v>
      </c>
    </row>
    <row r="11" spans="1:6" x14ac:dyDescent="0.2">
      <c r="A11" s="19">
        <v>7</v>
      </c>
      <c r="B11" s="181" t="s">
        <v>6</v>
      </c>
      <c r="C11" s="182"/>
      <c r="D11" s="14">
        <f t="shared" si="0"/>
        <v>88616</v>
      </c>
      <c r="E11" s="17">
        <f t="shared" si="1"/>
        <v>688862.73721524468</v>
      </c>
      <c r="F11" s="21">
        <f t="shared" si="2"/>
        <v>7.77</v>
      </c>
    </row>
    <row r="12" spans="1:6" x14ac:dyDescent="0.2">
      <c r="A12" s="19">
        <v>8</v>
      </c>
      <c r="B12" s="181" t="s">
        <v>7</v>
      </c>
      <c r="C12" s="182"/>
      <c r="D12" s="14">
        <f t="shared" si="0"/>
        <v>120560</v>
      </c>
      <c r="E12" s="17">
        <f t="shared" si="1"/>
        <v>679715.43791944906</v>
      </c>
      <c r="F12" s="21">
        <f t="shared" si="2"/>
        <v>5.64</v>
      </c>
    </row>
    <row r="13" spans="1:6" x14ac:dyDescent="0.2">
      <c r="A13" s="19">
        <v>9</v>
      </c>
      <c r="B13" s="181" t="s">
        <v>8</v>
      </c>
      <c r="C13" s="182"/>
      <c r="D13" s="14">
        <f t="shared" si="0"/>
        <v>20312</v>
      </c>
      <c r="E13" s="17">
        <f t="shared" si="1"/>
        <v>254809.09919558602</v>
      </c>
      <c r="F13" s="21">
        <f t="shared" si="2"/>
        <v>12.54</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115568</v>
      </c>
      <c r="E15" s="17">
        <f t="shared" si="1"/>
        <v>681738.0834893405</v>
      </c>
      <c r="F15" s="21">
        <f t="shared" si="2"/>
        <v>5.9</v>
      </c>
    </row>
    <row r="16" spans="1:6" ht="14.25" customHeight="1" x14ac:dyDescent="0.2">
      <c r="A16" s="19">
        <v>12</v>
      </c>
      <c r="B16" s="181" t="s">
        <v>11</v>
      </c>
      <c r="C16" s="182"/>
      <c r="D16" s="14">
        <f t="shared" si="0"/>
        <v>183776</v>
      </c>
      <c r="E16" s="17">
        <f t="shared" si="1"/>
        <v>1176402.3685391895</v>
      </c>
      <c r="F16" s="21">
        <f t="shared" si="2"/>
        <v>6.4</v>
      </c>
    </row>
    <row r="17" spans="1:6" x14ac:dyDescent="0.2">
      <c r="A17" s="19">
        <v>13</v>
      </c>
      <c r="B17" s="181" t="s">
        <v>12</v>
      </c>
      <c r="C17" s="182"/>
      <c r="D17" s="14">
        <f t="shared" si="0"/>
        <v>14312</v>
      </c>
      <c r="E17" s="17">
        <f t="shared" si="1"/>
        <v>94223.53858247475</v>
      </c>
      <c r="F17" s="21">
        <f t="shared" si="2"/>
        <v>6.58</v>
      </c>
    </row>
    <row r="18" spans="1:6" ht="14.25" customHeight="1" x14ac:dyDescent="0.2">
      <c r="A18" s="19">
        <v>14</v>
      </c>
      <c r="B18" s="181" t="s">
        <v>464</v>
      </c>
      <c r="C18" s="182"/>
      <c r="D18" s="14">
        <f t="shared" si="0"/>
        <v>0</v>
      </c>
      <c r="E18" s="17">
        <f t="shared" si="1"/>
        <v>0</v>
      </c>
      <c r="F18" s="21" t="str">
        <f t="shared" si="2"/>
        <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27178</v>
      </c>
      <c r="E20" s="17">
        <f t="shared" si="1"/>
        <v>212012.5730571897</v>
      </c>
      <c r="F20" s="21">
        <f t="shared" si="2"/>
        <v>7.8</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24720</v>
      </c>
      <c r="E22" s="17">
        <f t="shared" si="1"/>
        <v>191110.38972601842</v>
      </c>
      <c r="F22" s="21">
        <f t="shared" si="2"/>
        <v>7.73</v>
      </c>
    </row>
    <row r="23" spans="1:6" x14ac:dyDescent="0.2">
      <c r="A23" s="19">
        <v>19</v>
      </c>
      <c r="B23" s="181" t="s">
        <v>17</v>
      </c>
      <c r="C23" s="182"/>
      <c r="D23" s="14">
        <f t="shared" si="0"/>
        <v>196096</v>
      </c>
      <c r="E23" s="17">
        <f t="shared" si="1"/>
        <v>1160288.3329981114</v>
      </c>
      <c r="F23" s="21">
        <f t="shared" si="2"/>
        <v>5.92</v>
      </c>
    </row>
    <row r="24" spans="1:6" x14ac:dyDescent="0.2">
      <c r="A24" s="19">
        <v>20</v>
      </c>
      <c r="B24" s="181" t="s">
        <v>18</v>
      </c>
      <c r="C24" s="182"/>
      <c r="D24" s="14">
        <f t="shared" si="0"/>
        <v>15536</v>
      </c>
      <c r="E24" s="17">
        <f t="shared" si="1"/>
        <v>127791.28894754944</v>
      </c>
      <c r="F24" s="21">
        <f t="shared" si="2"/>
        <v>8.23</v>
      </c>
    </row>
    <row r="25" spans="1:6" ht="14.25" customHeight="1" x14ac:dyDescent="0.2">
      <c r="A25" s="19">
        <v>21</v>
      </c>
      <c r="B25" s="181" t="s">
        <v>461</v>
      </c>
      <c r="C25" s="182"/>
      <c r="D25" s="14">
        <f t="shared" si="0"/>
        <v>12320</v>
      </c>
      <c r="E25" s="17">
        <f t="shared" si="1"/>
        <v>121454.96445892181</v>
      </c>
      <c r="F25" s="21">
        <f t="shared" si="2"/>
        <v>9.86</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28336</v>
      </c>
      <c r="E27" s="17">
        <f t="shared" si="1"/>
        <v>224024.01825552015</v>
      </c>
      <c r="F27" s="21">
        <f t="shared" si="2"/>
        <v>7.91</v>
      </c>
    </row>
    <row r="28" spans="1:6" x14ac:dyDescent="0.2">
      <c r="A28" s="19">
        <v>24</v>
      </c>
      <c r="B28" s="181" t="s">
        <v>21</v>
      </c>
      <c r="C28" s="182"/>
      <c r="D28" s="14">
        <f t="shared" si="0"/>
        <v>38808</v>
      </c>
      <c r="E28" s="17">
        <f t="shared" si="1"/>
        <v>243501.43804560369</v>
      </c>
      <c r="F28" s="21">
        <f t="shared" si="2"/>
        <v>6.27</v>
      </c>
    </row>
    <row r="29" spans="1:6" x14ac:dyDescent="0.2">
      <c r="A29" s="19">
        <v>25</v>
      </c>
      <c r="B29" s="181" t="s">
        <v>22</v>
      </c>
      <c r="C29" s="182"/>
      <c r="D29" s="14">
        <f t="shared" si="0"/>
        <v>232080</v>
      </c>
      <c r="E29" s="17">
        <f t="shared" si="1"/>
        <v>1428111.8045151439</v>
      </c>
      <c r="F29" s="21">
        <f t="shared" si="2"/>
        <v>6.15</v>
      </c>
    </row>
    <row r="30" spans="1:6" x14ac:dyDescent="0.2">
      <c r="A30" s="19">
        <v>26</v>
      </c>
      <c r="B30" s="181" t="s">
        <v>23</v>
      </c>
      <c r="C30" s="182"/>
      <c r="D30" s="14">
        <f t="shared" si="0"/>
        <v>51920</v>
      </c>
      <c r="E30" s="17">
        <f t="shared" si="1"/>
        <v>506425.06450545619</v>
      </c>
      <c r="F30" s="21">
        <f t="shared" si="2"/>
        <v>9.75</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1680478</v>
      </c>
      <c r="E33" s="31">
        <f>SUM(E5:E32)</f>
        <v>11036876</v>
      </c>
      <c r="F33" s="32">
        <f t="shared" si="2"/>
        <v>6.57</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IF(F3="1",SUMIF(Data!A:A,'7'!$A$2,Data!CU:CU),0)</f>
        <v>0</v>
      </c>
      <c r="E36" s="15">
        <f>IF(F3="1",SUMIF(Data!$A:$A,$A$2,Data!IO:IO),0)</f>
        <v>0</v>
      </c>
      <c r="F36" s="20" t="str">
        <f t="shared" ref="F36:F64" si="3">IF(OR(D36=0,E36=0),"",ROUND(E36/D36,2))</f>
        <v/>
      </c>
    </row>
    <row r="37" spans="1:6" x14ac:dyDescent="0.2">
      <c r="A37" s="19">
        <v>2</v>
      </c>
      <c r="B37" s="181" t="s">
        <v>1</v>
      </c>
      <c r="C37" s="182"/>
      <c r="D37" s="14">
        <f>IF(F3="1",SUMIF(Data!A:A,'7'!$A$2,Data!CV:CV),0)</f>
        <v>132960</v>
      </c>
      <c r="E37" s="17">
        <f>IF(F3="1",SUMIF(Data!$A:$A,$A$2,Data!IP:IP),0)</f>
        <v>102987</v>
      </c>
      <c r="F37" s="21">
        <f t="shared" si="3"/>
        <v>0.77</v>
      </c>
    </row>
    <row r="38" spans="1:6" ht="14.25" customHeight="1" x14ac:dyDescent="0.2">
      <c r="A38" s="19">
        <v>3</v>
      </c>
      <c r="B38" s="181" t="s">
        <v>2</v>
      </c>
      <c r="C38" s="182"/>
      <c r="D38" s="14">
        <f>IF(F3="1",SUMIF(Data!A:A,'7'!$A$2,Data!CW:CW),0)</f>
        <v>214512</v>
      </c>
      <c r="E38" s="17">
        <f>IF($F$3="1",SUMIF(Data!$A:$A,$A$2,Data!IQ:IQ),0)</f>
        <v>154650</v>
      </c>
      <c r="F38" s="21">
        <f t="shared" si="3"/>
        <v>0.72</v>
      </c>
    </row>
    <row r="39" spans="1:6" ht="14.25" customHeight="1" x14ac:dyDescent="0.2">
      <c r="A39" s="19">
        <v>4</v>
      </c>
      <c r="B39" s="181" t="s">
        <v>3</v>
      </c>
      <c r="C39" s="182"/>
      <c r="D39" s="14">
        <f>IF(F3="1",SUMIF(Data!A:A,'7'!$A$2,Data!CX:CX),0)</f>
        <v>162004</v>
      </c>
      <c r="E39" s="17">
        <f>IF($F$3="1",SUMIF(Data!$A:$A,$A$2,Data!IR:IR),0)</f>
        <v>85383</v>
      </c>
      <c r="F39" s="21">
        <f t="shared" si="3"/>
        <v>0.53</v>
      </c>
    </row>
    <row r="40" spans="1:6" x14ac:dyDescent="0.2">
      <c r="A40" s="19">
        <v>5</v>
      </c>
      <c r="B40" s="181" t="s">
        <v>4</v>
      </c>
      <c r="C40" s="182"/>
      <c r="D40" s="14">
        <f>IF(F3="1",SUMIF(Data!A:A,'7'!$A$2,Data!CY:CY),0)</f>
        <v>0</v>
      </c>
      <c r="E40" s="17">
        <f>IF($F$3="1",SUMIF(Data!$A:$A,$A$2,Data!IS:IS),0)</f>
        <v>0</v>
      </c>
      <c r="F40" s="21" t="str">
        <f t="shared" si="3"/>
        <v/>
      </c>
    </row>
    <row r="41" spans="1:6" x14ac:dyDescent="0.2">
      <c r="A41" s="19">
        <v>6</v>
      </c>
      <c r="B41" s="181" t="s">
        <v>5</v>
      </c>
      <c r="C41" s="182"/>
      <c r="D41" s="14">
        <f>IF(F3="1",SUMIF(Data!A:A,'7'!$A$2,Data!CZ:CZ),0)</f>
        <v>864</v>
      </c>
      <c r="E41" s="17">
        <f>IF($F$3="1",SUMIF(Data!$A:$A,$A$2,Data!IT:IT),0)</f>
        <v>667</v>
      </c>
      <c r="F41" s="21">
        <f t="shared" si="3"/>
        <v>0.77</v>
      </c>
    </row>
    <row r="42" spans="1:6" x14ac:dyDescent="0.2">
      <c r="A42" s="19">
        <v>7</v>
      </c>
      <c r="B42" s="181" t="s">
        <v>6</v>
      </c>
      <c r="C42" s="182"/>
      <c r="D42" s="14">
        <f>IF(F3="1",SUMIF(Data!A:A,'7'!$A$2,Data!DA:DA),0)</f>
        <v>88616</v>
      </c>
      <c r="E42" s="17">
        <f>IF($F$3="1",SUMIF(Data!$A:$A,$A$2,Data!IU:IU),0)</f>
        <v>76004</v>
      </c>
      <c r="F42" s="21">
        <f t="shared" si="3"/>
        <v>0.86</v>
      </c>
    </row>
    <row r="43" spans="1:6" x14ac:dyDescent="0.2">
      <c r="A43" s="19">
        <v>8</v>
      </c>
      <c r="B43" s="181" t="s">
        <v>7</v>
      </c>
      <c r="C43" s="182"/>
      <c r="D43" s="14">
        <f>IF(F3="1",SUMIF(Data!A:A,'7'!$A$2,Data!DB:DB),0)</f>
        <v>120560</v>
      </c>
      <c r="E43" s="17">
        <f>IF($F$3="1",SUMIF(Data!$A:$A,$A$2,Data!IV:IV),0)</f>
        <v>68944</v>
      </c>
      <c r="F43" s="21">
        <f t="shared" si="3"/>
        <v>0.56999999999999995</v>
      </c>
    </row>
    <row r="44" spans="1:6" x14ac:dyDescent="0.2">
      <c r="A44" s="19">
        <v>9</v>
      </c>
      <c r="B44" s="181" t="s">
        <v>8</v>
      </c>
      <c r="C44" s="182"/>
      <c r="D44" s="14">
        <f>IF(F3="1",SUMIF(Data!A:A,'7'!$A$2,Data!DC:DC),0)</f>
        <v>20312</v>
      </c>
      <c r="E44" s="17">
        <f>IF($F$3="1",SUMIF(Data!$A:$A,$A$2,Data!IW:IW),0)</f>
        <v>90839</v>
      </c>
      <c r="F44" s="21">
        <f t="shared" si="3"/>
        <v>4.47</v>
      </c>
    </row>
    <row r="45" spans="1:6" x14ac:dyDescent="0.2">
      <c r="A45" s="19">
        <v>10</v>
      </c>
      <c r="B45" s="181" t="s">
        <v>9</v>
      </c>
      <c r="C45" s="182"/>
      <c r="D45" s="14">
        <f>IF(F3="1",SUMIF(Data!A:A,'7'!$A$2,Data!DD:DD),0)</f>
        <v>0</v>
      </c>
      <c r="E45" s="17">
        <f>IF($F$3="1",SUMIF(Data!$A:$A,$A$2,Data!IX:IX),0)</f>
        <v>0</v>
      </c>
      <c r="F45" s="21" t="str">
        <f t="shared" si="3"/>
        <v/>
      </c>
    </row>
    <row r="46" spans="1:6" x14ac:dyDescent="0.2">
      <c r="A46" s="19">
        <v>11</v>
      </c>
      <c r="B46" s="181" t="s">
        <v>10</v>
      </c>
      <c r="C46" s="182"/>
      <c r="D46" s="14">
        <f>IF(F3="1",SUMIF(Data!A:A,'7'!$A$2,Data!DE:DE),0)</f>
        <v>115568</v>
      </c>
      <c r="E46" s="17">
        <f>IF($F$3="1",SUMIF(Data!$A:$A,$A$2,Data!IY:IY),0)</f>
        <v>92759</v>
      </c>
      <c r="F46" s="21">
        <f t="shared" si="3"/>
        <v>0.8</v>
      </c>
    </row>
    <row r="47" spans="1:6" ht="14.25" customHeight="1" x14ac:dyDescent="0.2">
      <c r="A47" s="19">
        <v>12</v>
      </c>
      <c r="B47" s="181" t="s">
        <v>11</v>
      </c>
      <c r="C47" s="182"/>
      <c r="D47" s="14">
        <f>IF(F3="1",SUMIF(Data!A:A,'7'!$A$2,Data!DF:DF),0)</f>
        <v>183776</v>
      </c>
      <c r="E47" s="17">
        <f>IF($F$3="1",SUMIF(Data!$A:$A,$A$2,Data!IZ:IZ),0)</f>
        <v>24870</v>
      </c>
      <c r="F47" s="21">
        <f t="shared" si="3"/>
        <v>0.14000000000000001</v>
      </c>
    </row>
    <row r="48" spans="1:6" x14ac:dyDescent="0.2">
      <c r="A48" s="19">
        <v>13</v>
      </c>
      <c r="B48" s="181" t="s">
        <v>12</v>
      </c>
      <c r="C48" s="182"/>
      <c r="D48" s="14">
        <f>IF(F3="1",SUMIF(Data!A:A,'7'!$A$2,Data!DG:DG),0)</f>
        <v>14312</v>
      </c>
      <c r="E48" s="17">
        <f>IF($F$3="1",SUMIF(Data!$A:$A,$A$2,Data!JA:JA),0)</f>
        <v>1072</v>
      </c>
      <c r="F48" s="21">
        <f t="shared" si="3"/>
        <v>7.0000000000000007E-2</v>
      </c>
    </row>
    <row r="49" spans="1:6" ht="14.25" customHeight="1" x14ac:dyDescent="0.2">
      <c r="A49" s="19">
        <v>14</v>
      </c>
      <c r="B49" s="181" t="s">
        <v>464</v>
      </c>
      <c r="C49" s="182"/>
      <c r="D49" s="14">
        <f>IF(F3="1",SUMIF(Data!A:A,'7'!$A$2,Data!DH:DH),0)</f>
        <v>0</v>
      </c>
      <c r="E49" s="17">
        <f>IF($F$3="1",SUMIF(Data!$A:$A,$A$2,Data!JB:JB),0)</f>
        <v>0</v>
      </c>
      <c r="F49" s="21" t="str">
        <f t="shared" si="3"/>
        <v/>
      </c>
    </row>
    <row r="50" spans="1:6" x14ac:dyDescent="0.2">
      <c r="A50" s="19">
        <v>15</v>
      </c>
      <c r="B50" s="181" t="s">
        <v>13</v>
      </c>
      <c r="C50" s="182"/>
      <c r="D50" s="14">
        <f>IF(F3="1",SUMIF(Data!A:A,'7'!$A$2,Data!DI:DI),0)</f>
        <v>0</v>
      </c>
      <c r="E50" s="17">
        <f>IF($F$3="1",SUMIF(Data!$A:$A,$A$2,Data!JC:JC),0)</f>
        <v>0</v>
      </c>
      <c r="F50" s="21" t="str">
        <f t="shared" si="3"/>
        <v/>
      </c>
    </row>
    <row r="51" spans="1:6" x14ac:dyDescent="0.2">
      <c r="A51" s="19">
        <v>16</v>
      </c>
      <c r="B51" s="181" t="s">
        <v>14</v>
      </c>
      <c r="C51" s="182"/>
      <c r="D51" s="14">
        <f>IF(F3="1",SUMIF(Data!A:A,'7'!$A$2,Data!DJ:DJ),0)</f>
        <v>27178</v>
      </c>
      <c r="E51" s="17">
        <f>IF($F$3="1",SUMIF(Data!$A:$A,$A$2,Data!JD:JD),0)</f>
        <v>63611</v>
      </c>
      <c r="F51" s="21">
        <f t="shared" si="3"/>
        <v>2.34</v>
      </c>
    </row>
    <row r="52" spans="1:6" x14ac:dyDescent="0.2">
      <c r="A52" s="19">
        <v>17</v>
      </c>
      <c r="B52" s="181" t="s">
        <v>15</v>
      </c>
      <c r="C52" s="182"/>
      <c r="D52" s="14">
        <f>IF(F3="1",SUMIF(Data!A:A,'7'!$A$2,Data!DK:DK),0)</f>
        <v>0</v>
      </c>
      <c r="E52" s="17">
        <f>IF($F$3="1",SUMIF(Data!$A:$A,$A$2,Data!JE:JE),0)</f>
        <v>0</v>
      </c>
      <c r="F52" s="21" t="str">
        <f t="shared" si="3"/>
        <v/>
      </c>
    </row>
    <row r="53" spans="1:6" x14ac:dyDescent="0.2">
      <c r="A53" s="19">
        <v>18</v>
      </c>
      <c r="B53" s="181" t="s">
        <v>16</v>
      </c>
      <c r="C53" s="182"/>
      <c r="D53" s="14">
        <f>IF(F3="1",SUMIF(Data!A:A,'7'!$A$2,Data!DL:DL),0)</f>
        <v>24720</v>
      </c>
      <c r="E53" s="17">
        <f>IF($F$3="1",SUMIF(Data!$A:$A,$A$2,Data!JF:JF),0)</f>
        <v>5798</v>
      </c>
      <c r="F53" s="21">
        <f t="shared" si="3"/>
        <v>0.23</v>
      </c>
    </row>
    <row r="54" spans="1:6" x14ac:dyDescent="0.2">
      <c r="A54" s="19">
        <v>19</v>
      </c>
      <c r="B54" s="181" t="s">
        <v>17</v>
      </c>
      <c r="C54" s="182"/>
      <c r="D54" s="14">
        <f>IF(F3="1",SUMIF(Data!A:A,'7'!$A$2,Data!DM:DM),0)</f>
        <v>196096</v>
      </c>
      <c r="E54" s="17">
        <f>IF($F$3="1",SUMIF(Data!$A:$A,$A$2,Data!JG:JG),0)</f>
        <v>80540</v>
      </c>
      <c r="F54" s="21">
        <f t="shared" si="3"/>
        <v>0.41</v>
      </c>
    </row>
    <row r="55" spans="1:6" x14ac:dyDescent="0.2">
      <c r="A55" s="19">
        <v>20</v>
      </c>
      <c r="B55" s="181" t="s">
        <v>18</v>
      </c>
      <c r="C55" s="182"/>
      <c r="D55" s="14">
        <f>IF(F3="1",SUMIF(Data!A:A,'7'!$A$2,Data!DN:DN),0)</f>
        <v>15536</v>
      </c>
      <c r="E55" s="17">
        <f>IF($F$3="1",SUMIF(Data!$A:$A,$A$2,Data!JH:JH),0)</f>
        <v>11096</v>
      </c>
      <c r="F55" s="21">
        <f t="shared" si="3"/>
        <v>0.71</v>
      </c>
    </row>
    <row r="56" spans="1:6" ht="14.25" customHeight="1" x14ac:dyDescent="0.2">
      <c r="A56" s="19">
        <v>21</v>
      </c>
      <c r="B56" s="181" t="s">
        <v>461</v>
      </c>
      <c r="C56" s="182"/>
      <c r="D56" s="14">
        <f>IF(F3="1",SUMIF(Data!A:A,'7'!$A$2,Data!DO:DO),0)</f>
        <v>12320</v>
      </c>
      <c r="E56" s="17">
        <f>IF($F$3="1",SUMIF(Data!$A:$A,$A$2,Data!JI:JI),0)</f>
        <v>48681</v>
      </c>
      <c r="F56" s="21">
        <f t="shared" si="3"/>
        <v>3.95</v>
      </c>
    </row>
    <row r="57" spans="1:6" x14ac:dyDescent="0.2">
      <c r="A57" s="19">
        <v>22</v>
      </c>
      <c r="B57" s="181" t="s">
        <v>19</v>
      </c>
      <c r="C57" s="182"/>
      <c r="D57" s="14">
        <f>IF(F3="1",SUMIF(Data!A:A,'7'!$A$2,Data!DP:DP),0)</f>
        <v>0</v>
      </c>
      <c r="E57" s="17">
        <f>IF($F$3="1",SUMIF(Data!$A:$A,$A$2,Data!JJ:JJ),0)</f>
        <v>0</v>
      </c>
      <c r="F57" s="21" t="str">
        <f t="shared" si="3"/>
        <v/>
      </c>
    </row>
    <row r="58" spans="1:6" x14ac:dyDescent="0.2">
      <c r="A58" s="19">
        <v>23</v>
      </c>
      <c r="B58" s="181" t="s">
        <v>20</v>
      </c>
      <c r="C58" s="182"/>
      <c r="D58" s="14">
        <f>IF(F3="1",SUMIF(Data!A:A,'7'!$A$2,Data!DQ:DQ),0)</f>
        <v>28336</v>
      </c>
      <c r="E58" s="17">
        <f>IF($F$3="1",SUMIF(Data!$A:$A,$A$2,Data!JK:JK),0)</f>
        <v>9066</v>
      </c>
      <c r="F58" s="21">
        <f t="shared" si="3"/>
        <v>0.32</v>
      </c>
    </row>
    <row r="59" spans="1:6" x14ac:dyDescent="0.2">
      <c r="A59" s="19">
        <v>24</v>
      </c>
      <c r="B59" s="181" t="s">
        <v>21</v>
      </c>
      <c r="C59" s="182"/>
      <c r="D59" s="14">
        <f>IF(F3="1",SUMIF(Data!A:A,'7'!$A$2,Data!DR:DR),0)</f>
        <v>38808</v>
      </c>
      <c r="E59" s="17">
        <f>IF($F$3="1",SUMIF(Data!$A:$A,$A$2,Data!JL:JL),0)</f>
        <v>48139</v>
      </c>
      <c r="F59" s="21">
        <f t="shared" si="3"/>
        <v>1.24</v>
      </c>
    </row>
    <row r="60" spans="1:6" x14ac:dyDescent="0.2">
      <c r="A60" s="19">
        <v>25</v>
      </c>
      <c r="B60" s="181" t="s">
        <v>22</v>
      </c>
      <c r="C60" s="182"/>
      <c r="D60" s="14">
        <f>IF(F3="1",SUMIF(Data!A:A,'7'!$A$2,Data!DS:DS),0)</f>
        <v>232080</v>
      </c>
      <c r="E60" s="17">
        <f>IF($F$3="1",SUMIF(Data!$A:$A,$A$2,Data!JM:JM),0)</f>
        <v>13208</v>
      </c>
      <c r="F60" s="21">
        <f t="shared" si="3"/>
        <v>0.06</v>
      </c>
    </row>
    <row r="61" spans="1:6" x14ac:dyDescent="0.2">
      <c r="A61" s="19">
        <v>26</v>
      </c>
      <c r="B61" s="181" t="s">
        <v>23</v>
      </c>
      <c r="C61" s="182"/>
      <c r="D61" s="14">
        <f>IF(F3="1",SUMIF(Data!A:A,'7'!$A$2,Data!DT:DT),0)</f>
        <v>51920</v>
      </c>
      <c r="E61" s="17">
        <f>IF($F$3="1",SUMIF(Data!$A:$A,$A$2,Data!JN:JN),0)</f>
        <v>74638</v>
      </c>
      <c r="F61" s="21">
        <f t="shared" si="3"/>
        <v>1.44</v>
      </c>
    </row>
    <row r="62" spans="1:6" x14ac:dyDescent="0.2">
      <c r="A62" s="19">
        <v>28</v>
      </c>
      <c r="B62" s="181" t="s">
        <v>24</v>
      </c>
      <c r="C62" s="182"/>
      <c r="D62" s="14">
        <f>IF(F3="1",SUMIF(Data!A:A,'7'!$A$2,Data!DV:DV),0)</f>
        <v>0</v>
      </c>
      <c r="E62" s="17">
        <f>IF($F$3="1",SUMIF(Data!$A:$A,$A$2,Data!JP:JP),0)</f>
        <v>0</v>
      </c>
      <c r="F62" s="21" t="str">
        <f t="shared" si="3"/>
        <v/>
      </c>
    </row>
    <row r="63" spans="1:6" ht="15.75" customHeight="1" thickBot="1" x14ac:dyDescent="0.25">
      <c r="A63" s="22">
        <v>29</v>
      </c>
      <c r="B63" s="183" t="s">
        <v>25</v>
      </c>
      <c r="C63" s="184"/>
      <c r="D63" s="23">
        <f>IF(F3="1",SUMIF(Data!A:A,'7'!$A$2,Data!DW:DW),0)</f>
        <v>0</v>
      </c>
      <c r="E63" s="24">
        <f>IF($F$3="1",SUMIF(Data!$A:$A,$A$2,Data!JQ:JQ),0)</f>
        <v>0</v>
      </c>
      <c r="F63" s="25" t="str">
        <f t="shared" si="3"/>
        <v/>
      </c>
    </row>
    <row r="64" spans="1:6" x14ac:dyDescent="0.2">
      <c r="B64" s="30" t="s">
        <v>35</v>
      </c>
      <c r="C64" s="30"/>
      <c r="D64" s="59">
        <f>SUM(D36:D63)</f>
        <v>1680478</v>
      </c>
      <c r="E64" s="31">
        <f>SUM(E36:E63)</f>
        <v>1052952</v>
      </c>
      <c r="F64" s="32">
        <f t="shared" si="3"/>
        <v>0.63</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IF(F3="1",SUMIF(Data!A:A,'7'!$A$2,Data!DY:DY),0)</f>
        <v>0</v>
      </c>
      <c r="F67" s="20" t="str">
        <f t="shared" ref="F67:F95" si="4">IF(OR(D67=0,E67=0),"",ROUND(E67/D67,2))</f>
        <v/>
      </c>
    </row>
    <row r="68" spans="1:6" x14ac:dyDescent="0.2">
      <c r="A68" s="19">
        <v>2</v>
      </c>
      <c r="B68" s="181" t="s">
        <v>1</v>
      </c>
      <c r="C68" s="182"/>
      <c r="D68" s="14">
        <f t="shared" ref="D68:D94" si="5">D37</f>
        <v>132960</v>
      </c>
      <c r="E68" s="17">
        <f>IF(F3="1",SUMIF(Data!A:A,'7'!$A$2,Data!DZ:DZ),0)</f>
        <v>251244</v>
      </c>
      <c r="F68" s="21">
        <f t="shared" si="4"/>
        <v>1.89</v>
      </c>
    </row>
    <row r="69" spans="1:6" ht="14.25" customHeight="1" x14ac:dyDescent="0.2">
      <c r="A69" s="19">
        <v>3</v>
      </c>
      <c r="B69" s="181" t="s">
        <v>2</v>
      </c>
      <c r="C69" s="182"/>
      <c r="D69" s="14">
        <f t="shared" si="5"/>
        <v>214512</v>
      </c>
      <c r="E69" s="17">
        <f>IF(F3="1",SUMIF(Data!A:A,'7'!$A$2,Data!EA:EA),0)</f>
        <v>499616</v>
      </c>
      <c r="F69" s="21">
        <f t="shared" si="4"/>
        <v>2.33</v>
      </c>
    </row>
    <row r="70" spans="1:6" ht="14.25" customHeight="1" x14ac:dyDescent="0.2">
      <c r="A70" s="19">
        <v>4</v>
      </c>
      <c r="B70" s="181" t="s">
        <v>3</v>
      </c>
      <c r="C70" s="182"/>
      <c r="D70" s="14">
        <f t="shared" si="5"/>
        <v>162004</v>
      </c>
      <c r="E70" s="17">
        <f>IF(F3="1",SUMIF(Data!A:A,'7'!$A$2,Data!EB:EB),0)</f>
        <v>430766</v>
      </c>
      <c r="F70" s="21">
        <f t="shared" si="4"/>
        <v>2.66</v>
      </c>
    </row>
    <row r="71" spans="1:6" x14ac:dyDescent="0.2">
      <c r="A71" s="19">
        <v>5</v>
      </c>
      <c r="B71" s="181" t="s">
        <v>4</v>
      </c>
      <c r="C71" s="182"/>
      <c r="D71" s="14">
        <f t="shared" si="5"/>
        <v>0</v>
      </c>
      <c r="E71" s="17">
        <f>IF(F3="1",SUMIF(Data!A:A,'7'!$A$2,Data!EC:EC),0)</f>
        <v>0</v>
      </c>
      <c r="F71" s="21" t="str">
        <f t="shared" si="4"/>
        <v/>
      </c>
    </row>
    <row r="72" spans="1:6" x14ac:dyDescent="0.2">
      <c r="A72" s="19">
        <v>6</v>
      </c>
      <c r="B72" s="181" t="s">
        <v>5</v>
      </c>
      <c r="C72" s="182"/>
      <c r="D72" s="14">
        <f t="shared" si="5"/>
        <v>864</v>
      </c>
      <c r="E72" s="17">
        <f>IF(F3="1",SUMIF(Data!A:A,'7'!$A$2,Data!ED:ED),0)</f>
        <v>2134</v>
      </c>
      <c r="F72" s="21">
        <f t="shared" si="4"/>
        <v>2.4700000000000002</v>
      </c>
    </row>
    <row r="73" spans="1:6" x14ac:dyDescent="0.2">
      <c r="A73" s="19">
        <v>7</v>
      </c>
      <c r="B73" s="181" t="s">
        <v>6</v>
      </c>
      <c r="C73" s="182"/>
      <c r="D73" s="14">
        <f t="shared" si="5"/>
        <v>88616</v>
      </c>
      <c r="E73" s="17">
        <f>IF(F3="1",SUMIF(Data!A:A,'7'!$A$2,Data!EE:EE),0)</f>
        <v>314377</v>
      </c>
      <c r="F73" s="21">
        <f t="shared" si="4"/>
        <v>3.55</v>
      </c>
    </row>
    <row r="74" spans="1:6" x14ac:dyDescent="0.2">
      <c r="A74" s="19">
        <v>8</v>
      </c>
      <c r="B74" s="181" t="s">
        <v>7</v>
      </c>
      <c r="C74" s="182"/>
      <c r="D74" s="14">
        <f t="shared" si="5"/>
        <v>120560</v>
      </c>
      <c r="E74" s="17">
        <f>IF(F3="1",SUMIF(Data!A:A,'7'!$A$2,Data!EF:EF),0)</f>
        <v>204694</v>
      </c>
      <c r="F74" s="21">
        <f t="shared" si="4"/>
        <v>1.7</v>
      </c>
    </row>
    <row r="75" spans="1:6" x14ac:dyDescent="0.2">
      <c r="A75" s="19">
        <v>9</v>
      </c>
      <c r="B75" s="181" t="s">
        <v>8</v>
      </c>
      <c r="C75" s="182"/>
      <c r="D75" s="14">
        <f t="shared" si="5"/>
        <v>20312</v>
      </c>
      <c r="E75" s="17">
        <f>IF(F3="1",SUMIF(Data!A:A,'7'!$A$2,Data!EG:EG),0)</f>
        <v>95554</v>
      </c>
      <c r="F75" s="21">
        <f t="shared" si="4"/>
        <v>4.7</v>
      </c>
    </row>
    <row r="76" spans="1:6" x14ac:dyDescent="0.2">
      <c r="A76" s="19">
        <v>10</v>
      </c>
      <c r="B76" s="181" t="s">
        <v>9</v>
      </c>
      <c r="C76" s="182"/>
      <c r="D76" s="14">
        <f t="shared" si="5"/>
        <v>0</v>
      </c>
      <c r="E76" s="17">
        <f>IF(F3="1",SUMIF(Data!A:A,'7'!$A$2,Data!EH:EH),0)</f>
        <v>0</v>
      </c>
      <c r="F76" s="21" t="str">
        <f t="shared" si="4"/>
        <v/>
      </c>
    </row>
    <row r="77" spans="1:6" x14ac:dyDescent="0.2">
      <c r="A77" s="19">
        <v>11</v>
      </c>
      <c r="B77" s="181" t="s">
        <v>10</v>
      </c>
      <c r="C77" s="182"/>
      <c r="D77" s="14">
        <f t="shared" si="5"/>
        <v>115568</v>
      </c>
      <c r="E77" s="17">
        <f>IF(F3="1",SUMIF(Data!A:A,'7'!$A$2,Data!EI:EI),0)</f>
        <v>199716</v>
      </c>
      <c r="F77" s="21">
        <f t="shared" si="4"/>
        <v>1.73</v>
      </c>
    </row>
    <row r="78" spans="1:6" ht="14.25" customHeight="1" x14ac:dyDescent="0.2">
      <c r="A78" s="19">
        <v>12</v>
      </c>
      <c r="B78" s="181" t="s">
        <v>11</v>
      </c>
      <c r="C78" s="182"/>
      <c r="D78" s="14">
        <f t="shared" si="5"/>
        <v>183776</v>
      </c>
      <c r="E78" s="17">
        <f>IF(F3="1",SUMIF(Data!A:A,'7'!$A$2,Data!EJ:EJ),0)</f>
        <v>532527</v>
      </c>
      <c r="F78" s="21">
        <f t="shared" si="4"/>
        <v>2.9</v>
      </c>
    </row>
    <row r="79" spans="1:6" x14ac:dyDescent="0.2">
      <c r="A79" s="19">
        <v>13</v>
      </c>
      <c r="B79" s="181" t="s">
        <v>12</v>
      </c>
      <c r="C79" s="182"/>
      <c r="D79" s="14">
        <f t="shared" si="5"/>
        <v>14312</v>
      </c>
      <c r="E79" s="17">
        <f>IF(F3="1",SUMIF(Data!A:A,'7'!$A$2,Data!EK:EK),0)</f>
        <v>44945</v>
      </c>
      <c r="F79" s="21">
        <f t="shared" si="4"/>
        <v>3.14</v>
      </c>
    </row>
    <row r="80" spans="1:6" ht="14.25" customHeight="1" x14ac:dyDescent="0.2">
      <c r="A80" s="19">
        <v>14</v>
      </c>
      <c r="B80" s="181" t="s">
        <v>464</v>
      </c>
      <c r="C80" s="182"/>
      <c r="D80" s="14">
        <f t="shared" si="5"/>
        <v>0</v>
      </c>
      <c r="E80" s="17">
        <f>IF(F3="1",SUMIF(Data!A:A,'7'!$A$2,Data!EL:EL),0)</f>
        <v>0</v>
      </c>
      <c r="F80" s="21" t="str">
        <f t="shared" si="4"/>
        <v/>
      </c>
    </row>
    <row r="81" spans="1:6" x14ac:dyDescent="0.2">
      <c r="A81" s="19">
        <v>15</v>
      </c>
      <c r="B81" s="181" t="s">
        <v>13</v>
      </c>
      <c r="C81" s="182"/>
      <c r="D81" s="14">
        <f t="shared" si="5"/>
        <v>0</v>
      </c>
      <c r="E81" s="17">
        <f>IF(F3="1",SUMIF(Data!A:A,'7'!$A$2,Data!EM:EM),0)</f>
        <v>0</v>
      </c>
      <c r="F81" s="21" t="str">
        <f t="shared" si="4"/>
        <v/>
      </c>
    </row>
    <row r="82" spans="1:6" x14ac:dyDescent="0.2">
      <c r="A82" s="19">
        <v>16</v>
      </c>
      <c r="B82" s="181" t="s">
        <v>14</v>
      </c>
      <c r="C82" s="182"/>
      <c r="D82" s="14">
        <f t="shared" si="5"/>
        <v>27178</v>
      </c>
      <c r="E82" s="17">
        <f>IF(F3="1",SUMIF(Data!A:A,'7'!$A$2,Data!EN:EN),0)</f>
        <v>56859</v>
      </c>
      <c r="F82" s="21">
        <f t="shared" si="4"/>
        <v>2.09</v>
      </c>
    </row>
    <row r="83" spans="1:6" x14ac:dyDescent="0.2">
      <c r="A83" s="19">
        <v>17</v>
      </c>
      <c r="B83" s="181" t="s">
        <v>15</v>
      </c>
      <c r="C83" s="182"/>
      <c r="D83" s="14">
        <f t="shared" si="5"/>
        <v>0</v>
      </c>
      <c r="E83" s="17">
        <f>IF(F3="1",SUMIF(Data!A:A,'7'!$A$2,Data!EO:EO),0)</f>
        <v>0</v>
      </c>
      <c r="F83" s="21" t="str">
        <f t="shared" si="4"/>
        <v/>
      </c>
    </row>
    <row r="84" spans="1:6" x14ac:dyDescent="0.2">
      <c r="A84" s="19">
        <v>18</v>
      </c>
      <c r="B84" s="181" t="s">
        <v>16</v>
      </c>
      <c r="C84" s="182"/>
      <c r="D84" s="14">
        <f t="shared" si="5"/>
        <v>24720</v>
      </c>
      <c r="E84" s="17">
        <f>IF(F3="1",SUMIF(Data!A:A,'7'!$A$2,Data!EP:EP),0)</f>
        <v>102049</v>
      </c>
      <c r="F84" s="21">
        <f t="shared" si="4"/>
        <v>4.13</v>
      </c>
    </row>
    <row r="85" spans="1:6" x14ac:dyDescent="0.2">
      <c r="A85" s="19">
        <v>19</v>
      </c>
      <c r="B85" s="181" t="s">
        <v>17</v>
      </c>
      <c r="C85" s="182"/>
      <c r="D85" s="14">
        <f t="shared" si="5"/>
        <v>196096</v>
      </c>
      <c r="E85" s="17">
        <f>IF(F3="1",SUMIF(Data!A:A,'7'!$A$2,Data!EQ:EQ),0)</f>
        <v>419246</v>
      </c>
      <c r="F85" s="21">
        <f t="shared" si="4"/>
        <v>2.14</v>
      </c>
    </row>
    <row r="86" spans="1:6" x14ac:dyDescent="0.2">
      <c r="A86" s="19">
        <v>20</v>
      </c>
      <c r="B86" s="181" t="s">
        <v>18</v>
      </c>
      <c r="C86" s="182"/>
      <c r="D86" s="14">
        <f t="shared" si="5"/>
        <v>15536</v>
      </c>
      <c r="E86" s="17">
        <f>IF(F3="1",SUMIF(Data!A:A,'7'!$A$2,Data!ER:ER),0)</f>
        <v>64366</v>
      </c>
      <c r="F86" s="21">
        <f t="shared" si="4"/>
        <v>4.1399999999999997</v>
      </c>
    </row>
    <row r="87" spans="1:6" ht="14.25" customHeight="1" x14ac:dyDescent="0.2">
      <c r="A87" s="19">
        <v>21</v>
      </c>
      <c r="B87" s="181" t="s">
        <v>461</v>
      </c>
      <c r="C87" s="182"/>
      <c r="D87" s="14">
        <f t="shared" si="5"/>
        <v>12320</v>
      </c>
      <c r="E87" s="17">
        <f>IF(F3="1",SUMIF(Data!A:A,'7'!$A$2,Data!ES:ES),0)</f>
        <v>31277</v>
      </c>
      <c r="F87" s="21">
        <f t="shared" si="4"/>
        <v>2.54</v>
      </c>
    </row>
    <row r="88" spans="1:6" x14ac:dyDescent="0.2">
      <c r="A88" s="19">
        <v>22</v>
      </c>
      <c r="B88" s="181" t="s">
        <v>19</v>
      </c>
      <c r="C88" s="182"/>
      <c r="D88" s="14">
        <f t="shared" si="5"/>
        <v>0</v>
      </c>
      <c r="E88" s="17">
        <f>IF(F3="1",SUMIF(Data!A:A,'7'!$A$2,Data!ET:ET),0)</f>
        <v>0</v>
      </c>
      <c r="F88" s="21" t="str">
        <f t="shared" si="4"/>
        <v/>
      </c>
    </row>
    <row r="89" spans="1:6" x14ac:dyDescent="0.2">
      <c r="A89" s="19">
        <v>23</v>
      </c>
      <c r="B89" s="181" t="s">
        <v>20</v>
      </c>
      <c r="C89" s="182"/>
      <c r="D89" s="14">
        <f t="shared" si="5"/>
        <v>28336</v>
      </c>
      <c r="E89" s="17">
        <f>IF(F3="1",SUMIF(Data!A:A,'7'!$A$2,Data!EU:EU),0)</f>
        <v>119515</v>
      </c>
      <c r="F89" s="21">
        <f t="shared" si="4"/>
        <v>4.22</v>
      </c>
    </row>
    <row r="90" spans="1:6" x14ac:dyDescent="0.2">
      <c r="A90" s="19">
        <v>24</v>
      </c>
      <c r="B90" s="181" t="s">
        <v>21</v>
      </c>
      <c r="C90" s="182"/>
      <c r="D90" s="14">
        <f t="shared" si="5"/>
        <v>38808</v>
      </c>
      <c r="E90" s="17">
        <f>IF(F3="1",SUMIF(Data!A:A,'7'!$A$2,Data!EV:EV),0)</f>
        <v>64647</v>
      </c>
      <c r="F90" s="21">
        <f t="shared" si="4"/>
        <v>1.67</v>
      </c>
    </row>
    <row r="91" spans="1:6" x14ac:dyDescent="0.2">
      <c r="A91" s="19">
        <v>25</v>
      </c>
      <c r="B91" s="181" t="s">
        <v>22</v>
      </c>
      <c r="C91" s="182"/>
      <c r="D91" s="14">
        <f t="shared" si="5"/>
        <v>232080</v>
      </c>
      <c r="E91" s="17">
        <f>IF(F3="1",SUMIF(Data!A:A,'7'!$A$2,Data!EW:EW),0)</f>
        <v>633198</v>
      </c>
      <c r="F91" s="21">
        <f t="shared" si="4"/>
        <v>2.73</v>
      </c>
    </row>
    <row r="92" spans="1:6" x14ac:dyDescent="0.2">
      <c r="A92" s="19">
        <v>26</v>
      </c>
      <c r="B92" s="181" t="s">
        <v>23</v>
      </c>
      <c r="C92" s="182"/>
      <c r="D92" s="14">
        <f t="shared" si="5"/>
        <v>51920</v>
      </c>
      <c r="E92" s="17">
        <f>IF(F3="1",SUMIF(Data!A:A,'7'!$A$2,Data!EX:EX),0)</f>
        <v>256907</v>
      </c>
      <c r="F92" s="21">
        <f t="shared" si="4"/>
        <v>4.95</v>
      </c>
    </row>
    <row r="93" spans="1:6" x14ac:dyDescent="0.2">
      <c r="A93" s="19">
        <v>28</v>
      </c>
      <c r="B93" s="181" t="s">
        <v>24</v>
      </c>
      <c r="C93" s="182"/>
      <c r="D93" s="14">
        <f t="shared" si="5"/>
        <v>0</v>
      </c>
      <c r="E93" s="17">
        <f>IF(F3="1",SUMIF(Data!A:A,'7'!$A$2,Data!EZ:EZ),0)</f>
        <v>0</v>
      </c>
      <c r="F93" s="21" t="str">
        <f t="shared" si="4"/>
        <v/>
      </c>
    </row>
    <row r="94" spans="1:6" ht="15.75" customHeight="1" thickBot="1" x14ac:dyDescent="0.25">
      <c r="A94" s="22">
        <v>29</v>
      </c>
      <c r="B94" s="183" t="s">
        <v>25</v>
      </c>
      <c r="C94" s="184"/>
      <c r="D94" s="23">
        <f t="shared" si="5"/>
        <v>0</v>
      </c>
      <c r="E94" s="24">
        <f>IF(F3="1",SUMIF(Data!A:A,'7'!$A$2,Data!FA:FA),0)</f>
        <v>0</v>
      </c>
      <c r="F94" s="25" t="str">
        <f t="shared" si="4"/>
        <v/>
      </c>
    </row>
    <row r="95" spans="1:6" x14ac:dyDescent="0.2">
      <c r="B95" s="30" t="s">
        <v>35</v>
      </c>
      <c r="C95" s="30"/>
      <c r="D95" s="59">
        <f>SUM(D67:D94)</f>
        <v>1680478</v>
      </c>
      <c r="E95" s="31">
        <f>SUM(E67:E94)</f>
        <v>4323637</v>
      </c>
      <c r="F95" s="32">
        <f t="shared" si="4"/>
        <v>2.57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IF(F3="1",SUMIF(Data!A:A,'7'!$A$2,Data!AH:AH),0)</f>
        <v>2633552</v>
      </c>
      <c r="F98" s="20">
        <f>IF(OR(E98=0,E98=0),"",ROUND(E98/$D$105,2))</f>
        <v>1.57</v>
      </c>
    </row>
    <row r="99" spans="2:6" x14ac:dyDescent="0.2">
      <c r="B99" s="187" t="s">
        <v>31</v>
      </c>
      <c r="C99" s="188"/>
      <c r="D99" s="36"/>
      <c r="E99" s="17">
        <f>IF(F3="1",SUMIF(Data!A:A,'7'!$A$2,Data!AI:AI),0)</f>
        <v>1135837</v>
      </c>
      <c r="F99" s="21">
        <f t="shared" ref="F99:F104" si="6">IF(OR(E99=0,E99=0),"",ROUND(E99/$D$105,2))</f>
        <v>0.68</v>
      </c>
    </row>
    <row r="100" spans="2:6" x14ac:dyDescent="0.2">
      <c r="B100" s="187" t="s">
        <v>1078</v>
      </c>
      <c r="C100" s="188"/>
      <c r="D100" s="36"/>
      <c r="E100" s="17">
        <f>IF(F3="1",SUMIF(Data!A:A,'7'!$A$2,Data!AJ:AJ),0)</f>
        <v>511724</v>
      </c>
      <c r="F100" s="21">
        <f t="shared" si="6"/>
        <v>0.3</v>
      </c>
    </row>
    <row r="101" spans="2:6" x14ac:dyDescent="0.2">
      <c r="B101" s="187" t="s">
        <v>1079</v>
      </c>
      <c r="C101" s="188"/>
      <c r="D101" s="36"/>
      <c r="E101" s="17">
        <f>IF(F3="1",SUMIF(Data!A:A,'7'!$A$2,Data!AK:AK),0)</f>
        <v>1049624</v>
      </c>
      <c r="F101" s="21">
        <f t="shared" si="6"/>
        <v>0.62</v>
      </c>
    </row>
    <row r="102" spans="2:6" x14ac:dyDescent="0.2">
      <c r="B102" s="187" t="s">
        <v>1080</v>
      </c>
      <c r="C102" s="188"/>
      <c r="D102" s="36"/>
      <c r="E102" s="17">
        <f>IF(F3="1",SUMIF(Data!A:A,'7'!$A$2,Data!AL:AL),0)</f>
        <v>0</v>
      </c>
      <c r="F102" s="21" t="str">
        <f t="shared" si="6"/>
        <v/>
      </c>
    </row>
    <row r="103" spans="2:6" x14ac:dyDescent="0.2">
      <c r="B103" s="189" t="s">
        <v>34</v>
      </c>
      <c r="C103" s="190"/>
      <c r="D103" s="36"/>
      <c r="E103" s="17">
        <f>IF(F3="1",SUMIF(Data!A:A,'7'!$A$2,Data!AM:AM),0)</f>
        <v>0</v>
      </c>
      <c r="F103" s="21" t="str">
        <f t="shared" si="6"/>
        <v/>
      </c>
    </row>
    <row r="104" spans="2:6" ht="15.75" customHeight="1" thickBot="1" x14ac:dyDescent="0.25">
      <c r="B104" s="179" t="s">
        <v>29</v>
      </c>
      <c r="C104" s="180"/>
      <c r="D104" s="37"/>
      <c r="E104" s="24">
        <f>IF(F3="1",SUMIF(Data!A:A,'7'!$A$2,Data!Q:Q),0)</f>
        <v>329550</v>
      </c>
      <c r="F104" s="25">
        <f t="shared" si="6"/>
        <v>0.2</v>
      </c>
    </row>
    <row r="105" spans="2:6" x14ac:dyDescent="0.2">
      <c r="B105" s="30" t="s">
        <v>35</v>
      </c>
      <c r="C105" s="30"/>
      <c r="D105" s="34">
        <f>D95</f>
        <v>1680478</v>
      </c>
      <c r="E105" s="31">
        <f>SUM(E98:E104)</f>
        <v>5660287</v>
      </c>
      <c r="F105" s="32">
        <f>IF($D$105=0,"",ROUND(E105/$D$105,2))</f>
        <v>3.37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4323637</v>
      </c>
      <c r="D109" s="15">
        <f>IF(F3="1",SUMIF(Data!$A:$A,$A$2,Data!HJ:HJ),0)</f>
        <v>0</v>
      </c>
      <c r="E109" s="15">
        <f>IF(F3="1",SUMIF(Data!$A:$A,$A$2,Data!IN:IN),0)</f>
        <v>0</v>
      </c>
      <c r="F109" s="47">
        <f>SUM(C109:E109)</f>
        <v>4323637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329550</v>
      </c>
      <c r="E117" s="52"/>
      <c r="F117" s="49">
        <f>SUM(C117:E117)</f>
        <v>329550</v>
      </c>
    </row>
    <row r="118" spans="1:6" x14ac:dyDescent="0.2">
      <c r="B118" s="13" t="s">
        <v>35</v>
      </c>
      <c r="C118" s="4">
        <f>SUM(C109:C116)</f>
        <v>4323637</v>
      </c>
      <c r="D118" s="4">
        <f>SUM(D109:D116)</f>
        <v>0</v>
      </c>
      <c r="E118" s="4">
        <f>SUM(E109:E116)</f>
        <v>0</v>
      </c>
      <c r="F118" s="4">
        <f>SUM(F109:F116)</f>
        <v>4323637</v>
      </c>
    </row>
    <row r="119" spans="1:6" ht="15" thickBot="1" x14ac:dyDescent="0.25"/>
    <row r="120" spans="1:6" ht="15" thickBot="1" x14ac:dyDescent="0.25">
      <c r="B120" s="55" t="s">
        <v>934</v>
      </c>
      <c r="C120" s="53"/>
      <c r="D120" s="53"/>
      <c r="E120" s="53">
        <f>IF(F3="1",SUMIF(Data!A:A,'7'!$A$2,Data!AM:AM),0)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419</v>
      </c>
      <c r="B2" s="58" t="str">
        <f>VLOOKUP(A2,Data!A:G,7,0)</f>
        <v>Central Texas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34952</v>
      </c>
      <c r="E5" s="15">
        <f>E36+E67+IFERROR($E$105/$D$105*D5,0)</f>
        <v>166638.55180555696</v>
      </c>
      <c r="F5" s="20">
        <f>IF(OR(D5=0,E5=0),"",ROUND(E5/D5,2))</f>
        <v>4.7699999999999996</v>
      </c>
    </row>
    <row r="6" spans="1:6" x14ac:dyDescent="0.2">
      <c r="A6" s="19">
        <v>2</v>
      </c>
      <c r="B6" s="181" t="s">
        <v>1</v>
      </c>
      <c r="C6" s="182"/>
      <c r="D6" s="14">
        <f t="shared" ref="D6:D32" si="0">D37</f>
        <v>120436</v>
      </c>
      <c r="E6" s="17">
        <f t="shared" ref="E6:E32" si="1">E37+E68+IFERROR($E$105/$D$105*D6,0)</f>
        <v>775484.05485391559</v>
      </c>
      <c r="F6" s="21">
        <f t="shared" ref="F6:F33" si="2">IF(OR(D6=0,E6=0),"",ROUND(E6/D6,2))</f>
        <v>6.44</v>
      </c>
    </row>
    <row r="7" spans="1:6" ht="14.25" customHeight="1" x14ac:dyDescent="0.2">
      <c r="A7" s="19">
        <v>3</v>
      </c>
      <c r="B7" s="181" t="s">
        <v>2</v>
      </c>
      <c r="C7" s="182"/>
      <c r="D7" s="14">
        <f t="shared" si="0"/>
        <v>219888</v>
      </c>
      <c r="E7" s="17">
        <f t="shared" si="1"/>
        <v>1171550.0908508901</v>
      </c>
      <c r="F7" s="21">
        <f t="shared" si="2"/>
        <v>5.33</v>
      </c>
    </row>
    <row r="8" spans="1:6" ht="14.25" customHeight="1" x14ac:dyDescent="0.2">
      <c r="A8" s="19">
        <v>4</v>
      </c>
      <c r="B8" s="181" t="s">
        <v>3</v>
      </c>
      <c r="C8" s="182"/>
      <c r="D8" s="14">
        <f t="shared" si="0"/>
        <v>597013</v>
      </c>
      <c r="E8" s="17">
        <f t="shared" si="1"/>
        <v>2979533.5769080734</v>
      </c>
      <c r="F8" s="21">
        <f t="shared" si="2"/>
        <v>4.99</v>
      </c>
    </row>
    <row r="9" spans="1:6" x14ac:dyDescent="0.2">
      <c r="A9" s="19">
        <v>5</v>
      </c>
      <c r="B9" s="181" t="s">
        <v>4</v>
      </c>
      <c r="C9" s="182"/>
      <c r="D9" s="14">
        <f t="shared" si="0"/>
        <v>31760</v>
      </c>
      <c r="E9" s="17">
        <f t="shared" si="1"/>
        <v>737427.53826231661</v>
      </c>
      <c r="F9" s="21">
        <f t="shared" si="2"/>
        <v>23.22</v>
      </c>
    </row>
    <row r="10" spans="1:6" x14ac:dyDescent="0.2">
      <c r="A10" s="19">
        <v>6</v>
      </c>
      <c r="B10" s="181" t="s">
        <v>5</v>
      </c>
      <c r="C10" s="182"/>
      <c r="D10" s="14">
        <f t="shared" si="0"/>
        <v>9952</v>
      </c>
      <c r="E10" s="17">
        <f t="shared" si="1"/>
        <v>42904.743979426152</v>
      </c>
      <c r="F10" s="21">
        <f t="shared" si="2"/>
        <v>4.3099999999999996</v>
      </c>
    </row>
    <row r="11" spans="1:6" x14ac:dyDescent="0.2">
      <c r="A11" s="19">
        <v>7</v>
      </c>
      <c r="B11" s="181" t="s">
        <v>6</v>
      </c>
      <c r="C11" s="182"/>
      <c r="D11" s="14">
        <f t="shared" si="0"/>
        <v>502944</v>
      </c>
      <c r="E11" s="17">
        <f t="shared" si="1"/>
        <v>1897618.3444522214</v>
      </c>
      <c r="F11" s="21">
        <f t="shared" si="2"/>
        <v>3.77</v>
      </c>
    </row>
    <row r="12" spans="1:6" x14ac:dyDescent="0.2">
      <c r="A12" s="19">
        <v>8</v>
      </c>
      <c r="B12" s="181" t="s">
        <v>7</v>
      </c>
      <c r="C12" s="182"/>
      <c r="D12" s="14">
        <f t="shared" si="0"/>
        <v>46160</v>
      </c>
      <c r="E12" s="17">
        <f t="shared" si="1"/>
        <v>176354.28357016793</v>
      </c>
      <c r="F12" s="21">
        <f t="shared" si="2"/>
        <v>3.82</v>
      </c>
    </row>
    <row r="13" spans="1:6" x14ac:dyDescent="0.2">
      <c r="A13" s="19">
        <v>9</v>
      </c>
      <c r="B13" s="181" t="s">
        <v>8</v>
      </c>
      <c r="C13" s="182"/>
      <c r="D13" s="14">
        <f t="shared" si="0"/>
        <v>336898</v>
      </c>
      <c r="E13" s="17">
        <f t="shared" si="1"/>
        <v>1187758.1838003127</v>
      </c>
      <c r="F13" s="21">
        <f t="shared" si="2"/>
        <v>3.53</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171170</v>
      </c>
      <c r="E15" s="17">
        <f t="shared" si="1"/>
        <v>796275.23502395244</v>
      </c>
      <c r="F15" s="21">
        <f t="shared" si="2"/>
        <v>4.6500000000000004</v>
      </c>
    </row>
    <row r="16" spans="1:6" ht="14.25" customHeight="1" x14ac:dyDescent="0.2">
      <c r="A16" s="19">
        <v>12</v>
      </c>
      <c r="B16" s="181" t="s">
        <v>11</v>
      </c>
      <c r="C16" s="182"/>
      <c r="D16" s="14">
        <f t="shared" si="0"/>
        <v>557272</v>
      </c>
      <c r="E16" s="17">
        <f t="shared" si="1"/>
        <v>2583737.0135553428</v>
      </c>
      <c r="F16" s="21">
        <f t="shared" si="2"/>
        <v>4.6399999999999997</v>
      </c>
    </row>
    <row r="17" spans="1:6" x14ac:dyDescent="0.2">
      <c r="A17" s="19">
        <v>13</v>
      </c>
      <c r="B17" s="181" t="s">
        <v>12</v>
      </c>
      <c r="C17" s="182"/>
      <c r="D17" s="14">
        <f t="shared" si="0"/>
        <v>64768</v>
      </c>
      <c r="E17" s="17">
        <f t="shared" si="1"/>
        <v>287827.13445131358</v>
      </c>
      <c r="F17" s="21">
        <f t="shared" si="2"/>
        <v>4.4400000000000004</v>
      </c>
    </row>
    <row r="18" spans="1:6" ht="14.25" customHeight="1" x14ac:dyDescent="0.2">
      <c r="A18" s="19">
        <v>14</v>
      </c>
      <c r="B18" s="181" t="s">
        <v>464</v>
      </c>
      <c r="C18" s="182"/>
      <c r="D18" s="14">
        <f t="shared" si="0"/>
        <v>187888</v>
      </c>
      <c r="E18" s="17">
        <f t="shared" si="1"/>
        <v>1583783.6568334426</v>
      </c>
      <c r="F18" s="21">
        <f t="shared" si="2"/>
        <v>8.43</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91116</v>
      </c>
      <c r="E20" s="17">
        <f t="shared" si="1"/>
        <v>640697.12343542941</v>
      </c>
      <c r="F20" s="21">
        <f t="shared" si="2"/>
        <v>7.03</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134208</v>
      </c>
      <c r="E22" s="17">
        <f t="shared" si="1"/>
        <v>729131.30626917456</v>
      </c>
      <c r="F22" s="21">
        <f t="shared" si="2"/>
        <v>5.43</v>
      </c>
    </row>
    <row r="23" spans="1:6" x14ac:dyDescent="0.2">
      <c r="A23" s="19">
        <v>19</v>
      </c>
      <c r="B23" s="181" t="s">
        <v>17</v>
      </c>
      <c r="C23" s="182"/>
      <c r="D23" s="14">
        <f t="shared" si="0"/>
        <v>541336</v>
      </c>
      <c r="E23" s="17">
        <f t="shared" si="1"/>
        <v>1898472.7354146538</v>
      </c>
      <c r="F23" s="21">
        <f t="shared" si="2"/>
        <v>3.51</v>
      </c>
    </row>
    <row r="24" spans="1:6" x14ac:dyDescent="0.2">
      <c r="A24" s="19">
        <v>20</v>
      </c>
      <c r="B24" s="181" t="s">
        <v>18</v>
      </c>
      <c r="C24" s="182"/>
      <c r="D24" s="14">
        <f t="shared" si="0"/>
        <v>73488</v>
      </c>
      <c r="E24" s="17">
        <f t="shared" si="1"/>
        <v>427314.68022106803</v>
      </c>
      <c r="F24" s="21">
        <f t="shared" si="2"/>
        <v>5.81</v>
      </c>
    </row>
    <row r="25" spans="1:6" ht="14.25" customHeight="1" x14ac:dyDescent="0.2">
      <c r="A25" s="19">
        <v>21</v>
      </c>
      <c r="B25" s="181" t="s">
        <v>461</v>
      </c>
      <c r="C25" s="182"/>
      <c r="D25" s="14">
        <f t="shared" si="0"/>
        <v>34142</v>
      </c>
      <c r="E25" s="17">
        <f t="shared" si="1"/>
        <v>159947.65363199031</v>
      </c>
      <c r="F25" s="21">
        <f t="shared" si="2"/>
        <v>4.68</v>
      </c>
    </row>
    <row r="26" spans="1:6" x14ac:dyDescent="0.2">
      <c r="A26" s="19">
        <v>22</v>
      </c>
      <c r="B26" s="181" t="s">
        <v>19</v>
      </c>
      <c r="C26" s="182"/>
      <c r="D26" s="14">
        <f t="shared" si="0"/>
        <v>864</v>
      </c>
      <c r="E26" s="17">
        <f t="shared" si="1"/>
        <v>3666.4247184710807</v>
      </c>
      <c r="F26" s="21">
        <f t="shared" si="2"/>
        <v>4.24</v>
      </c>
    </row>
    <row r="27" spans="1:6" x14ac:dyDescent="0.2">
      <c r="A27" s="19">
        <v>23</v>
      </c>
      <c r="B27" s="181" t="s">
        <v>20</v>
      </c>
      <c r="C27" s="182"/>
      <c r="D27" s="14">
        <f t="shared" si="0"/>
        <v>103024</v>
      </c>
      <c r="E27" s="17">
        <f t="shared" si="1"/>
        <v>567836.71781917196</v>
      </c>
      <c r="F27" s="21">
        <f t="shared" si="2"/>
        <v>5.51</v>
      </c>
    </row>
    <row r="28" spans="1:6" x14ac:dyDescent="0.2">
      <c r="A28" s="19">
        <v>24</v>
      </c>
      <c r="B28" s="181" t="s">
        <v>21</v>
      </c>
      <c r="C28" s="182"/>
      <c r="D28" s="14">
        <f t="shared" si="0"/>
        <v>156567</v>
      </c>
      <c r="E28" s="17">
        <f t="shared" si="1"/>
        <v>588169.26955655287</v>
      </c>
      <c r="F28" s="21">
        <f t="shared" si="2"/>
        <v>3.76</v>
      </c>
    </row>
    <row r="29" spans="1:6" x14ac:dyDescent="0.2">
      <c r="A29" s="19">
        <v>25</v>
      </c>
      <c r="B29" s="181" t="s">
        <v>22</v>
      </c>
      <c r="C29" s="182"/>
      <c r="D29" s="14">
        <f t="shared" si="0"/>
        <v>832512</v>
      </c>
      <c r="E29" s="17">
        <f t="shared" si="1"/>
        <v>2703302.7953979122</v>
      </c>
      <c r="F29" s="21">
        <f t="shared" si="2"/>
        <v>3.25</v>
      </c>
    </row>
    <row r="30" spans="1:6" x14ac:dyDescent="0.2">
      <c r="A30" s="19">
        <v>26</v>
      </c>
      <c r="B30" s="181" t="s">
        <v>23</v>
      </c>
      <c r="C30" s="182"/>
      <c r="D30" s="14">
        <f t="shared" si="0"/>
        <v>109392</v>
      </c>
      <c r="E30" s="17">
        <f t="shared" si="1"/>
        <v>541285.88518864405</v>
      </c>
      <c r="F30" s="21">
        <f t="shared" si="2"/>
        <v>4.95</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4957750</v>
      </c>
      <c r="E33" s="31">
        <f>SUM(E5:E32)</f>
        <v>22646716.999999996</v>
      </c>
      <c r="F33" s="32">
        <f t="shared" si="2"/>
        <v>4.57</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IF(F3="1",SUMIF(Data!A:A,'8'!$A$2,Data!CU:CU),0)</f>
        <v>34952</v>
      </c>
      <c r="E36" s="15">
        <f>IF(F3="1",SUMIF(Data!$A:$A,$A$2,Data!IO:IO),0)</f>
        <v>33929</v>
      </c>
      <c r="F36" s="20">
        <f t="shared" ref="F36:F64" si="3">IF(OR(D36=0,E36=0),"",ROUND(E36/D36,2))</f>
        <v>0.97</v>
      </c>
    </row>
    <row r="37" spans="1:6" x14ac:dyDescent="0.2">
      <c r="A37" s="19">
        <v>2</v>
      </c>
      <c r="B37" s="181" t="s">
        <v>1</v>
      </c>
      <c r="C37" s="182"/>
      <c r="D37" s="14">
        <f>IF(F3="1",SUMIF(Data!A:A,'8'!$A$2,Data!CV:CV),0)</f>
        <v>120436</v>
      </c>
      <c r="E37" s="17">
        <f>IF(F3="1",SUMIF(Data!$A:$A,$A$2,Data!IP:IP),0)</f>
        <v>279123</v>
      </c>
      <c r="F37" s="21">
        <f t="shared" si="3"/>
        <v>2.3199999999999998</v>
      </c>
    </row>
    <row r="38" spans="1:6" ht="14.25" customHeight="1" x14ac:dyDescent="0.2">
      <c r="A38" s="19">
        <v>3</v>
      </c>
      <c r="B38" s="181" t="s">
        <v>2</v>
      </c>
      <c r="C38" s="182"/>
      <c r="D38" s="14">
        <f>IF(F3="1",SUMIF(Data!A:A,'8'!$A$2,Data!CW:CW),0)</f>
        <v>219888</v>
      </c>
      <c r="E38" s="17">
        <f>IF($F$3="1",SUMIF(Data!$A:$A,$A$2,Data!IQ:IQ),0)</f>
        <v>151889</v>
      </c>
      <c r="F38" s="21">
        <f t="shared" si="3"/>
        <v>0.69</v>
      </c>
    </row>
    <row r="39" spans="1:6" ht="14.25" customHeight="1" x14ac:dyDescent="0.2">
      <c r="A39" s="19">
        <v>4</v>
      </c>
      <c r="B39" s="181" t="s">
        <v>3</v>
      </c>
      <c r="C39" s="182"/>
      <c r="D39" s="14">
        <f>IF(F3="1",SUMIF(Data!A:A,'8'!$A$2,Data!CX:CX),0)</f>
        <v>597013</v>
      </c>
      <c r="E39" s="17">
        <f>IF($F$3="1",SUMIF(Data!$A:$A,$A$2,Data!IR:IR),0)</f>
        <v>812632</v>
      </c>
      <c r="F39" s="21">
        <f t="shared" si="3"/>
        <v>1.36</v>
      </c>
    </row>
    <row r="40" spans="1:6" x14ac:dyDescent="0.2">
      <c r="A40" s="19">
        <v>5</v>
      </c>
      <c r="B40" s="181" t="s">
        <v>4</v>
      </c>
      <c r="C40" s="182"/>
      <c r="D40" s="14">
        <f>IF(F3="1",SUMIF(Data!A:A,'8'!$A$2,Data!CY:CY),0)</f>
        <v>31760</v>
      </c>
      <c r="E40" s="17">
        <f>IF($F$3="1",SUMIF(Data!$A:$A,$A$2,Data!IS:IS),0)</f>
        <v>442716</v>
      </c>
      <c r="F40" s="21">
        <f t="shared" si="3"/>
        <v>13.94</v>
      </c>
    </row>
    <row r="41" spans="1:6" x14ac:dyDescent="0.2">
      <c r="A41" s="19">
        <v>6</v>
      </c>
      <c r="B41" s="181" t="s">
        <v>5</v>
      </c>
      <c r="C41" s="182"/>
      <c r="D41" s="14">
        <f>IF(F3="1",SUMIF(Data!A:A,'8'!$A$2,Data!CZ:CZ),0)</f>
        <v>9952</v>
      </c>
      <c r="E41" s="17">
        <f>IF($F$3="1",SUMIF(Data!$A:$A,$A$2,Data!IT:IT),0)</f>
        <v>4976</v>
      </c>
      <c r="F41" s="21">
        <f t="shared" si="3"/>
        <v>0.5</v>
      </c>
    </row>
    <row r="42" spans="1:6" x14ac:dyDescent="0.2">
      <c r="A42" s="19">
        <v>7</v>
      </c>
      <c r="B42" s="181" t="s">
        <v>6</v>
      </c>
      <c r="C42" s="182"/>
      <c r="D42" s="14">
        <f>IF(F3="1",SUMIF(Data!A:A,'8'!$A$2,Data!DA:DA),0)</f>
        <v>502944</v>
      </c>
      <c r="E42" s="17">
        <f>IF($F$3="1",SUMIF(Data!$A:$A,$A$2,Data!IU:IU),0)</f>
        <v>380113</v>
      </c>
      <c r="F42" s="21">
        <f t="shared" si="3"/>
        <v>0.76</v>
      </c>
    </row>
    <row r="43" spans="1:6" x14ac:dyDescent="0.2">
      <c r="A43" s="19">
        <v>8</v>
      </c>
      <c r="B43" s="181" t="s">
        <v>7</v>
      </c>
      <c r="C43" s="182"/>
      <c r="D43" s="14">
        <f>IF(F3="1",SUMIF(Data!A:A,'8'!$A$2,Data!DB:DB),0)</f>
        <v>46160</v>
      </c>
      <c r="E43" s="17">
        <f>IF($F$3="1",SUMIF(Data!$A:$A,$A$2,Data!IV:IV),0)</f>
        <v>31987</v>
      </c>
      <c r="F43" s="21">
        <f t="shared" si="3"/>
        <v>0.69</v>
      </c>
    </row>
    <row r="44" spans="1:6" x14ac:dyDescent="0.2">
      <c r="A44" s="19">
        <v>9</v>
      </c>
      <c r="B44" s="181" t="s">
        <v>8</v>
      </c>
      <c r="C44" s="182"/>
      <c r="D44" s="14">
        <f>IF(F3="1",SUMIF(Data!A:A,'8'!$A$2,Data!DC:DC),0)</f>
        <v>336898</v>
      </c>
      <c r="E44" s="17">
        <f>IF($F$3="1",SUMIF(Data!$A:$A,$A$2,Data!IW:IW),0)</f>
        <v>188364</v>
      </c>
      <c r="F44" s="21">
        <f t="shared" si="3"/>
        <v>0.56000000000000005</v>
      </c>
    </row>
    <row r="45" spans="1:6" x14ac:dyDescent="0.2">
      <c r="A45" s="19">
        <v>10</v>
      </c>
      <c r="B45" s="181" t="s">
        <v>9</v>
      </c>
      <c r="C45" s="182"/>
      <c r="D45" s="14">
        <f>IF(F3="1",SUMIF(Data!A:A,'8'!$A$2,Data!DD:DD),0)</f>
        <v>0</v>
      </c>
      <c r="E45" s="17">
        <f>IF($F$3="1",SUMIF(Data!$A:$A,$A$2,Data!IX:IX),0)</f>
        <v>0</v>
      </c>
      <c r="F45" s="21" t="str">
        <f t="shared" si="3"/>
        <v/>
      </c>
    </row>
    <row r="46" spans="1:6" x14ac:dyDescent="0.2">
      <c r="A46" s="19">
        <v>11</v>
      </c>
      <c r="B46" s="181" t="s">
        <v>10</v>
      </c>
      <c r="C46" s="182"/>
      <c r="D46" s="14">
        <f>IF(F3="1",SUMIF(Data!A:A,'8'!$A$2,Data!DE:DE),0)</f>
        <v>171170</v>
      </c>
      <c r="E46" s="17">
        <f>IF($F$3="1",SUMIF(Data!$A:$A,$A$2,Data!IY:IY),0)</f>
        <v>164987</v>
      </c>
      <c r="F46" s="21">
        <f t="shared" si="3"/>
        <v>0.96</v>
      </c>
    </row>
    <row r="47" spans="1:6" ht="14.25" customHeight="1" x14ac:dyDescent="0.2">
      <c r="A47" s="19">
        <v>12</v>
      </c>
      <c r="B47" s="181" t="s">
        <v>11</v>
      </c>
      <c r="C47" s="182"/>
      <c r="D47" s="14">
        <f>IF(F3="1",SUMIF(Data!A:A,'8'!$A$2,Data!DF:DF),0)</f>
        <v>557272</v>
      </c>
      <c r="E47" s="17">
        <f>IF($F$3="1",SUMIF(Data!$A:$A,$A$2,Data!IZ:IZ),0)</f>
        <v>219460</v>
      </c>
      <c r="F47" s="21">
        <f t="shared" si="3"/>
        <v>0.39</v>
      </c>
    </row>
    <row r="48" spans="1:6" x14ac:dyDescent="0.2">
      <c r="A48" s="19">
        <v>13</v>
      </c>
      <c r="B48" s="181" t="s">
        <v>12</v>
      </c>
      <c r="C48" s="182"/>
      <c r="D48" s="14">
        <f>IF(F3="1",SUMIF(Data!A:A,'8'!$A$2,Data!DG:DG),0)</f>
        <v>64768</v>
      </c>
      <c r="E48" s="17">
        <f>IF($F$3="1",SUMIF(Data!$A:$A,$A$2,Data!JA:JA),0)</f>
        <v>17972</v>
      </c>
      <c r="F48" s="21">
        <f t="shared" si="3"/>
        <v>0.28000000000000003</v>
      </c>
    </row>
    <row r="49" spans="1:6" ht="14.25" customHeight="1" x14ac:dyDescent="0.2">
      <c r="A49" s="19">
        <v>14</v>
      </c>
      <c r="B49" s="181" t="s">
        <v>464</v>
      </c>
      <c r="C49" s="182"/>
      <c r="D49" s="14">
        <f>IF(F3="1",SUMIF(Data!A:A,'8'!$A$2,Data!DH:DH),0)</f>
        <v>187888</v>
      </c>
      <c r="E49" s="17">
        <f>IF($F$3="1",SUMIF(Data!$A:$A,$A$2,Data!JB:JB),0)</f>
        <v>178464</v>
      </c>
      <c r="F49" s="21">
        <f t="shared" si="3"/>
        <v>0.95</v>
      </c>
    </row>
    <row r="50" spans="1:6" x14ac:dyDescent="0.2">
      <c r="A50" s="19">
        <v>15</v>
      </c>
      <c r="B50" s="181" t="s">
        <v>13</v>
      </c>
      <c r="C50" s="182"/>
      <c r="D50" s="14">
        <f>IF(F3="1",SUMIF(Data!A:A,'8'!$A$2,Data!DI:DI),0)</f>
        <v>0</v>
      </c>
      <c r="E50" s="17">
        <f>IF($F$3="1",SUMIF(Data!$A:$A,$A$2,Data!JC:JC),0)</f>
        <v>0</v>
      </c>
      <c r="F50" s="21" t="str">
        <f t="shared" si="3"/>
        <v/>
      </c>
    </row>
    <row r="51" spans="1:6" x14ac:dyDescent="0.2">
      <c r="A51" s="19">
        <v>16</v>
      </c>
      <c r="B51" s="181" t="s">
        <v>14</v>
      </c>
      <c r="C51" s="182"/>
      <c r="D51" s="14">
        <f>IF(F3="1",SUMIF(Data!A:A,'8'!$A$2,Data!DJ:DJ),0)</f>
        <v>91116</v>
      </c>
      <c r="E51" s="17">
        <f>IF($F$3="1",SUMIF(Data!$A:$A,$A$2,Data!JD:JD),0)</f>
        <v>55434</v>
      </c>
      <c r="F51" s="21">
        <f t="shared" si="3"/>
        <v>0.61</v>
      </c>
    </row>
    <row r="52" spans="1:6" x14ac:dyDescent="0.2">
      <c r="A52" s="19">
        <v>17</v>
      </c>
      <c r="B52" s="181" t="s">
        <v>15</v>
      </c>
      <c r="C52" s="182"/>
      <c r="D52" s="14">
        <f>IF(F3="1",SUMIF(Data!A:A,'8'!$A$2,Data!DK:DK),0)</f>
        <v>0</v>
      </c>
      <c r="E52" s="17">
        <f>IF($F$3="1",SUMIF(Data!$A:$A,$A$2,Data!JE:JE),0)</f>
        <v>0</v>
      </c>
      <c r="F52" s="21" t="str">
        <f t="shared" si="3"/>
        <v/>
      </c>
    </row>
    <row r="53" spans="1:6" x14ac:dyDescent="0.2">
      <c r="A53" s="19">
        <v>18</v>
      </c>
      <c r="B53" s="181" t="s">
        <v>16</v>
      </c>
      <c r="C53" s="182"/>
      <c r="D53" s="14">
        <f>IF(F3="1",SUMIF(Data!A:A,'8'!$A$2,Data!DL:DL),0)</f>
        <v>134208</v>
      </c>
      <c r="E53" s="17">
        <f>IF($F$3="1",SUMIF(Data!$A:$A,$A$2,Data!JF:JF),0)</f>
        <v>70603</v>
      </c>
      <c r="F53" s="21">
        <f t="shared" si="3"/>
        <v>0.53</v>
      </c>
    </row>
    <row r="54" spans="1:6" x14ac:dyDescent="0.2">
      <c r="A54" s="19">
        <v>19</v>
      </c>
      <c r="B54" s="181" t="s">
        <v>17</v>
      </c>
      <c r="C54" s="182"/>
      <c r="D54" s="14">
        <f>IF(F3="1",SUMIF(Data!A:A,'8'!$A$2,Data!DM:DM),0)</f>
        <v>541336</v>
      </c>
      <c r="E54" s="17">
        <f>IF($F$3="1",SUMIF(Data!$A:$A,$A$2,Data!JG:JG),0)</f>
        <v>86658</v>
      </c>
      <c r="F54" s="21">
        <f t="shared" si="3"/>
        <v>0.16</v>
      </c>
    </row>
    <row r="55" spans="1:6" x14ac:dyDescent="0.2">
      <c r="A55" s="19">
        <v>20</v>
      </c>
      <c r="B55" s="181" t="s">
        <v>18</v>
      </c>
      <c r="C55" s="182"/>
      <c r="D55" s="14">
        <f>IF(F3="1",SUMIF(Data!A:A,'8'!$A$2,Data!DN:DN),0)</f>
        <v>73488</v>
      </c>
      <c r="E55" s="17">
        <f>IF($F$3="1",SUMIF(Data!$A:$A,$A$2,Data!JH:JH),0)</f>
        <v>166868</v>
      </c>
      <c r="F55" s="21">
        <f t="shared" si="3"/>
        <v>2.27</v>
      </c>
    </row>
    <row r="56" spans="1:6" ht="14.25" customHeight="1" x14ac:dyDescent="0.2">
      <c r="A56" s="19">
        <v>21</v>
      </c>
      <c r="B56" s="181" t="s">
        <v>461</v>
      </c>
      <c r="C56" s="182"/>
      <c r="D56" s="14">
        <f>IF(F3="1",SUMIF(Data!A:A,'8'!$A$2,Data!DO:DO),0)</f>
        <v>34142</v>
      </c>
      <c r="E56" s="17">
        <f>IF($F$3="1",SUMIF(Data!$A:$A,$A$2,Data!JI:JI),0)</f>
        <v>42033</v>
      </c>
      <c r="F56" s="21">
        <f t="shared" si="3"/>
        <v>1.23</v>
      </c>
    </row>
    <row r="57" spans="1:6" x14ac:dyDescent="0.2">
      <c r="A57" s="19">
        <v>22</v>
      </c>
      <c r="B57" s="181" t="s">
        <v>19</v>
      </c>
      <c r="C57" s="182"/>
      <c r="D57" s="14">
        <f>IF(F3="1",SUMIF(Data!A:A,'8'!$A$2,Data!DP:DP),0)</f>
        <v>864</v>
      </c>
      <c r="E57" s="17">
        <f>IF($F$3="1",SUMIF(Data!$A:$A,$A$2,Data!JJ:JJ),0)</f>
        <v>546</v>
      </c>
      <c r="F57" s="21">
        <f t="shared" si="3"/>
        <v>0.63</v>
      </c>
    </row>
    <row r="58" spans="1:6" x14ac:dyDescent="0.2">
      <c r="A58" s="19">
        <v>23</v>
      </c>
      <c r="B58" s="181" t="s">
        <v>20</v>
      </c>
      <c r="C58" s="182"/>
      <c r="D58" s="14">
        <f>IF(F3="1",SUMIF(Data!A:A,'8'!$A$2,Data!DQ:DQ),0)</f>
        <v>103024</v>
      </c>
      <c r="E58" s="17">
        <f>IF($F$3="1",SUMIF(Data!$A:$A,$A$2,Data!JK:JK),0)</f>
        <v>108331</v>
      </c>
      <c r="F58" s="21">
        <f t="shared" si="3"/>
        <v>1.05</v>
      </c>
    </row>
    <row r="59" spans="1:6" x14ac:dyDescent="0.2">
      <c r="A59" s="19">
        <v>24</v>
      </c>
      <c r="B59" s="181" t="s">
        <v>21</v>
      </c>
      <c r="C59" s="182"/>
      <c r="D59" s="14">
        <f>IF(F3="1",SUMIF(Data!A:A,'8'!$A$2,Data!DR:DR),0)</f>
        <v>156567</v>
      </c>
      <c r="E59" s="17">
        <f>IF($F$3="1",SUMIF(Data!$A:$A,$A$2,Data!JL:JL),0)</f>
        <v>93851</v>
      </c>
      <c r="F59" s="21">
        <f t="shared" si="3"/>
        <v>0.6</v>
      </c>
    </row>
    <row r="60" spans="1:6" x14ac:dyDescent="0.2">
      <c r="A60" s="19">
        <v>25</v>
      </c>
      <c r="B60" s="181" t="s">
        <v>22</v>
      </c>
      <c r="C60" s="182"/>
      <c r="D60" s="14">
        <f>IF(F3="1",SUMIF(Data!A:A,'8'!$A$2,Data!DS:DS),0)</f>
        <v>832512</v>
      </c>
      <c r="E60" s="17">
        <f>IF($F$3="1",SUMIF(Data!$A:$A,$A$2,Data!JM:JM),0)</f>
        <v>67889</v>
      </c>
      <c r="F60" s="21">
        <f t="shared" si="3"/>
        <v>0.08</v>
      </c>
    </row>
    <row r="61" spans="1:6" x14ac:dyDescent="0.2">
      <c r="A61" s="19">
        <v>26</v>
      </c>
      <c r="B61" s="181" t="s">
        <v>23</v>
      </c>
      <c r="C61" s="182"/>
      <c r="D61" s="14">
        <f>IF(F3="1",SUMIF(Data!A:A,'8'!$A$2,Data!DT:DT),0)</f>
        <v>109392</v>
      </c>
      <c r="E61" s="17">
        <f>IF($F$3="1",SUMIF(Data!$A:$A,$A$2,Data!JN:JN),0)</f>
        <v>62167</v>
      </c>
      <c r="F61" s="21">
        <f t="shared" si="3"/>
        <v>0.56999999999999995</v>
      </c>
    </row>
    <row r="62" spans="1:6" x14ac:dyDescent="0.2">
      <c r="A62" s="19">
        <v>28</v>
      </c>
      <c r="B62" s="181" t="s">
        <v>24</v>
      </c>
      <c r="C62" s="182"/>
      <c r="D62" s="14">
        <f>IF(F3="1",SUMIF(Data!A:A,'8'!$A$2,Data!DV:DV),0)</f>
        <v>0</v>
      </c>
      <c r="E62" s="17">
        <f>IF($F$3="1",SUMIF(Data!$A:$A,$A$2,Data!JP:JP),0)</f>
        <v>0</v>
      </c>
      <c r="F62" s="21" t="str">
        <f t="shared" si="3"/>
        <v/>
      </c>
    </row>
    <row r="63" spans="1:6" ht="15.75" customHeight="1" thickBot="1" x14ac:dyDescent="0.25">
      <c r="A63" s="22">
        <v>29</v>
      </c>
      <c r="B63" s="183" t="s">
        <v>25</v>
      </c>
      <c r="C63" s="184"/>
      <c r="D63" s="23">
        <f>IF(F3="1",SUMIF(Data!A:A,'8'!$A$2,Data!DW:DW),0)</f>
        <v>0</v>
      </c>
      <c r="E63" s="24">
        <f>IF($F$3="1",SUMIF(Data!$A:$A,$A$2,Data!JQ:JQ),0)</f>
        <v>0</v>
      </c>
      <c r="F63" s="25" t="str">
        <f t="shared" si="3"/>
        <v/>
      </c>
    </row>
    <row r="64" spans="1:6" x14ac:dyDescent="0.2">
      <c r="B64" s="30" t="s">
        <v>35</v>
      </c>
      <c r="C64" s="30"/>
      <c r="D64" s="59">
        <f>SUM(D36:D63)</f>
        <v>4957750</v>
      </c>
      <c r="E64" s="31">
        <f>SUM(E36:E63)</f>
        <v>3660992</v>
      </c>
      <c r="F64" s="32">
        <f t="shared" si="3"/>
        <v>0.74</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34952</v>
      </c>
      <c r="E67" s="15">
        <f>IF(F3="1",SUMIF(Data!A:A,'8'!$A$2,Data!DY:DY),0)</f>
        <v>63112</v>
      </c>
      <c r="F67" s="20">
        <f t="shared" ref="F67:F95" si="4">IF(OR(D67=0,E67=0),"",ROUND(E67/D67,2))</f>
        <v>1.81</v>
      </c>
    </row>
    <row r="68" spans="1:6" x14ac:dyDescent="0.2">
      <c r="A68" s="19">
        <v>2</v>
      </c>
      <c r="B68" s="181" t="s">
        <v>1</v>
      </c>
      <c r="C68" s="182"/>
      <c r="D68" s="14">
        <f t="shared" ref="D68:D94" si="5">D37</f>
        <v>120436</v>
      </c>
      <c r="E68" s="17">
        <f>IF(F3="1",SUMIF(Data!A:A,'8'!$A$2,Data!DZ:DZ),0)</f>
        <v>256545</v>
      </c>
      <c r="F68" s="21">
        <f t="shared" si="4"/>
        <v>2.13</v>
      </c>
    </row>
    <row r="69" spans="1:6" ht="14.25" customHeight="1" x14ac:dyDescent="0.2">
      <c r="A69" s="19">
        <v>3</v>
      </c>
      <c r="B69" s="181" t="s">
        <v>2</v>
      </c>
      <c r="C69" s="182"/>
      <c r="D69" s="14">
        <f t="shared" si="5"/>
        <v>219888</v>
      </c>
      <c r="E69" s="17">
        <f>IF(F3="1",SUMIF(Data!A:A,'8'!$A$2,Data!EA:EA),0)</f>
        <v>581813</v>
      </c>
      <c r="F69" s="21">
        <f t="shared" si="4"/>
        <v>2.65</v>
      </c>
    </row>
    <row r="70" spans="1:6" ht="14.25" customHeight="1" x14ac:dyDescent="0.2">
      <c r="A70" s="19">
        <v>4</v>
      </c>
      <c r="B70" s="181" t="s">
        <v>3</v>
      </c>
      <c r="C70" s="182"/>
      <c r="D70" s="14">
        <f t="shared" si="5"/>
        <v>597013</v>
      </c>
      <c r="E70" s="17">
        <f>IF(F3="1",SUMIF(Data!A:A,'8'!$A$2,Data!EB:EB),0)</f>
        <v>978110</v>
      </c>
      <c r="F70" s="21">
        <f t="shared" si="4"/>
        <v>1.64</v>
      </c>
    </row>
    <row r="71" spans="1:6" x14ac:dyDescent="0.2">
      <c r="A71" s="19">
        <v>5</v>
      </c>
      <c r="B71" s="181" t="s">
        <v>4</v>
      </c>
      <c r="C71" s="182"/>
      <c r="D71" s="14">
        <f t="shared" si="5"/>
        <v>31760</v>
      </c>
      <c r="E71" s="17">
        <f>IF(F3="1",SUMIF(Data!A:A,'8'!$A$2,Data!EC:EC),0)</f>
        <v>231470</v>
      </c>
      <c r="F71" s="21">
        <f t="shared" si="4"/>
        <v>7.29</v>
      </c>
    </row>
    <row r="72" spans="1:6" x14ac:dyDescent="0.2">
      <c r="A72" s="19">
        <v>6</v>
      </c>
      <c r="B72" s="181" t="s">
        <v>5</v>
      </c>
      <c r="C72" s="182"/>
      <c r="D72" s="14">
        <f t="shared" si="5"/>
        <v>9952</v>
      </c>
      <c r="E72" s="17">
        <f>IF(F3="1",SUMIF(Data!A:A,'8'!$A$2,Data!ED:ED),0)</f>
        <v>18112</v>
      </c>
      <c r="F72" s="21">
        <f t="shared" si="4"/>
        <v>1.82</v>
      </c>
    </row>
    <row r="73" spans="1:6" x14ac:dyDescent="0.2">
      <c r="A73" s="19">
        <v>7</v>
      </c>
      <c r="B73" s="181" t="s">
        <v>6</v>
      </c>
      <c r="C73" s="182"/>
      <c r="D73" s="14">
        <f t="shared" si="5"/>
        <v>502944</v>
      </c>
      <c r="E73" s="17">
        <f>IF(F3="1",SUMIF(Data!A:A,'8'!$A$2,Data!EE:EE),0)</f>
        <v>516027</v>
      </c>
      <c r="F73" s="21">
        <f t="shared" si="4"/>
        <v>1.03</v>
      </c>
    </row>
    <row r="74" spans="1:6" x14ac:dyDescent="0.2">
      <c r="A74" s="19">
        <v>8</v>
      </c>
      <c r="B74" s="181" t="s">
        <v>7</v>
      </c>
      <c r="C74" s="182"/>
      <c r="D74" s="14">
        <f t="shared" si="5"/>
        <v>46160</v>
      </c>
      <c r="E74" s="17">
        <f>IF(F3="1",SUMIF(Data!A:A,'8'!$A$2,Data!EF:EF),0)</f>
        <v>52452</v>
      </c>
      <c r="F74" s="21">
        <f t="shared" si="4"/>
        <v>1.1399999999999999</v>
      </c>
    </row>
    <row r="75" spans="1:6" x14ac:dyDescent="0.2">
      <c r="A75" s="19">
        <v>9</v>
      </c>
      <c r="B75" s="181" t="s">
        <v>8</v>
      </c>
      <c r="C75" s="182"/>
      <c r="D75" s="14">
        <f t="shared" si="5"/>
        <v>336898</v>
      </c>
      <c r="E75" s="17">
        <f>IF(F3="1",SUMIF(Data!A:A,'8'!$A$2,Data!EG:EG),0)</f>
        <v>328552</v>
      </c>
      <c r="F75" s="21">
        <f t="shared" si="4"/>
        <v>0.98</v>
      </c>
    </row>
    <row r="76" spans="1:6" x14ac:dyDescent="0.2">
      <c r="A76" s="19">
        <v>10</v>
      </c>
      <c r="B76" s="181" t="s">
        <v>9</v>
      </c>
      <c r="C76" s="182"/>
      <c r="D76" s="14">
        <f t="shared" si="5"/>
        <v>0</v>
      </c>
      <c r="E76" s="17">
        <f>IF(F3="1",SUMIF(Data!A:A,'8'!$A$2,Data!EH:EH),0)</f>
        <v>0</v>
      </c>
      <c r="F76" s="21" t="str">
        <f t="shared" si="4"/>
        <v/>
      </c>
    </row>
    <row r="77" spans="1:6" x14ac:dyDescent="0.2">
      <c r="A77" s="19">
        <v>11</v>
      </c>
      <c r="B77" s="181" t="s">
        <v>10</v>
      </c>
      <c r="C77" s="182"/>
      <c r="D77" s="14">
        <f t="shared" si="5"/>
        <v>171170</v>
      </c>
      <c r="E77" s="17">
        <f>IF(F3="1",SUMIF(Data!A:A,'8'!$A$2,Data!EI:EI),0)</f>
        <v>290449</v>
      </c>
      <c r="F77" s="21">
        <f t="shared" si="4"/>
        <v>1.7</v>
      </c>
    </row>
    <row r="78" spans="1:6" ht="14.25" customHeight="1" x14ac:dyDescent="0.2">
      <c r="A78" s="19">
        <v>12</v>
      </c>
      <c r="B78" s="181" t="s">
        <v>11</v>
      </c>
      <c r="C78" s="182"/>
      <c r="D78" s="14">
        <f t="shared" si="5"/>
        <v>557272</v>
      </c>
      <c r="E78" s="17">
        <f>IF(F3="1",SUMIF(Data!A:A,'8'!$A$2,Data!EJ:EJ),0)</f>
        <v>1254619</v>
      </c>
      <c r="F78" s="21">
        <f t="shared" si="4"/>
        <v>2.25</v>
      </c>
    </row>
    <row r="79" spans="1:6" x14ac:dyDescent="0.2">
      <c r="A79" s="19">
        <v>13</v>
      </c>
      <c r="B79" s="181" t="s">
        <v>12</v>
      </c>
      <c r="C79" s="182"/>
      <c r="D79" s="14">
        <f t="shared" si="5"/>
        <v>64768</v>
      </c>
      <c r="E79" s="17">
        <f>IF(F3="1",SUMIF(Data!A:A,'8'!$A$2,Data!EK:EK),0)</f>
        <v>140887</v>
      </c>
      <c r="F79" s="21">
        <f t="shared" si="4"/>
        <v>2.1800000000000002</v>
      </c>
    </row>
    <row r="80" spans="1:6" ht="14.25" customHeight="1" x14ac:dyDescent="0.2">
      <c r="A80" s="19">
        <v>14</v>
      </c>
      <c r="B80" s="181" t="s">
        <v>464</v>
      </c>
      <c r="C80" s="182"/>
      <c r="D80" s="14">
        <f t="shared" si="5"/>
        <v>187888</v>
      </c>
      <c r="E80" s="17">
        <f>IF(F3="1",SUMIF(Data!A:A,'8'!$A$2,Data!EL:EL),0)</f>
        <v>1031191</v>
      </c>
      <c r="F80" s="21">
        <f t="shared" si="4"/>
        <v>5.49</v>
      </c>
    </row>
    <row r="81" spans="1:6" x14ac:dyDescent="0.2">
      <c r="A81" s="19">
        <v>15</v>
      </c>
      <c r="B81" s="181" t="s">
        <v>13</v>
      </c>
      <c r="C81" s="182"/>
      <c r="D81" s="14">
        <f t="shared" si="5"/>
        <v>0</v>
      </c>
      <c r="E81" s="17">
        <f>IF(F3="1",SUMIF(Data!A:A,'8'!$A$2,Data!EM:EM),0)</f>
        <v>0</v>
      </c>
      <c r="F81" s="21" t="str">
        <f t="shared" si="4"/>
        <v/>
      </c>
    </row>
    <row r="82" spans="1:6" x14ac:dyDescent="0.2">
      <c r="A82" s="19">
        <v>16</v>
      </c>
      <c r="B82" s="181" t="s">
        <v>14</v>
      </c>
      <c r="C82" s="182"/>
      <c r="D82" s="14">
        <f t="shared" si="5"/>
        <v>91116</v>
      </c>
      <c r="E82" s="17">
        <f>IF(F3="1",SUMIF(Data!A:A,'8'!$A$2,Data!EN:EN),0)</f>
        <v>403830</v>
      </c>
      <c r="F82" s="21">
        <f t="shared" si="4"/>
        <v>4.43</v>
      </c>
    </row>
    <row r="83" spans="1:6" x14ac:dyDescent="0.2">
      <c r="A83" s="19">
        <v>17</v>
      </c>
      <c r="B83" s="181" t="s">
        <v>15</v>
      </c>
      <c r="C83" s="182"/>
      <c r="D83" s="14">
        <f t="shared" si="5"/>
        <v>0</v>
      </c>
      <c r="E83" s="17">
        <f>IF(F3="1",SUMIF(Data!A:A,'8'!$A$2,Data!EO:EO),0)</f>
        <v>0</v>
      </c>
      <c r="F83" s="21" t="str">
        <f t="shared" si="4"/>
        <v/>
      </c>
    </row>
    <row r="84" spans="1:6" x14ac:dyDescent="0.2">
      <c r="A84" s="19">
        <v>18</v>
      </c>
      <c r="B84" s="181" t="s">
        <v>16</v>
      </c>
      <c r="C84" s="182"/>
      <c r="D84" s="14">
        <f t="shared" si="5"/>
        <v>134208</v>
      </c>
      <c r="E84" s="17">
        <f>IF(F3="1",SUMIF(Data!A:A,'8'!$A$2,Data!EP:EP),0)</f>
        <v>391289</v>
      </c>
      <c r="F84" s="21">
        <f t="shared" si="4"/>
        <v>2.92</v>
      </c>
    </row>
    <row r="85" spans="1:6" x14ac:dyDescent="0.2">
      <c r="A85" s="19">
        <v>19</v>
      </c>
      <c r="B85" s="181" t="s">
        <v>17</v>
      </c>
      <c r="C85" s="182"/>
      <c r="D85" s="14">
        <f t="shared" si="5"/>
        <v>541336</v>
      </c>
      <c r="E85" s="17">
        <f>IF(F3="1",SUMIF(Data!A:A,'8'!$A$2,Data!EQ:EQ),0)</f>
        <v>733889</v>
      </c>
      <c r="F85" s="21">
        <f t="shared" si="4"/>
        <v>1.36</v>
      </c>
    </row>
    <row r="86" spans="1:6" x14ac:dyDescent="0.2">
      <c r="A86" s="19">
        <v>20</v>
      </c>
      <c r="B86" s="181" t="s">
        <v>18</v>
      </c>
      <c r="C86" s="182"/>
      <c r="D86" s="14">
        <f t="shared" si="5"/>
        <v>73488</v>
      </c>
      <c r="E86" s="17">
        <f>IF(F3="1",SUMIF(Data!A:A,'8'!$A$2,Data!ER:ER),0)</f>
        <v>114115</v>
      </c>
      <c r="F86" s="21">
        <f t="shared" si="4"/>
        <v>1.55</v>
      </c>
    </row>
    <row r="87" spans="1:6" ht="14.25" customHeight="1" x14ac:dyDescent="0.2">
      <c r="A87" s="19">
        <v>21</v>
      </c>
      <c r="B87" s="181" t="s">
        <v>461</v>
      </c>
      <c r="C87" s="182"/>
      <c r="D87" s="14">
        <f t="shared" si="5"/>
        <v>34142</v>
      </c>
      <c r="E87" s="17">
        <f>IF(F3="1",SUMIF(Data!A:A,'8'!$A$2,Data!ES:ES),0)</f>
        <v>49930</v>
      </c>
      <c r="F87" s="21">
        <f t="shared" si="4"/>
        <v>1.46</v>
      </c>
    </row>
    <row r="88" spans="1:6" x14ac:dyDescent="0.2">
      <c r="A88" s="19">
        <v>22</v>
      </c>
      <c r="B88" s="181" t="s">
        <v>19</v>
      </c>
      <c r="C88" s="182"/>
      <c r="D88" s="14">
        <f t="shared" si="5"/>
        <v>864</v>
      </c>
      <c r="E88" s="17">
        <f>IF(F3="1",SUMIF(Data!A:A,'8'!$A$2,Data!ET:ET),0)</f>
        <v>1400</v>
      </c>
      <c r="F88" s="21">
        <f t="shared" si="4"/>
        <v>1.62</v>
      </c>
    </row>
    <row r="89" spans="1:6" x14ac:dyDescent="0.2">
      <c r="A89" s="19">
        <v>23</v>
      </c>
      <c r="B89" s="181" t="s">
        <v>20</v>
      </c>
      <c r="C89" s="182"/>
      <c r="D89" s="14">
        <f t="shared" si="5"/>
        <v>103024</v>
      </c>
      <c r="E89" s="17">
        <f>IF(F3="1",SUMIF(Data!A:A,'8'!$A$2,Data!EU:EU),0)</f>
        <v>254361</v>
      </c>
      <c r="F89" s="21">
        <f t="shared" si="4"/>
        <v>2.4700000000000002</v>
      </c>
    </row>
    <row r="90" spans="1:6" x14ac:dyDescent="0.2">
      <c r="A90" s="19">
        <v>24</v>
      </c>
      <c r="B90" s="181" t="s">
        <v>21</v>
      </c>
      <c r="C90" s="182"/>
      <c r="D90" s="14">
        <f t="shared" si="5"/>
        <v>156567</v>
      </c>
      <c r="E90" s="17">
        <f>IF(F3="1",SUMIF(Data!A:A,'8'!$A$2,Data!EV:EV),0)</f>
        <v>182557</v>
      </c>
      <c r="F90" s="21">
        <f t="shared" si="4"/>
        <v>1.17</v>
      </c>
    </row>
    <row r="91" spans="1:6" x14ac:dyDescent="0.2">
      <c r="A91" s="19">
        <v>25</v>
      </c>
      <c r="B91" s="181" t="s">
        <v>22</v>
      </c>
      <c r="C91" s="182"/>
      <c r="D91" s="14">
        <f t="shared" si="5"/>
        <v>832512</v>
      </c>
      <c r="E91" s="17">
        <f>IF(F3="1",SUMIF(Data!A:A,'8'!$A$2,Data!EW:EW),0)</f>
        <v>977689</v>
      </c>
      <c r="F91" s="21">
        <f t="shared" si="4"/>
        <v>1.17</v>
      </c>
    </row>
    <row r="92" spans="1:6" x14ac:dyDescent="0.2">
      <c r="A92" s="19">
        <v>26</v>
      </c>
      <c r="B92" s="181" t="s">
        <v>23</v>
      </c>
      <c r="C92" s="182"/>
      <c r="D92" s="14">
        <f t="shared" si="5"/>
        <v>109392</v>
      </c>
      <c r="E92" s="17">
        <f>IF(F3="1",SUMIF(Data!A:A,'8'!$A$2,Data!EX:EX),0)</f>
        <v>261294</v>
      </c>
      <c r="F92" s="21">
        <f t="shared" si="4"/>
        <v>2.39</v>
      </c>
    </row>
    <row r="93" spans="1:6" x14ac:dyDescent="0.2">
      <c r="A93" s="19">
        <v>28</v>
      </c>
      <c r="B93" s="181" t="s">
        <v>24</v>
      </c>
      <c r="C93" s="182"/>
      <c r="D93" s="14">
        <f t="shared" si="5"/>
        <v>0</v>
      </c>
      <c r="E93" s="17">
        <f>IF(F3="1",SUMIF(Data!A:A,'8'!$A$2,Data!EZ:EZ),0)</f>
        <v>0</v>
      </c>
      <c r="F93" s="21" t="str">
        <f t="shared" si="4"/>
        <v/>
      </c>
    </row>
    <row r="94" spans="1:6" ht="15.75" customHeight="1" thickBot="1" x14ac:dyDescent="0.25">
      <c r="A94" s="22">
        <v>29</v>
      </c>
      <c r="B94" s="183" t="s">
        <v>25</v>
      </c>
      <c r="C94" s="184"/>
      <c r="D94" s="23">
        <f t="shared" si="5"/>
        <v>0</v>
      </c>
      <c r="E94" s="24">
        <f>IF(F3="1",SUMIF(Data!A:A,'8'!$A$2,Data!FA:FA),0)</f>
        <v>0</v>
      </c>
      <c r="F94" s="25" t="str">
        <f t="shared" si="4"/>
        <v/>
      </c>
    </row>
    <row r="95" spans="1:6" x14ac:dyDescent="0.2">
      <c r="B95" s="30" t="s">
        <v>35</v>
      </c>
      <c r="C95" s="30"/>
      <c r="D95" s="59">
        <f>SUM(D67:D94)</f>
        <v>4957750</v>
      </c>
      <c r="E95" s="31">
        <f>SUM(E67:E94)</f>
        <v>9113693</v>
      </c>
      <c r="F95" s="32">
        <f t="shared" si="4"/>
        <v>1.84</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IF(F3="1",SUMIF(Data!A:A,'8'!$A$2,Data!AH:AH),0)</f>
        <v>3935347</v>
      </c>
      <c r="F98" s="20">
        <f>IF(OR(E98=0,E98=0),"",ROUND(E98/$D$105,2))</f>
        <v>0.79</v>
      </c>
    </row>
    <row r="99" spans="2:6" x14ac:dyDescent="0.2">
      <c r="B99" s="187" t="s">
        <v>31</v>
      </c>
      <c r="C99" s="188"/>
      <c r="D99" s="36"/>
      <c r="E99" s="17">
        <f>IF(F3="1",SUMIF(Data!A:A,'8'!$A$2,Data!AI:AI),0)</f>
        <v>1900165</v>
      </c>
      <c r="F99" s="21">
        <f t="shared" ref="F99:F104" si="6">IF(OR(E99=0,E99=0),"",ROUND(E99/$D$105,2))</f>
        <v>0.38</v>
      </c>
    </row>
    <row r="100" spans="2:6" x14ac:dyDescent="0.2">
      <c r="B100" s="187" t="s">
        <v>1078</v>
      </c>
      <c r="C100" s="188"/>
      <c r="D100" s="36"/>
      <c r="E100" s="17">
        <f>IF(F3="1",SUMIF(Data!A:A,'8'!$A$2,Data!AJ:AJ),0)</f>
        <v>666352</v>
      </c>
      <c r="F100" s="21">
        <f t="shared" si="6"/>
        <v>0.13</v>
      </c>
    </row>
    <row r="101" spans="2:6" x14ac:dyDescent="0.2">
      <c r="B101" s="187" t="s">
        <v>1079</v>
      </c>
      <c r="C101" s="188"/>
      <c r="D101" s="36"/>
      <c r="E101" s="17">
        <f>IF(F3="1",SUMIF(Data!A:A,'8'!$A$2,Data!AK:AK),0)</f>
        <v>659407</v>
      </c>
      <c r="F101" s="21">
        <f t="shared" si="6"/>
        <v>0.13</v>
      </c>
    </row>
    <row r="102" spans="2:6" x14ac:dyDescent="0.2">
      <c r="B102" s="187" t="s">
        <v>1080</v>
      </c>
      <c r="C102" s="188"/>
      <c r="D102" s="36"/>
      <c r="E102" s="17">
        <f>IF(F3="1",SUMIF(Data!A:A,'8'!$A$2,Data!AL:AL),0)</f>
        <v>166138</v>
      </c>
      <c r="F102" s="21">
        <f t="shared" si="6"/>
        <v>0.03</v>
      </c>
    </row>
    <row r="103" spans="2:6" x14ac:dyDescent="0.2">
      <c r="B103" s="189" t="s">
        <v>34</v>
      </c>
      <c r="C103" s="190"/>
      <c r="D103" s="36"/>
      <c r="E103" s="17">
        <f>IF(F3="1",SUMIF(Data!A:A,'8'!$A$2,Data!AM:AM),0)</f>
        <v>0</v>
      </c>
      <c r="F103" s="21" t="str">
        <f t="shared" si="6"/>
        <v/>
      </c>
    </row>
    <row r="104" spans="2:6" ht="15.75" customHeight="1" thickBot="1" x14ac:dyDescent="0.25">
      <c r="B104" s="179" t="s">
        <v>29</v>
      </c>
      <c r="C104" s="180"/>
      <c r="D104" s="37"/>
      <c r="E104" s="24">
        <f>IF(F3="1",SUMIF(Data!A:A,'8'!$A$2,Data!Q:Q),0)</f>
        <v>2544623</v>
      </c>
      <c r="F104" s="25">
        <f t="shared" si="6"/>
        <v>0.51</v>
      </c>
    </row>
    <row r="105" spans="2:6" x14ac:dyDescent="0.2">
      <c r="B105" s="30" t="s">
        <v>35</v>
      </c>
      <c r="C105" s="30"/>
      <c r="D105" s="34">
        <f>D95</f>
        <v>4957750</v>
      </c>
      <c r="E105" s="31">
        <f>SUM(E98:E104)</f>
        <v>9872032</v>
      </c>
      <c r="F105" s="32">
        <f>IF($D$105=0,"",ROUND(E105/$D$105,2))</f>
        <v>1.99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9113693</v>
      </c>
      <c r="D109" s="15">
        <f>IF(F3="1",SUMIF(Data!$A:$A,$A$2,Data!HJ:HJ),0)</f>
        <v>0</v>
      </c>
      <c r="E109" s="15">
        <f>IF(F3="1",SUMIF(Data!$A:$A,$A$2,Data!IN:IN),0)</f>
        <v>0</v>
      </c>
      <c r="F109" s="47">
        <f>SUM(C109:E109)</f>
        <v>9113693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166138</v>
      </c>
      <c r="F116" s="48">
        <f t="shared" si="7"/>
        <v>166138</v>
      </c>
    </row>
    <row r="117" spans="1:6" ht="15" thickBot="1" x14ac:dyDescent="0.25">
      <c r="B117" s="43" t="s">
        <v>933</v>
      </c>
      <c r="C117" s="52"/>
      <c r="D117" s="52">
        <f>IF(F3="1",SUMIF(Data!A:A,$A$2,Data!Q:Q),0)</f>
        <v>2544623</v>
      </c>
      <c r="E117" s="52"/>
      <c r="F117" s="49">
        <f>SUM(C117:E117)</f>
        <v>2544623</v>
      </c>
    </row>
    <row r="118" spans="1:6" x14ac:dyDescent="0.2">
      <c r="B118" s="13" t="s">
        <v>35</v>
      </c>
      <c r="C118" s="4">
        <f>SUM(C109:C116)</f>
        <v>9113693</v>
      </c>
      <c r="D118" s="4">
        <f>SUM(D109:D116)</f>
        <v>0</v>
      </c>
      <c r="E118" s="4">
        <f>SUM(E109:E116)</f>
        <v>166138</v>
      </c>
      <c r="F118" s="4">
        <f>SUM(F109:F116)</f>
        <v>9279831</v>
      </c>
    </row>
    <row r="119" spans="1:6" ht="15" thickBot="1" x14ac:dyDescent="0.25"/>
    <row r="120" spans="1:6" ht="15" thickBot="1" x14ac:dyDescent="0.25">
      <c r="B120" s="55" t="s">
        <v>934</v>
      </c>
      <c r="C120" s="53"/>
      <c r="D120" s="53"/>
      <c r="E120" s="53">
        <f>IF(F3="1",SUMIF(Data!A:A,'8'!$A$2,Data!AM:AM),0)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358</v>
      </c>
      <c r="B2" s="58" t="str">
        <f>VLOOKUP(A2,Data!A:G,7,0)</f>
        <v>Cisco Junior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8080</v>
      </c>
      <c r="E5" s="15">
        <f>E36+E67+IFERROR($E$105/$D$105*D5,0)</f>
        <v>71877.120282390868</v>
      </c>
      <c r="F5" s="20">
        <f>IF(OR(D5=0,E5=0),"",ROUND(E5/D5,2))</f>
        <v>8.9</v>
      </c>
    </row>
    <row r="6" spans="1:6" x14ac:dyDescent="0.2">
      <c r="A6" s="19">
        <v>2</v>
      </c>
      <c r="B6" s="181" t="s">
        <v>1</v>
      </c>
      <c r="C6" s="182"/>
      <c r="D6" s="14">
        <f t="shared" ref="D6:D32" si="0">D37</f>
        <v>8829</v>
      </c>
      <c r="E6" s="17">
        <f t="shared" ref="E6:E32" si="1">E37+E68+IFERROR($E$105/$D$105*D6,0)</f>
        <v>41135.042942231303</v>
      </c>
      <c r="F6" s="21">
        <f t="shared" ref="F6:F33" si="2">IF(OR(D6=0,E6=0),"",ROUND(E6/D6,2))</f>
        <v>4.66</v>
      </c>
    </row>
    <row r="7" spans="1:6" ht="14.25" customHeight="1" x14ac:dyDescent="0.2">
      <c r="A7" s="19">
        <v>3</v>
      </c>
      <c r="B7" s="181" t="s">
        <v>2</v>
      </c>
      <c r="C7" s="182"/>
      <c r="D7" s="14">
        <f t="shared" si="0"/>
        <v>136960</v>
      </c>
      <c r="E7" s="17">
        <f t="shared" si="1"/>
        <v>478382.28637082339</v>
      </c>
      <c r="F7" s="21">
        <f t="shared" si="2"/>
        <v>3.49</v>
      </c>
    </row>
    <row r="8" spans="1:6" ht="14.25" customHeight="1" x14ac:dyDescent="0.2">
      <c r="A8" s="19">
        <v>4</v>
      </c>
      <c r="B8" s="181" t="s">
        <v>3</v>
      </c>
      <c r="C8" s="182"/>
      <c r="D8" s="14">
        <f t="shared" si="0"/>
        <v>83384</v>
      </c>
      <c r="E8" s="17">
        <f t="shared" si="1"/>
        <v>350065.64228055446</v>
      </c>
      <c r="F8" s="21">
        <f t="shared" si="2"/>
        <v>4.2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0</v>
      </c>
      <c r="E10" s="17">
        <f t="shared" si="1"/>
        <v>0</v>
      </c>
      <c r="F10" s="21" t="str">
        <f t="shared" si="2"/>
        <v/>
      </c>
    </row>
    <row r="11" spans="1:6" x14ac:dyDescent="0.2">
      <c r="A11" s="19">
        <v>7</v>
      </c>
      <c r="B11" s="181" t="s">
        <v>6</v>
      </c>
      <c r="C11" s="182"/>
      <c r="D11" s="14">
        <f t="shared" si="0"/>
        <v>48788</v>
      </c>
      <c r="E11" s="17">
        <f t="shared" si="1"/>
        <v>197411.03568530764</v>
      </c>
      <c r="F11" s="21">
        <f t="shared" si="2"/>
        <v>4.05</v>
      </c>
    </row>
    <row r="12" spans="1:6" x14ac:dyDescent="0.2">
      <c r="A12" s="19">
        <v>8</v>
      </c>
      <c r="B12" s="181" t="s">
        <v>7</v>
      </c>
      <c r="C12" s="182"/>
      <c r="D12" s="14">
        <f t="shared" si="0"/>
        <v>4640</v>
      </c>
      <c r="E12" s="17">
        <f t="shared" si="1"/>
        <v>21618.197785927427</v>
      </c>
      <c r="F12" s="21">
        <f t="shared" si="2"/>
        <v>4.66</v>
      </c>
    </row>
    <row r="13" spans="1:6" x14ac:dyDescent="0.2">
      <c r="A13" s="19">
        <v>9</v>
      </c>
      <c r="B13" s="181" t="s">
        <v>8</v>
      </c>
      <c r="C13" s="182"/>
      <c r="D13" s="14">
        <f t="shared" si="0"/>
        <v>54440</v>
      </c>
      <c r="E13" s="17">
        <f t="shared" si="1"/>
        <v>192228.12229868301</v>
      </c>
      <c r="F13" s="21">
        <f t="shared" si="2"/>
        <v>3.53</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9888</v>
      </c>
      <c r="E15" s="17">
        <f t="shared" si="1"/>
        <v>46070.028385183279</v>
      </c>
      <c r="F15" s="21">
        <f t="shared" si="2"/>
        <v>4.66</v>
      </c>
    </row>
    <row r="16" spans="1:6" ht="14.25" customHeight="1" x14ac:dyDescent="0.2">
      <c r="A16" s="19">
        <v>12</v>
      </c>
      <c r="B16" s="181" t="s">
        <v>11</v>
      </c>
      <c r="C16" s="182"/>
      <c r="D16" s="14">
        <f t="shared" si="0"/>
        <v>209568</v>
      </c>
      <c r="E16" s="17">
        <f t="shared" si="1"/>
        <v>804438.43655199115</v>
      </c>
      <c r="F16" s="21">
        <f t="shared" si="2"/>
        <v>3.84</v>
      </c>
    </row>
    <row r="17" spans="1:6" x14ac:dyDescent="0.2">
      <c r="A17" s="19">
        <v>13</v>
      </c>
      <c r="B17" s="181" t="s">
        <v>12</v>
      </c>
      <c r="C17" s="182"/>
      <c r="D17" s="14">
        <f t="shared" si="0"/>
        <v>10704</v>
      </c>
      <c r="E17" s="17">
        <f t="shared" si="1"/>
        <v>57597.535582018791</v>
      </c>
      <c r="F17" s="21">
        <f t="shared" si="2"/>
        <v>5.38</v>
      </c>
    </row>
    <row r="18" spans="1:6" ht="14.25" customHeight="1" x14ac:dyDescent="0.2">
      <c r="A18" s="19">
        <v>14</v>
      </c>
      <c r="B18" s="181" t="s">
        <v>464</v>
      </c>
      <c r="C18" s="182"/>
      <c r="D18" s="14">
        <f t="shared" si="0"/>
        <v>30208</v>
      </c>
      <c r="E18" s="17">
        <f t="shared" si="1"/>
        <v>207108.75662010684</v>
      </c>
      <c r="F18" s="21">
        <f t="shared" si="2"/>
        <v>6.86</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53784</v>
      </c>
      <c r="E20" s="17">
        <f t="shared" si="1"/>
        <v>249315.51847377603</v>
      </c>
      <c r="F20" s="21">
        <f t="shared" si="2"/>
        <v>4.6399999999999997</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96784</v>
      </c>
      <c r="E22" s="17">
        <f t="shared" si="1"/>
        <v>441939.54967956897</v>
      </c>
      <c r="F22" s="21">
        <f t="shared" si="2"/>
        <v>4.57</v>
      </c>
    </row>
    <row r="23" spans="1:6" x14ac:dyDescent="0.2">
      <c r="A23" s="19">
        <v>19</v>
      </c>
      <c r="B23" s="181" t="s">
        <v>17</v>
      </c>
      <c r="C23" s="182"/>
      <c r="D23" s="14">
        <f t="shared" si="0"/>
        <v>124144</v>
      </c>
      <c r="E23" s="17">
        <f t="shared" si="1"/>
        <v>507258.02627934795</v>
      </c>
      <c r="F23" s="21">
        <f t="shared" si="2"/>
        <v>4.09</v>
      </c>
    </row>
    <row r="24" spans="1:6" x14ac:dyDescent="0.2">
      <c r="A24" s="19">
        <v>20</v>
      </c>
      <c r="B24" s="181" t="s">
        <v>18</v>
      </c>
      <c r="C24" s="182"/>
      <c r="D24" s="14">
        <f t="shared" si="0"/>
        <v>19648</v>
      </c>
      <c r="E24" s="17">
        <f t="shared" si="1"/>
        <v>127042.13407282373</v>
      </c>
      <c r="F24" s="21">
        <f t="shared" si="2"/>
        <v>6.47</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1440</v>
      </c>
      <c r="E26" s="17">
        <f t="shared" si="1"/>
        <v>94668.130347356782</v>
      </c>
      <c r="F26" s="21">
        <f t="shared" si="2"/>
        <v>65.739999999999995</v>
      </c>
    </row>
    <row r="27" spans="1:6" x14ac:dyDescent="0.2">
      <c r="A27" s="19">
        <v>23</v>
      </c>
      <c r="B27" s="181" t="s">
        <v>20</v>
      </c>
      <c r="C27" s="182"/>
      <c r="D27" s="14">
        <f t="shared" si="0"/>
        <v>55392</v>
      </c>
      <c r="E27" s="17">
        <f t="shared" si="1"/>
        <v>507777.54736165778</v>
      </c>
      <c r="F27" s="21">
        <f t="shared" si="2"/>
        <v>9.17</v>
      </c>
    </row>
    <row r="28" spans="1:6" x14ac:dyDescent="0.2">
      <c r="A28" s="19">
        <v>24</v>
      </c>
      <c r="B28" s="181" t="s">
        <v>21</v>
      </c>
      <c r="C28" s="182"/>
      <c r="D28" s="14">
        <f t="shared" si="0"/>
        <v>18912</v>
      </c>
      <c r="E28" s="17">
        <f t="shared" si="1"/>
        <v>113941.57856195248</v>
      </c>
      <c r="F28" s="21">
        <f t="shared" si="2"/>
        <v>6.02</v>
      </c>
    </row>
    <row r="29" spans="1:6" x14ac:dyDescent="0.2">
      <c r="A29" s="19">
        <v>25</v>
      </c>
      <c r="B29" s="181" t="s">
        <v>22</v>
      </c>
      <c r="C29" s="182"/>
      <c r="D29" s="14">
        <f t="shared" si="0"/>
        <v>256656</v>
      </c>
      <c r="E29" s="17">
        <f t="shared" si="1"/>
        <v>891489.99891055818</v>
      </c>
      <c r="F29" s="21">
        <f t="shared" si="2"/>
        <v>3.47</v>
      </c>
    </row>
    <row r="30" spans="1:6" x14ac:dyDescent="0.2">
      <c r="A30" s="19">
        <v>26</v>
      </c>
      <c r="B30" s="181" t="s">
        <v>23</v>
      </c>
      <c r="C30" s="182"/>
      <c r="D30" s="14">
        <f t="shared" si="0"/>
        <v>40880</v>
      </c>
      <c r="E30" s="17">
        <f t="shared" si="1"/>
        <v>291552.31152773992</v>
      </c>
      <c r="F30" s="21">
        <f t="shared" si="2"/>
        <v>7.13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1273129</v>
      </c>
      <c r="E33" s="31">
        <f>SUM(E5:E32)</f>
        <v>5692917</v>
      </c>
      <c r="F33" s="32">
        <f t="shared" si="2"/>
        <v>4.47</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IF(F3="1",SUMIF(Data!A:A,'9'!$A$2,Data!CU:CU),0)</f>
        <v>8080</v>
      </c>
      <c r="E36" s="15">
        <f>IF(F3="1",SUMIF(Data!$A:$A,$A$2,Data!IO:IO),0)</f>
        <v>6050</v>
      </c>
      <c r="F36" s="20">
        <f t="shared" ref="F36:F64" si="3">IF(OR(D36=0,E36=0),"",ROUND(E36/D36,2))</f>
        <v>0.75</v>
      </c>
    </row>
    <row r="37" spans="1:6" x14ac:dyDescent="0.2">
      <c r="A37" s="19">
        <v>2</v>
      </c>
      <c r="B37" s="181" t="s">
        <v>1</v>
      </c>
      <c r="C37" s="182"/>
      <c r="D37" s="14">
        <f>IF(F3="1",SUMIF(Data!A:A,'9'!$A$2,Data!CV:CV),0)</f>
        <v>8829</v>
      </c>
      <c r="E37" s="17">
        <f>IF(F3="1",SUMIF(Data!$A:$A,$A$2,Data!IP:IP),0)</f>
        <v>2315</v>
      </c>
      <c r="F37" s="21">
        <f t="shared" si="3"/>
        <v>0.26</v>
      </c>
    </row>
    <row r="38" spans="1:6" ht="14.25" customHeight="1" x14ac:dyDescent="0.2">
      <c r="A38" s="19">
        <v>3</v>
      </c>
      <c r="B38" s="181" t="s">
        <v>2</v>
      </c>
      <c r="C38" s="182"/>
      <c r="D38" s="14">
        <f>IF(F3="1",SUMIF(Data!A:A,'9'!$A$2,Data!CW:CW),0)</f>
        <v>136960</v>
      </c>
      <c r="E38" s="17">
        <f>IF($F$3="1",SUMIF(Data!$A:$A,$A$2,Data!IQ:IQ),0)</f>
        <v>26479</v>
      </c>
      <c r="F38" s="21">
        <f t="shared" si="3"/>
        <v>0.19</v>
      </c>
    </row>
    <row r="39" spans="1:6" ht="14.25" customHeight="1" x14ac:dyDescent="0.2">
      <c r="A39" s="19">
        <v>4</v>
      </c>
      <c r="B39" s="181" t="s">
        <v>3</v>
      </c>
      <c r="C39" s="182"/>
      <c r="D39" s="14">
        <f>IF(F3="1",SUMIF(Data!A:A,'9'!$A$2,Data!CX:CX),0)</f>
        <v>83384</v>
      </c>
      <c r="E39" s="17">
        <f>IF($F$3="1",SUMIF(Data!$A:$A,$A$2,Data!IR:IR),0)</f>
        <v>12692</v>
      </c>
      <c r="F39" s="21">
        <f t="shared" si="3"/>
        <v>0.15</v>
      </c>
    </row>
    <row r="40" spans="1:6" x14ac:dyDescent="0.2">
      <c r="A40" s="19">
        <v>5</v>
      </c>
      <c r="B40" s="181" t="s">
        <v>4</v>
      </c>
      <c r="C40" s="182"/>
      <c r="D40" s="14">
        <f>IF(F3="1",SUMIF(Data!A:A,'9'!$A$2,Data!CY:CY),0)</f>
        <v>0</v>
      </c>
      <c r="E40" s="17">
        <f>IF($F$3="1",SUMIF(Data!$A:$A,$A$2,Data!IS:IS),0)</f>
        <v>0</v>
      </c>
      <c r="F40" s="21" t="str">
        <f t="shared" si="3"/>
        <v/>
      </c>
    </row>
    <row r="41" spans="1:6" x14ac:dyDescent="0.2">
      <c r="A41" s="19">
        <v>6</v>
      </c>
      <c r="B41" s="181" t="s">
        <v>5</v>
      </c>
      <c r="C41" s="182"/>
      <c r="D41" s="14">
        <f>IF(F3="1",SUMIF(Data!A:A,'9'!$A$2,Data!CZ:CZ),0)</f>
        <v>0</v>
      </c>
      <c r="E41" s="17">
        <f>IF($F$3="1",SUMIF(Data!$A:$A,$A$2,Data!IT:IT),0)</f>
        <v>0</v>
      </c>
      <c r="F41" s="21" t="str">
        <f t="shared" si="3"/>
        <v/>
      </c>
    </row>
    <row r="42" spans="1:6" x14ac:dyDescent="0.2">
      <c r="A42" s="19">
        <v>7</v>
      </c>
      <c r="B42" s="181" t="s">
        <v>6</v>
      </c>
      <c r="C42" s="182"/>
      <c r="D42" s="14">
        <f>IF(F3="1",SUMIF(Data!A:A,'9'!$A$2,Data!DA:DA),0)</f>
        <v>48788</v>
      </c>
      <c r="E42" s="17">
        <f>IF($F$3="1",SUMIF(Data!$A:$A,$A$2,Data!IU:IU),0)</f>
        <v>3256</v>
      </c>
      <c r="F42" s="21">
        <f t="shared" si="3"/>
        <v>7.0000000000000007E-2</v>
      </c>
    </row>
    <row r="43" spans="1:6" x14ac:dyDescent="0.2">
      <c r="A43" s="19">
        <v>8</v>
      </c>
      <c r="B43" s="181" t="s">
        <v>7</v>
      </c>
      <c r="C43" s="182"/>
      <c r="D43" s="14">
        <f>IF(F3="1",SUMIF(Data!A:A,'9'!$A$2,Data!DB:DB),0)</f>
        <v>4640</v>
      </c>
      <c r="E43" s="17">
        <f>IF($F$3="1",SUMIF(Data!$A:$A,$A$2,Data!IV:IV),0)</f>
        <v>1217</v>
      </c>
      <c r="F43" s="21">
        <f t="shared" si="3"/>
        <v>0.26</v>
      </c>
    </row>
    <row r="44" spans="1:6" x14ac:dyDescent="0.2">
      <c r="A44" s="19">
        <v>9</v>
      </c>
      <c r="B44" s="181" t="s">
        <v>8</v>
      </c>
      <c r="C44" s="182"/>
      <c r="D44" s="14">
        <f>IF(F3="1",SUMIF(Data!A:A,'9'!$A$2,Data!DC:DC),0)</f>
        <v>54440</v>
      </c>
      <c r="E44" s="17">
        <f>IF($F$3="1",SUMIF(Data!$A:$A,$A$2,Data!IW:IW),0)</f>
        <v>20215</v>
      </c>
      <c r="F44" s="21">
        <f t="shared" si="3"/>
        <v>0.37</v>
      </c>
    </row>
    <row r="45" spans="1:6" x14ac:dyDescent="0.2">
      <c r="A45" s="19">
        <v>10</v>
      </c>
      <c r="B45" s="181" t="s">
        <v>9</v>
      </c>
      <c r="C45" s="182"/>
      <c r="D45" s="14">
        <f>IF(F3="1",SUMIF(Data!A:A,'9'!$A$2,Data!DD:DD),0)</f>
        <v>0</v>
      </c>
      <c r="E45" s="17">
        <f>IF($F$3="1",SUMIF(Data!$A:$A,$A$2,Data!IX:IX),0)</f>
        <v>0</v>
      </c>
      <c r="F45" s="21" t="str">
        <f t="shared" si="3"/>
        <v/>
      </c>
    </row>
    <row r="46" spans="1:6" x14ac:dyDescent="0.2">
      <c r="A46" s="19">
        <v>11</v>
      </c>
      <c r="B46" s="181" t="s">
        <v>10</v>
      </c>
      <c r="C46" s="182"/>
      <c r="D46" s="14">
        <f>IF(F3="1",SUMIF(Data!A:A,'9'!$A$2,Data!DE:DE),0)</f>
        <v>9888</v>
      </c>
      <c r="E46" s="17">
        <f>IF($F$3="1",SUMIF(Data!$A:$A,$A$2,Data!IY:IY),0)</f>
        <v>2593</v>
      </c>
      <c r="F46" s="21">
        <f t="shared" si="3"/>
        <v>0.26</v>
      </c>
    </row>
    <row r="47" spans="1:6" ht="14.25" customHeight="1" x14ac:dyDescent="0.2">
      <c r="A47" s="19">
        <v>12</v>
      </c>
      <c r="B47" s="181" t="s">
        <v>11</v>
      </c>
      <c r="C47" s="182"/>
      <c r="D47" s="14">
        <f>IF(F3="1",SUMIF(Data!A:A,'9'!$A$2,Data!DF:DF),0)</f>
        <v>209568</v>
      </c>
      <c r="E47" s="17">
        <f>IF($F$3="1",SUMIF(Data!$A:$A,$A$2,Data!IZ:IZ),0)</f>
        <v>17968</v>
      </c>
      <c r="F47" s="21">
        <f t="shared" si="3"/>
        <v>0.09</v>
      </c>
    </row>
    <row r="48" spans="1:6" x14ac:dyDescent="0.2">
      <c r="A48" s="19">
        <v>13</v>
      </c>
      <c r="B48" s="181" t="s">
        <v>12</v>
      </c>
      <c r="C48" s="182"/>
      <c r="D48" s="14">
        <f>IF(F3="1",SUMIF(Data!A:A,'9'!$A$2,Data!DG:DG),0)</f>
        <v>10704</v>
      </c>
      <c r="E48" s="17">
        <f>IF($F$3="1",SUMIF(Data!$A:$A,$A$2,Data!JA:JA),0)</f>
        <v>658</v>
      </c>
      <c r="F48" s="21">
        <f t="shared" si="3"/>
        <v>0.06</v>
      </c>
    </row>
    <row r="49" spans="1:6" ht="14.25" customHeight="1" x14ac:dyDescent="0.2">
      <c r="A49" s="19">
        <v>14</v>
      </c>
      <c r="B49" s="181" t="s">
        <v>464</v>
      </c>
      <c r="C49" s="182"/>
      <c r="D49" s="14">
        <f>IF(F3="1",SUMIF(Data!A:A,'9'!$A$2,Data!DH:DH),0)</f>
        <v>30208</v>
      </c>
      <c r="E49" s="17">
        <f>IF($F$3="1",SUMIF(Data!$A:$A,$A$2,Data!JB:JB),0)</f>
        <v>10447</v>
      </c>
      <c r="F49" s="21">
        <f t="shared" si="3"/>
        <v>0.35</v>
      </c>
    </row>
    <row r="50" spans="1:6" x14ac:dyDescent="0.2">
      <c r="A50" s="19">
        <v>15</v>
      </c>
      <c r="B50" s="181" t="s">
        <v>13</v>
      </c>
      <c r="C50" s="182"/>
      <c r="D50" s="14">
        <f>IF(F3="1",SUMIF(Data!A:A,'9'!$A$2,Data!DI:DI),0)</f>
        <v>0</v>
      </c>
      <c r="E50" s="17">
        <f>IF($F$3="1",SUMIF(Data!$A:$A,$A$2,Data!JC:JC),0)</f>
        <v>0</v>
      </c>
      <c r="F50" s="21" t="str">
        <f t="shared" si="3"/>
        <v/>
      </c>
    </row>
    <row r="51" spans="1:6" x14ac:dyDescent="0.2">
      <c r="A51" s="19">
        <v>16</v>
      </c>
      <c r="B51" s="181" t="s">
        <v>14</v>
      </c>
      <c r="C51" s="182"/>
      <c r="D51" s="14">
        <f>IF(F3="1",SUMIF(Data!A:A,'9'!$A$2,Data!DJ:DJ),0)</f>
        <v>53784</v>
      </c>
      <c r="E51" s="17">
        <f>IF($F$3="1",SUMIF(Data!$A:$A,$A$2,Data!JD:JD),0)</f>
        <v>4163</v>
      </c>
      <c r="F51" s="21">
        <f t="shared" si="3"/>
        <v>0.08</v>
      </c>
    </row>
    <row r="52" spans="1:6" x14ac:dyDescent="0.2">
      <c r="A52" s="19">
        <v>17</v>
      </c>
      <c r="B52" s="181" t="s">
        <v>15</v>
      </c>
      <c r="C52" s="182"/>
      <c r="D52" s="14">
        <f>IF(F3="1",SUMIF(Data!A:A,'9'!$A$2,Data!DK:DK),0)</f>
        <v>0</v>
      </c>
      <c r="E52" s="17">
        <f>IF($F$3="1",SUMIF(Data!$A:$A,$A$2,Data!JE:JE),0)</f>
        <v>0</v>
      </c>
      <c r="F52" s="21" t="str">
        <f t="shared" si="3"/>
        <v/>
      </c>
    </row>
    <row r="53" spans="1:6" x14ac:dyDescent="0.2">
      <c r="A53" s="19">
        <v>18</v>
      </c>
      <c r="B53" s="181" t="s">
        <v>16</v>
      </c>
      <c r="C53" s="182"/>
      <c r="D53" s="14">
        <f>IF(F3="1",SUMIF(Data!A:A,'9'!$A$2,Data!DL:DL),0)</f>
        <v>96784</v>
      </c>
      <c r="E53" s="17">
        <f>IF($F$3="1",SUMIF(Data!$A:$A,$A$2,Data!JF:JF),0)</f>
        <v>16600</v>
      </c>
      <c r="F53" s="21">
        <f t="shared" si="3"/>
        <v>0.17</v>
      </c>
    </row>
    <row r="54" spans="1:6" x14ac:dyDescent="0.2">
      <c r="A54" s="19">
        <v>19</v>
      </c>
      <c r="B54" s="181" t="s">
        <v>17</v>
      </c>
      <c r="C54" s="182"/>
      <c r="D54" s="14">
        <f>IF(F3="1",SUMIF(Data!A:A,'9'!$A$2,Data!DM:DM),0)</f>
        <v>124144</v>
      </c>
      <c r="E54" s="17">
        <f>IF($F$3="1",SUMIF(Data!$A:$A,$A$2,Data!JG:JG),0)</f>
        <v>6168</v>
      </c>
      <c r="F54" s="21">
        <f t="shared" si="3"/>
        <v>0.05</v>
      </c>
    </row>
    <row r="55" spans="1:6" x14ac:dyDescent="0.2">
      <c r="A55" s="19">
        <v>20</v>
      </c>
      <c r="B55" s="181" t="s">
        <v>18</v>
      </c>
      <c r="C55" s="182"/>
      <c r="D55" s="14">
        <f>IF(F3="1",SUMIF(Data!A:A,'9'!$A$2,Data!DN:DN),0)</f>
        <v>19648</v>
      </c>
      <c r="E55" s="17">
        <f>IF($F$3="1",SUMIF(Data!$A:$A,$A$2,Data!JH:JH),0)</f>
        <v>12230</v>
      </c>
      <c r="F55" s="21">
        <f t="shared" si="3"/>
        <v>0.62</v>
      </c>
    </row>
    <row r="56" spans="1:6" ht="14.25" customHeight="1" x14ac:dyDescent="0.2">
      <c r="A56" s="19">
        <v>21</v>
      </c>
      <c r="B56" s="181" t="s">
        <v>461</v>
      </c>
      <c r="C56" s="182"/>
      <c r="D56" s="14">
        <f>IF(F3="1",SUMIF(Data!A:A,'9'!$A$2,Data!DO:DO),0)</f>
        <v>0</v>
      </c>
      <c r="E56" s="17">
        <f>IF($F$3="1",SUMIF(Data!$A:$A,$A$2,Data!JI:JI),0)</f>
        <v>0</v>
      </c>
      <c r="F56" s="21" t="str">
        <f t="shared" si="3"/>
        <v/>
      </c>
    </row>
    <row r="57" spans="1:6" x14ac:dyDescent="0.2">
      <c r="A57" s="19">
        <v>22</v>
      </c>
      <c r="B57" s="181" t="s">
        <v>19</v>
      </c>
      <c r="C57" s="182"/>
      <c r="D57" s="14">
        <f>IF(F3="1",SUMIF(Data!A:A,'9'!$A$2,Data!DP:DP),0)</f>
        <v>1440</v>
      </c>
      <c r="E57" s="17">
        <f>IF($F$3="1",SUMIF(Data!$A:$A,$A$2,Data!JJ:JJ),0)</f>
        <v>10218</v>
      </c>
      <c r="F57" s="21">
        <f t="shared" si="3"/>
        <v>7.1</v>
      </c>
    </row>
    <row r="58" spans="1:6" x14ac:dyDescent="0.2">
      <c r="A58" s="19">
        <v>23</v>
      </c>
      <c r="B58" s="181" t="s">
        <v>20</v>
      </c>
      <c r="C58" s="182"/>
      <c r="D58" s="14">
        <f>IF(F3="1",SUMIF(Data!A:A,'9'!$A$2,Data!DQ:DQ),0)</f>
        <v>55392</v>
      </c>
      <c r="E58" s="17">
        <f>IF($F$3="1",SUMIF(Data!$A:$A,$A$2,Data!JK:JK),0)</f>
        <v>36746</v>
      </c>
      <c r="F58" s="21">
        <f t="shared" si="3"/>
        <v>0.66</v>
      </c>
    </row>
    <row r="59" spans="1:6" x14ac:dyDescent="0.2">
      <c r="A59" s="19">
        <v>24</v>
      </c>
      <c r="B59" s="181" t="s">
        <v>21</v>
      </c>
      <c r="C59" s="182"/>
      <c r="D59" s="14">
        <f>IF(F3="1",SUMIF(Data!A:A,'9'!$A$2,Data!DR:DR),0)</f>
        <v>18912</v>
      </c>
      <c r="E59" s="17">
        <f>IF($F$3="1",SUMIF(Data!$A:$A,$A$2,Data!JL:JL),0)</f>
        <v>2011</v>
      </c>
      <c r="F59" s="21">
        <f t="shared" si="3"/>
        <v>0.11</v>
      </c>
    </row>
    <row r="60" spans="1:6" x14ac:dyDescent="0.2">
      <c r="A60" s="19">
        <v>25</v>
      </c>
      <c r="B60" s="181" t="s">
        <v>22</v>
      </c>
      <c r="C60" s="182"/>
      <c r="D60" s="14">
        <f>IF(F3="1",SUMIF(Data!A:A,'9'!$A$2,Data!DS:DS),0)</f>
        <v>256656</v>
      </c>
      <c r="E60" s="17">
        <f>IF($F$3="1",SUMIF(Data!$A:$A,$A$2,Data!JM:JM),0)</f>
        <v>22356</v>
      </c>
      <c r="F60" s="21">
        <f t="shared" si="3"/>
        <v>0.09</v>
      </c>
    </row>
    <row r="61" spans="1:6" x14ac:dyDescent="0.2">
      <c r="A61" s="19">
        <v>26</v>
      </c>
      <c r="B61" s="181" t="s">
        <v>23</v>
      </c>
      <c r="C61" s="182"/>
      <c r="D61" s="14">
        <f>IF(F3="1",SUMIF(Data!A:A,'9'!$A$2,Data!DT:DT),0)</f>
        <v>40880</v>
      </c>
      <c r="E61" s="17">
        <f>IF($F$3="1",SUMIF(Data!$A:$A,$A$2,Data!JN:JN),0)</f>
        <v>27139</v>
      </c>
      <c r="F61" s="21">
        <f t="shared" si="3"/>
        <v>0.66</v>
      </c>
    </row>
    <row r="62" spans="1:6" x14ac:dyDescent="0.2">
      <c r="A62" s="19">
        <v>28</v>
      </c>
      <c r="B62" s="181" t="s">
        <v>24</v>
      </c>
      <c r="C62" s="182"/>
      <c r="D62" s="14">
        <f>IF(F3="1",SUMIF(Data!A:A,'9'!$A$2,Data!DV:DV),0)</f>
        <v>0</v>
      </c>
      <c r="E62" s="17">
        <f>IF($F$3="1",SUMIF(Data!$A:$A,$A$2,Data!JP:JP),0)</f>
        <v>0</v>
      </c>
      <c r="F62" s="21" t="str">
        <f t="shared" si="3"/>
        <v/>
      </c>
    </row>
    <row r="63" spans="1:6" ht="15.75" customHeight="1" thickBot="1" x14ac:dyDescent="0.25">
      <c r="A63" s="22">
        <v>29</v>
      </c>
      <c r="B63" s="183" t="s">
        <v>25</v>
      </c>
      <c r="C63" s="184"/>
      <c r="D63" s="23">
        <f>IF(F3="1",SUMIF(Data!A:A,'9'!$A$2,Data!DW:DW),0)</f>
        <v>0</v>
      </c>
      <c r="E63" s="24">
        <f>IF($F$3="1",SUMIF(Data!$A:$A,$A$2,Data!JQ:JQ),0)</f>
        <v>0</v>
      </c>
      <c r="F63" s="25" t="str">
        <f t="shared" si="3"/>
        <v/>
      </c>
    </row>
    <row r="64" spans="1:6" x14ac:dyDescent="0.2">
      <c r="B64" s="30" t="s">
        <v>35</v>
      </c>
      <c r="C64" s="30"/>
      <c r="D64" s="59">
        <f>SUM(D36:D63)</f>
        <v>1273129</v>
      </c>
      <c r="E64" s="31">
        <f>SUM(E36:E63)</f>
        <v>241521</v>
      </c>
      <c r="F64" s="32">
        <f t="shared" si="3"/>
        <v>0.19</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8080</v>
      </c>
      <c r="E67" s="15">
        <f>IF(F3="1",SUMIF(Data!A:A,'9'!$A$2,Data!DY:DY),0)</f>
        <v>50682</v>
      </c>
      <c r="F67" s="20">
        <f t="shared" ref="F67:F95" si="4">IF(OR(D67=0,E67=0),"",ROUND(E67/D67,2))</f>
        <v>6.27</v>
      </c>
    </row>
    <row r="68" spans="1:6" x14ac:dyDescent="0.2">
      <c r="A68" s="19">
        <v>2</v>
      </c>
      <c r="B68" s="181" t="s">
        <v>1</v>
      </c>
      <c r="C68" s="182"/>
      <c r="D68" s="14">
        <f t="shared" ref="D68:D94" si="5">D37</f>
        <v>8829</v>
      </c>
      <c r="E68" s="17">
        <f>IF(F3="1",SUMIF(Data!A:A,'9'!$A$2,Data!DZ:DZ),0)</f>
        <v>22271</v>
      </c>
      <c r="F68" s="21">
        <f t="shared" si="4"/>
        <v>2.52</v>
      </c>
    </row>
    <row r="69" spans="1:6" ht="14.25" customHeight="1" x14ac:dyDescent="0.2">
      <c r="A69" s="19">
        <v>3</v>
      </c>
      <c r="B69" s="181" t="s">
        <v>2</v>
      </c>
      <c r="C69" s="182"/>
      <c r="D69" s="14">
        <f t="shared" si="5"/>
        <v>136960</v>
      </c>
      <c r="E69" s="17">
        <f>IF(F3="1",SUMIF(Data!A:A,'9'!$A$2,Data!EA:EA),0)</f>
        <v>195186</v>
      </c>
      <c r="F69" s="21">
        <f t="shared" si="4"/>
        <v>1.43</v>
      </c>
    </row>
    <row r="70" spans="1:6" ht="14.25" customHeight="1" x14ac:dyDescent="0.2">
      <c r="A70" s="19">
        <v>4</v>
      </c>
      <c r="B70" s="181" t="s">
        <v>3</v>
      </c>
      <c r="C70" s="182"/>
      <c r="D70" s="14">
        <f t="shared" si="5"/>
        <v>83384</v>
      </c>
      <c r="E70" s="17">
        <f>IF(F3="1",SUMIF(Data!A:A,'9'!$A$2,Data!EB:EB),0)</f>
        <v>181079</v>
      </c>
      <c r="F70" s="21">
        <f t="shared" si="4"/>
        <v>2.17</v>
      </c>
    </row>
    <row r="71" spans="1:6" x14ac:dyDescent="0.2">
      <c r="A71" s="19">
        <v>5</v>
      </c>
      <c r="B71" s="181" t="s">
        <v>4</v>
      </c>
      <c r="C71" s="182"/>
      <c r="D71" s="14">
        <f t="shared" si="5"/>
        <v>0</v>
      </c>
      <c r="E71" s="17">
        <f>IF(F3="1",SUMIF(Data!A:A,'9'!$A$2,Data!EC:EC),0)</f>
        <v>0</v>
      </c>
      <c r="F71" s="21" t="str">
        <f t="shared" si="4"/>
        <v/>
      </c>
    </row>
    <row r="72" spans="1:6" x14ac:dyDescent="0.2">
      <c r="A72" s="19">
        <v>6</v>
      </c>
      <c r="B72" s="181" t="s">
        <v>5</v>
      </c>
      <c r="C72" s="182"/>
      <c r="D72" s="14">
        <f t="shared" si="5"/>
        <v>0</v>
      </c>
      <c r="E72" s="17">
        <f>IF(F3="1",SUMIF(Data!A:A,'9'!$A$2,Data!ED:ED),0)</f>
        <v>0</v>
      </c>
      <c r="F72" s="21" t="str">
        <f t="shared" si="4"/>
        <v/>
      </c>
    </row>
    <row r="73" spans="1:6" x14ac:dyDescent="0.2">
      <c r="A73" s="19">
        <v>7</v>
      </c>
      <c r="B73" s="181" t="s">
        <v>6</v>
      </c>
      <c r="C73" s="182"/>
      <c r="D73" s="14">
        <f t="shared" si="5"/>
        <v>48788</v>
      </c>
      <c r="E73" s="17">
        <f>IF(F3="1",SUMIF(Data!A:A,'9'!$A$2,Data!EE:EE),0)</f>
        <v>102707</v>
      </c>
      <c r="F73" s="21">
        <f t="shared" si="4"/>
        <v>2.11</v>
      </c>
    </row>
    <row r="74" spans="1:6" x14ac:dyDescent="0.2">
      <c r="A74" s="19">
        <v>8</v>
      </c>
      <c r="B74" s="181" t="s">
        <v>7</v>
      </c>
      <c r="C74" s="182"/>
      <c r="D74" s="14">
        <f t="shared" si="5"/>
        <v>4640</v>
      </c>
      <c r="E74" s="17">
        <f>IF(F3="1",SUMIF(Data!A:A,'9'!$A$2,Data!EF:EF),0)</f>
        <v>11704</v>
      </c>
      <c r="F74" s="21">
        <f t="shared" si="4"/>
        <v>2.52</v>
      </c>
    </row>
    <row r="75" spans="1:6" x14ac:dyDescent="0.2">
      <c r="A75" s="19">
        <v>9</v>
      </c>
      <c r="B75" s="181" t="s">
        <v>8</v>
      </c>
      <c r="C75" s="182"/>
      <c r="D75" s="14">
        <f t="shared" si="5"/>
        <v>54440</v>
      </c>
      <c r="E75" s="17">
        <f>IF(F3="1",SUMIF(Data!A:A,'9'!$A$2,Data!EG:EG),0)</f>
        <v>69971</v>
      </c>
      <c r="F75" s="21">
        <f t="shared" si="4"/>
        <v>1.29</v>
      </c>
    </row>
    <row r="76" spans="1:6" x14ac:dyDescent="0.2">
      <c r="A76" s="19">
        <v>10</v>
      </c>
      <c r="B76" s="181" t="s">
        <v>9</v>
      </c>
      <c r="C76" s="182"/>
      <c r="D76" s="14">
        <f t="shared" si="5"/>
        <v>0</v>
      </c>
      <c r="E76" s="17">
        <f>IF(F3="1",SUMIF(Data!A:A,'9'!$A$2,Data!EH:EH),0)</f>
        <v>0</v>
      </c>
      <c r="F76" s="21" t="str">
        <f t="shared" si="4"/>
        <v/>
      </c>
    </row>
    <row r="77" spans="1:6" x14ac:dyDescent="0.2">
      <c r="A77" s="19">
        <v>11</v>
      </c>
      <c r="B77" s="181" t="s">
        <v>10</v>
      </c>
      <c r="C77" s="182"/>
      <c r="D77" s="14">
        <f t="shared" si="5"/>
        <v>9888</v>
      </c>
      <c r="E77" s="17">
        <f>IF(F3="1",SUMIF(Data!A:A,'9'!$A$2,Data!EI:EI),0)</f>
        <v>24943</v>
      </c>
      <c r="F77" s="21">
        <f t="shared" si="4"/>
        <v>2.52</v>
      </c>
    </row>
    <row r="78" spans="1:6" ht="14.25" customHeight="1" x14ac:dyDescent="0.2">
      <c r="A78" s="19">
        <v>12</v>
      </c>
      <c r="B78" s="181" t="s">
        <v>11</v>
      </c>
      <c r="C78" s="182"/>
      <c r="D78" s="14">
        <f t="shared" si="5"/>
        <v>209568</v>
      </c>
      <c r="E78" s="17">
        <f>IF(F3="1",SUMIF(Data!A:A,'9'!$A$2,Data!EJ:EJ),0)</f>
        <v>393657</v>
      </c>
      <c r="F78" s="21">
        <f t="shared" si="4"/>
        <v>1.88</v>
      </c>
    </row>
    <row r="79" spans="1:6" x14ac:dyDescent="0.2">
      <c r="A79" s="19">
        <v>13</v>
      </c>
      <c r="B79" s="181" t="s">
        <v>12</v>
      </c>
      <c r="C79" s="182"/>
      <c r="D79" s="14">
        <f t="shared" si="5"/>
        <v>10704</v>
      </c>
      <c r="E79" s="17">
        <f>IF(F3="1",SUMIF(Data!A:A,'9'!$A$2,Data!EK:EK),0)</f>
        <v>36876</v>
      </c>
      <c r="F79" s="21">
        <f t="shared" si="4"/>
        <v>3.45</v>
      </c>
    </row>
    <row r="80" spans="1:6" ht="14.25" customHeight="1" x14ac:dyDescent="0.2">
      <c r="A80" s="19">
        <v>14</v>
      </c>
      <c r="B80" s="181" t="s">
        <v>464</v>
      </c>
      <c r="C80" s="182"/>
      <c r="D80" s="14">
        <f t="shared" si="5"/>
        <v>30208</v>
      </c>
      <c r="E80" s="17">
        <f>IF(F3="1",SUMIF(Data!A:A,'9'!$A$2,Data!EL:EL),0)</f>
        <v>140040</v>
      </c>
      <c r="F80" s="21">
        <f t="shared" si="4"/>
        <v>4.6399999999999997</v>
      </c>
    </row>
    <row r="81" spans="1:6" x14ac:dyDescent="0.2">
      <c r="A81" s="19">
        <v>15</v>
      </c>
      <c r="B81" s="181" t="s">
        <v>13</v>
      </c>
      <c r="C81" s="182"/>
      <c r="D81" s="14">
        <f t="shared" si="5"/>
        <v>0</v>
      </c>
      <c r="E81" s="17">
        <f>IF(F3="1",SUMIF(Data!A:A,'9'!$A$2,Data!EM:EM),0)</f>
        <v>0</v>
      </c>
      <c r="F81" s="21" t="str">
        <f t="shared" si="4"/>
        <v/>
      </c>
    </row>
    <row r="82" spans="1:6" x14ac:dyDescent="0.2">
      <c r="A82" s="19">
        <v>16</v>
      </c>
      <c r="B82" s="181" t="s">
        <v>14</v>
      </c>
      <c r="C82" s="182"/>
      <c r="D82" s="14">
        <f t="shared" si="5"/>
        <v>53784</v>
      </c>
      <c r="E82" s="17">
        <f>IF(F3="1",SUMIF(Data!A:A,'9'!$A$2,Data!EN:EN),0)</f>
        <v>144340</v>
      </c>
      <c r="F82" s="21">
        <f t="shared" si="4"/>
        <v>2.68</v>
      </c>
    </row>
    <row r="83" spans="1:6" x14ac:dyDescent="0.2">
      <c r="A83" s="19">
        <v>17</v>
      </c>
      <c r="B83" s="181" t="s">
        <v>15</v>
      </c>
      <c r="C83" s="182"/>
      <c r="D83" s="14">
        <f t="shared" si="5"/>
        <v>0</v>
      </c>
      <c r="E83" s="17">
        <f>IF(F3="1",SUMIF(Data!A:A,'9'!$A$2,Data!EO:EO),0)</f>
        <v>0</v>
      </c>
      <c r="F83" s="21" t="str">
        <f t="shared" si="4"/>
        <v/>
      </c>
    </row>
    <row r="84" spans="1:6" x14ac:dyDescent="0.2">
      <c r="A84" s="19">
        <v>18</v>
      </c>
      <c r="B84" s="181" t="s">
        <v>16</v>
      </c>
      <c r="C84" s="182"/>
      <c r="D84" s="14">
        <f t="shared" si="5"/>
        <v>96784</v>
      </c>
      <c r="E84" s="17">
        <f>IF(F3="1",SUMIF(Data!A:A,'9'!$A$2,Data!EP:EP),0)</f>
        <v>243928</v>
      </c>
      <c r="F84" s="21">
        <f t="shared" si="4"/>
        <v>2.52</v>
      </c>
    </row>
    <row r="85" spans="1:6" x14ac:dyDescent="0.2">
      <c r="A85" s="19">
        <v>19</v>
      </c>
      <c r="B85" s="181" t="s">
        <v>17</v>
      </c>
      <c r="C85" s="182"/>
      <c r="D85" s="14">
        <f t="shared" si="5"/>
        <v>124144</v>
      </c>
      <c r="E85" s="17">
        <f>IF(F3="1",SUMIF(Data!A:A,'9'!$A$2,Data!EQ:EQ),0)</f>
        <v>268395</v>
      </c>
      <c r="F85" s="21">
        <f t="shared" si="4"/>
        <v>2.16</v>
      </c>
    </row>
    <row r="86" spans="1:6" x14ac:dyDescent="0.2">
      <c r="A86" s="19">
        <v>20</v>
      </c>
      <c r="B86" s="181" t="s">
        <v>18</v>
      </c>
      <c r="C86" s="182"/>
      <c r="D86" s="14">
        <f t="shared" si="5"/>
        <v>19648</v>
      </c>
      <c r="E86" s="17">
        <f>IF(F3="1",SUMIF(Data!A:A,'9'!$A$2,Data!ER:ER),0)</f>
        <v>77984</v>
      </c>
      <c r="F86" s="21">
        <f t="shared" si="4"/>
        <v>3.97</v>
      </c>
    </row>
    <row r="87" spans="1:6" ht="14.25" customHeight="1" x14ac:dyDescent="0.2">
      <c r="A87" s="19">
        <v>21</v>
      </c>
      <c r="B87" s="181" t="s">
        <v>461</v>
      </c>
      <c r="C87" s="182"/>
      <c r="D87" s="14">
        <f t="shared" si="5"/>
        <v>0</v>
      </c>
      <c r="E87" s="17">
        <f>IF(F3="1",SUMIF(Data!A:A,'9'!$A$2,Data!ES:ES),0)</f>
        <v>0</v>
      </c>
      <c r="F87" s="21" t="str">
        <f t="shared" si="4"/>
        <v/>
      </c>
    </row>
    <row r="88" spans="1:6" x14ac:dyDescent="0.2">
      <c r="A88" s="19">
        <v>22</v>
      </c>
      <c r="B88" s="181" t="s">
        <v>19</v>
      </c>
      <c r="C88" s="182"/>
      <c r="D88" s="14">
        <f t="shared" si="5"/>
        <v>1440</v>
      </c>
      <c r="E88" s="17">
        <f>IF(F3="1",SUMIF(Data!A:A,'9'!$A$2,Data!ET:ET),0)</f>
        <v>81751</v>
      </c>
      <c r="F88" s="21">
        <f t="shared" si="4"/>
        <v>56.77</v>
      </c>
    </row>
    <row r="89" spans="1:6" x14ac:dyDescent="0.2">
      <c r="A89" s="19">
        <v>23</v>
      </c>
      <c r="B89" s="181" t="s">
        <v>20</v>
      </c>
      <c r="C89" s="182"/>
      <c r="D89" s="14">
        <f t="shared" si="5"/>
        <v>55392</v>
      </c>
      <c r="E89" s="17">
        <f>IF(F3="1",SUMIF(Data!A:A,'9'!$A$2,Data!EU:EU),0)</f>
        <v>367205</v>
      </c>
      <c r="F89" s="21">
        <f t="shared" si="4"/>
        <v>6.63</v>
      </c>
    </row>
    <row r="90" spans="1:6" x14ac:dyDescent="0.2">
      <c r="A90" s="19">
        <v>24</v>
      </c>
      <c r="B90" s="181" t="s">
        <v>21</v>
      </c>
      <c r="C90" s="182"/>
      <c r="D90" s="14">
        <f t="shared" si="5"/>
        <v>18912</v>
      </c>
      <c r="E90" s="17">
        <f>IF(F3="1",SUMIF(Data!A:A,'9'!$A$2,Data!EV:EV),0)</f>
        <v>76482</v>
      </c>
      <c r="F90" s="21">
        <f t="shared" si="4"/>
        <v>4.04</v>
      </c>
    </row>
    <row r="91" spans="1:6" x14ac:dyDescent="0.2">
      <c r="A91" s="19">
        <v>25</v>
      </c>
      <c r="B91" s="181" t="s">
        <v>22</v>
      </c>
      <c r="C91" s="182"/>
      <c r="D91" s="14">
        <f t="shared" si="5"/>
        <v>256656</v>
      </c>
      <c r="E91" s="17">
        <f>IF(F3="1",SUMIF(Data!A:A,'9'!$A$2,Data!EW:EW),0)</f>
        <v>388059</v>
      </c>
      <c r="F91" s="21">
        <f t="shared" si="4"/>
        <v>1.51</v>
      </c>
    </row>
    <row r="92" spans="1:6" x14ac:dyDescent="0.2">
      <c r="A92" s="19">
        <v>26</v>
      </c>
      <c r="B92" s="181" t="s">
        <v>23</v>
      </c>
      <c r="C92" s="182"/>
      <c r="D92" s="14">
        <f t="shared" si="5"/>
        <v>40880</v>
      </c>
      <c r="E92" s="17">
        <f>IF(F3="1",SUMIF(Data!A:A,'9'!$A$2,Data!EX:EX),0)</f>
        <v>187788</v>
      </c>
      <c r="F92" s="21">
        <f t="shared" si="4"/>
        <v>4.59</v>
      </c>
    </row>
    <row r="93" spans="1:6" x14ac:dyDescent="0.2">
      <c r="A93" s="19">
        <v>28</v>
      </c>
      <c r="B93" s="181" t="s">
        <v>24</v>
      </c>
      <c r="C93" s="182"/>
      <c r="D93" s="14">
        <f t="shared" si="5"/>
        <v>0</v>
      </c>
      <c r="E93" s="17">
        <f>IF(F3="1",SUMIF(Data!A:A,'9'!$A$2,Data!EZ:EZ),0)</f>
        <v>0</v>
      </c>
      <c r="F93" s="21" t="str">
        <f t="shared" si="4"/>
        <v/>
      </c>
    </row>
    <row r="94" spans="1:6" ht="15.75" customHeight="1" thickBot="1" x14ac:dyDescent="0.25">
      <c r="A94" s="22">
        <v>29</v>
      </c>
      <c r="B94" s="183" t="s">
        <v>25</v>
      </c>
      <c r="C94" s="184"/>
      <c r="D94" s="23">
        <f t="shared" si="5"/>
        <v>0</v>
      </c>
      <c r="E94" s="24">
        <f>IF(F3="1",SUMIF(Data!A:A,'9'!$A$2,Data!FA:FA),0)</f>
        <v>0</v>
      </c>
      <c r="F94" s="25" t="str">
        <f t="shared" si="4"/>
        <v/>
      </c>
    </row>
    <row r="95" spans="1:6" x14ac:dyDescent="0.2">
      <c r="B95" s="30" t="s">
        <v>35</v>
      </c>
      <c r="C95" s="30"/>
      <c r="D95" s="59">
        <f>SUM(D67:D94)</f>
        <v>1273129</v>
      </c>
      <c r="E95" s="31">
        <f>SUM(E67:E94)</f>
        <v>3065048</v>
      </c>
      <c r="F95" s="32">
        <f t="shared" si="4"/>
        <v>2.41</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IF(F3="1",SUMIF(Data!A:A,'9'!$A$2,Data!AH:AH),0)</f>
        <v>937910</v>
      </c>
      <c r="F98" s="20">
        <f>IF(OR(E98=0,E98=0),"",ROUND(E98/$D$105,2))</f>
        <v>0.74</v>
      </c>
    </row>
    <row r="99" spans="2:6" x14ac:dyDescent="0.2">
      <c r="B99" s="187" t="s">
        <v>31</v>
      </c>
      <c r="C99" s="188"/>
      <c r="D99" s="36"/>
      <c r="E99" s="17">
        <f>IF(F3="1",SUMIF(Data!A:A,'9'!$A$2,Data!AI:AI),0)</f>
        <v>942863</v>
      </c>
      <c r="F99" s="21">
        <f t="shared" ref="F99:F104" si="6">IF(OR(E99=0,E99=0),"",ROUND(E99/$D$105,2))</f>
        <v>0.74</v>
      </c>
    </row>
    <row r="100" spans="2:6" x14ac:dyDescent="0.2">
      <c r="B100" s="187" t="s">
        <v>1078</v>
      </c>
      <c r="C100" s="188"/>
      <c r="D100" s="36"/>
      <c r="E100" s="17">
        <f>IF(F3="1",SUMIF(Data!A:A,'9'!$A$2,Data!AJ:AJ),0)</f>
        <v>196563</v>
      </c>
      <c r="F100" s="21">
        <f t="shared" si="6"/>
        <v>0.15</v>
      </c>
    </row>
    <row r="101" spans="2:6" x14ac:dyDescent="0.2">
      <c r="B101" s="187" t="s">
        <v>1079</v>
      </c>
      <c r="C101" s="188"/>
      <c r="D101" s="36"/>
      <c r="E101" s="17">
        <f>IF(F3="1",SUMIF(Data!A:A,'9'!$A$2,Data!AK:AK),0)</f>
        <v>221820</v>
      </c>
      <c r="F101" s="21">
        <f t="shared" si="6"/>
        <v>0.17</v>
      </c>
    </row>
    <row r="102" spans="2:6" x14ac:dyDescent="0.2">
      <c r="B102" s="187" t="s">
        <v>1080</v>
      </c>
      <c r="C102" s="188"/>
      <c r="D102" s="36"/>
      <c r="E102" s="17">
        <f>IF(F3="1",SUMIF(Data!A:A,'9'!$A$2,Data!AL:AL),0)</f>
        <v>0</v>
      </c>
      <c r="F102" s="21" t="str">
        <f t="shared" si="6"/>
        <v/>
      </c>
    </row>
    <row r="103" spans="2:6" x14ac:dyDescent="0.2">
      <c r="B103" s="189" t="s">
        <v>34</v>
      </c>
      <c r="C103" s="190"/>
      <c r="D103" s="36"/>
      <c r="E103" s="17">
        <f>IF(F3="1",SUMIF(Data!A:A,'9'!$A$2,Data!AM:AM),0)</f>
        <v>0</v>
      </c>
      <c r="F103" s="21" t="str">
        <f t="shared" si="6"/>
        <v/>
      </c>
    </row>
    <row r="104" spans="2:6" ht="15.75" customHeight="1" thickBot="1" x14ac:dyDescent="0.25">
      <c r="B104" s="179" t="s">
        <v>29</v>
      </c>
      <c r="C104" s="180"/>
      <c r="D104" s="37"/>
      <c r="E104" s="24">
        <f>IF(F3="1",SUMIF(Data!A:A,'9'!$A$2,Data!Q:Q),0)</f>
        <v>87192</v>
      </c>
      <c r="F104" s="25">
        <f t="shared" si="6"/>
        <v>7.0000000000000007E-2</v>
      </c>
    </row>
    <row r="105" spans="2:6" x14ac:dyDescent="0.2">
      <c r="B105" s="30" t="s">
        <v>35</v>
      </c>
      <c r="C105" s="30"/>
      <c r="D105" s="34">
        <f>D95</f>
        <v>1273129</v>
      </c>
      <c r="E105" s="31">
        <f>SUM(E98:E104)</f>
        <v>2386348</v>
      </c>
      <c r="F105" s="32">
        <f>IF($D$105=0,"",ROUND(E105/$D$105,2))</f>
        <v>1.87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3065048</v>
      </c>
      <c r="D109" s="15">
        <f>IF(F3="1",SUMIF(Data!$A:$A,$A$2,Data!HJ:HJ),0)</f>
        <v>0</v>
      </c>
      <c r="E109" s="15">
        <f>IF(F3="1",SUMIF(Data!$A:$A,$A$2,Data!IN:IN),0)</f>
        <v>0</v>
      </c>
      <c r="F109" s="47">
        <f>SUM(C109:E109)</f>
        <v>3065048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87192</v>
      </c>
      <c r="E117" s="52"/>
      <c r="F117" s="49">
        <f>SUM(C117:E117)</f>
        <v>87192</v>
      </c>
    </row>
    <row r="118" spans="1:6" x14ac:dyDescent="0.2">
      <c r="B118" s="13" t="s">
        <v>35</v>
      </c>
      <c r="C118" s="4">
        <f>SUM(C109:C116)</f>
        <v>3065048</v>
      </c>
      <c r="D118" s="4">
        <f>SUM(D109:D116)</f>
        <v>0</v>
      </c>
      <c r="E118" s="4">
        <f>SUM(E109:E116)</f>
        <v>0</v>
      </c>
      <c r="F118" s="4">
        <f>SUM(F109:F116)</f>
        <v>3065048</v>
      </c>
    </row>
    <row r="119" spans="1:6" ht="15" thickBot="1" x14ac:dyDescent="0.25"/>
    <row r="120" spans="1:6" ht="15" thickBot="1" x14ac:dyDescent="0.25">
      <c r="B120" s="55" t="s">
        <v>934</v>
      </c>
      <c r="C120" s="53"/>
      <c r="D120" s="53"/>
      <c r="E120" s="53">
        <f>IF(F3="1",SUMIF(Data!A:A,'9'!$A$2,Data!AM:AM),0)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285156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360</v>
      </c>
      <c r="B2" s="58" t="str">
        <f>VLOOKUP(A2,Data!A:G,7,0)</f>
        <v>Clarendon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41760</v>
      </c>
      <c r="E5" s="15">
        <f>E36+E67+IFERROR($E$105/$D$105*D5,0)</f>
        <v>475945.51452688943</v>
      </c>
      <c r="F5" s="20">
        <f>IF(OR(D5=0,E5=0),"",ROUND(E5/D5,2))</f>
        <v>11.4</v>
      </c>
    </row>
    <row r="6" spans="1:6" x14ac:dyDescent="0.2">
      <c r="A6" s="19">
        <v>2</v>
      </c>
      <c r="B6" s="181" t="s">
        <v>1</v>
      </c>
      <c r="C6" s="182"/>
      <c r="D6" s="14">
        <f t="shared" ref="D6:D32" si="0">D37</f>
        <v>3808</v>
      </c>
      <c r="E6" s="17">
        <f t="shared" ref="E6:E32" si="1">E37+E68+IFERROR($E$105/$D$105*D6,0)</f>
        <v>57730.325845747007</v>
      </c>
      <c r="F6" s="21">
        <f t="shared" ref="F6:F33" si="2">IF(OR(D6=0,E6=0),"",ROUND(E6/D6,2))</f>
        <v>15.16</v>
      </c>
    </row>
    <row r="7" spans="1:6" ht="14.25" customHeight="1" x14ac:dyDescent="0.2">
      <c r="A7" s="19">
        <v>3</v>
      </c>
      <c r="B7" s="181" t="s">
        <v>2</v>
      </c>
      <c r="C7" s="182"/>
      <c r="D7" s="14">
        <f t="shared" si="0"/>
        <v>39248</v>
      </c>
      <c r="E7" s="17">
        <f t="shared" si="1"/>
        <v>252620.2701664597</v>
      </c>
      <c r="F7" s="21">
        <f t="shared" si="2"/>
        <v>6.44</v>
      </c>
    </row>
    <row r="8" spans="1:6" ht="14.25" customHeight="1" x14ac:dyDescent="0.2">
      <c r="A8" s="19">
        <v>4</v>
      </c>
      <c r="B8" s="181" t="s">
        <v>3</v>
      </c>
      <c r="C8" s="182"/>
      <c r="D8" s="14">
        <f t="shared" si="0"/>
        <v>22102</v>
      </c>
      <c r="E8" s="17">
        <f t="shared" si="1"/>
        <v>141175.43903432257</v>
      </c>
      <c r="F8" s="21">
        <f t="shared" si="2"/>
        <v>6.39</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336</v>
      </c>
      <c r="E10" s="17">
        <f t="shared" si="1"/>
        <v>2219.0581628600303</v>
      </c>
      <c r="F10" s="21">
        <f t="shared" si="2"/>
        <v>6.6</v>
      </c>
    </row>
    <row r="11" spans="1:6" x14ac:dyDescent="0.2">
      <c r="A11" s="19">
        <v>7</v>
      </c>
      <c r="B11" s="181" t="s">
        <v>6</v>
      </c>
      <c r="C11" s="182"/>
      <c r="D11" s="14">
        <f t="shared" si="0"/>
        <v>22168</v>
      </c>
      <c r="E11" s="17">
        <f t="shared" si="1"/>
        <v>199993.14688774152</v>
      </c>
      <c r="F11" s="21">
        <f t="shared" si="2"/>
        <v>9.02</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5808</v>
      </c>
      <c r="E13" s="17">
        <f t="shared" si="1"/>
        <v>36264.291100866234</v>
      </c>
      <c r="F13" s="21">
        <f t="shared" si="2"/>
        <v>6.24</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752</v>
      </c>
      <c r="E15" s="17">
        <f t="shared" si="1"/>
        <v>5207.0349359248294</v>
      </c>
      <c r="F15" s="21">
        <f t="shared" si="2"/>
        <v>6.92</v>
      </c>
    </row>
    <row r="16" spans="1:6" ht="14.25" customHeight="1" x14ac:dyDescent="0.2">
      <c r="A16" s="19">
        <v>12</v>
      </c>
      <c r="B16" s="181" t="s">
        <v>11</v>
      </c>
      <c r="C16" s="182"/>
      <c r="D16" s="14">
        <f t="shared" si="0"/>
        <v>81536</v>
      </c>
      <c r="E16" s="17">
        <f t="shared" si="1"/>
        <v>544738.44752070063</v>
      </c>
      <c r="F16" s="21">
        <f t="shared" si="2"/>
        <v>6.68</v>
      </c>
    </row>
    <row r="17" spans="1:6" x14ac:dyDescent="0.2">
      <c r="A17" s="19">
        <v>13</v>
      </c>
      <c r="B17" s="181" t="s">
        <v>12</v>
      </c>
      <c r="C17" s="182"/>
      <c r="D17" s="14">
        <f t="shared" si="0"/>
        <v>2160</v>
      </c>
      <c r="E17" s="17">
        <f t="shared" si="1"/>
        <v>14263.802475528764</v>
      </c>
      <c r="F17" s="21">
        <f t="shared" si="2"/>
        <v>6.6</v>
      </c>
    </row>
    <row r="18" spans="1:6" ht="14.25" customHeight="1" x14ac:dyDescent="0.2">
      <c r="A18" s="19">
        <v>14</v>
      </c>
      <c r="B18" s="181" t="s">
        <v>464</v>
      </c>
      <c r="C18" s="182"/>
      <c r="D18" s="14">
        <f t="shared" si="0"/>
        <v>0</v>
      </c>
      <c r="E18" s="17">
        <f t="shared" si="1"/>
        <v>0</v>
      </c>
      <c r="F18" s="21" t="str">
        <f t="shared" si="2"/>
        <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21000</v>
      </c>
      <c r="E20" s="17">
        <f t="shared" si="1"/>
        <v>114372.13517875188</v>
      </c>
      <c r="F20" s="21">
        <f t="shared" si="2"/>
        <v>5.45</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0</v>
      </c>
      <c r="E22" s="17">
        <f t="shared" si="1"/>
        <v>46585</v>
      </c>
      <c r="F22" s="21" t="str">
        <f t="shared" si="2"/>
        <v/>
      </c>
    </row>
    <row r="23" spans="1:6" x14ac:dyDescent="0.2">
      <c r="A23" s="19">
        <v>19</v>
      </c>
      <c r="B23" s="181" t="s">
        <v>17</v>
      </c>
      <c r="C23" s="182"/>
      <c r="D23" s="14">
        <f t="shared" si="0"/>
        <v>43248</v>
      </c>
      <c r="E23" s="17">
        <f t="shared" si="1"/>
        <v>252555.20067669815</v>
      </c>
      <c r="F23" s="21">
        <f t="shared" si="2"/>
        <v>5.84</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24384</v>
      </c>
      <c r="E27" s="17">
        <f t="shared" si="1"/>
        <v>284751.79239041358</v>
      </c>
      <c r="F27" s="21">
        <f t="shared" si="2"/>
        <v>11.68</v>
      </c>
    </row>
    <row r="28" spans="1:6" x14ac:dyDescent="0.2">
      <c r="A28" s="19">
        <v>24</v>
      </c>
      <c r="B28" s="181" t="s">
        <v>21</v>
      </c>
      <c r="C28" s="182"/>
      <c r="D28" s="14">
        <f t="shared" si="0"/>
        <v>2016</v>
      </c>
      <c r="E28" s="17">
        <f t="shared" si="1"/>
        <v>12588.34897716018</v>
      </c>
      <c r="F28" s="21">
        <f t="shared" si="2"/>
        <v>6.24</v>
      </c>
    </row>
    <row r="29" spans="1:6" x14ac:dyDescent="0.2">
      <c r="A29" s="19">
        <v>25</v>
      </c>
      <c r="B29" s="181" t="s">
        <v>22</v>
      </c>
      <c r="C29" s="182"/>
      <c r="D29" s="14">
        <f t="shared" si="0"/>
        <v>70224</v>
      </c>
      <c r="E29" s="17">
        <f t="shared" si="1"/>
        <v>496501.15603774629</v>
      </c>
      <c r="F29" s="21">
        <f t="shared" si="2"/>
        <v>7.07</v>
      </c>
    </row>
    <row r="30" spans="1:6" x14ac:dyDescent="0.2">
      <c r="A30" s="19">
        <v>26</v>
      </c>
      <c r="B30" s="181" t="s">
        <v>23</v>
      </c>
      <c r="C30" s="182"/>
      <c r="D30" s="14">
        <f t="shared" si="0"/>
        <v>17264</v>
      </c>
      <c r="E30" s="17">
        <f t="shared" si="1"/>
        <v>148485.03608218918</v>
      </c>
      <c r="F30" s="21">
        <f t="shared" si="2"/>
        <v>8.6</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397814</v>
      </c>
      <c r="E33" s="31">
        <f>SUM(E5:E32)</f>
        <v>3085996</v>
      </c>
      <c r="F33" s="32">
        <f t="shared" si="2"/>
        <v>7.76</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IF(F3="1",SUMIF(Data!A:A,'10'!$A$2,Data!CU:CU),0)</f>
        <v>41760</v>
      </c>
      <c r="E36" s="15">
        <f>IF(F3="1",SUMIF(Data!$A:$A,$A$2,Data!IO:IO),0)</f>
        <v>114086</v>
      </c>
      <c r="F36" s="20">
        <f t="shared" ref="F36:F64" si="3">IF(OR(D36=0,E36=0),"",ROUND(E36/D36,2))</f>
        <v>2.73</v>
      </c>
    </row>
    <row r="37" spans="1:6" x14ac:dyDescent="0.2">
      <c r="A37" s="19">
        <v>2</v>
      </c>
      <c r="B37" s="181" t="s">
        <v>1</v>
      </c>
      <c r="C37" s="182"/>
      <c r="D37" s="14">
        <f>IF(F3="1",SUMIF(Data!A:A,'10'!$A$2,Data!CV:CV),0)</f>
        <v>3808</v>
      </c>
      <c r="E37" s="17">
        <f>IF(F3="1",SUMIF(Data!$A:$A,$A$2,Data!IP:IP),0)</f>
        <v>357</v>
      </c>
      <c r="F37" s="21">
        <f t="shared" si="3"/>
        <v>0.09</v>
      </c>
    </row>
    <row r="38" spans="1:6" ht="14.25" customHeight="1" x14ac:dyDescent="0.2">
      <c r="A38" s="19">
        <v>3</v>
      </c>
      <c r="B38" s="181" t="s">
        <v>2</v>
      </c>
      <c r="C38" s="182"/>
      <c r="D38" s="14">
        <f>IF(F3="1",SUMIF(Data!A:A,'10'!$A$2,Data!CW:CW),0)</f>
        <v>39248</v>
      </c>
      <c r="E38" s="17">
        <f>IF($F$3="1",SUMIF(Data!$A:$A,$A$2,Data!IQ:IQ),0)</f>
        <v>8451</v>
      </c>
      <c r="F38" s="21">
        <f t="shared" si="3"/>
        <v>0.22</v>
      </c>
    </row>
    <row r="39" spans="1:6" ht="14.25" customHeight="1" x14ac:dyDescent="0.2">
      <c r="A39" s="19">
        <v>4</v>
      </c>
      <c r="B39" s="181" t="s">
        <v>3</v>
      </c>
      <c r="C39" s="182"/>
      <c r="D39" s="14">
        <f>IF(F3="1",SUMIF(Data!A:A,'10'!$A$2,Data!CX:CX),0)</f>
        <v>22102</v>
      </c>
      <c r="E39" s="17">
        <f>IF($F$3="1",SUMIF(Data!$A:$A,$A$2,Data!IR:IR),0)</f>
        <v>2892</v>
      </c>
      <c r="F39" s="21">
        <f t="shared" si="3"/>
        <v>0.13</v>
      </c>
    </row>
    <row r="40" spans="1:6" x14ac:dyDescent="0.2">
      <c r="A40" s="19">
        <v>5</v>
      </c>
      <c r="B40" s="181" t="s">
        <v>4</v>
      </c>
      <c r="C40" s="182"/>
      <c r="D40" s="14">
        <f>IF(F3="1",SUMIF(Data!A:A,'10'!$A$2,Data!CY:CY),0)</f>
        <v>0</v>
      </c>
      <c r="E40" s="17">
        <f>IF($F$3="1",SUMIF(Data!$A:$A,$A$2,Data!IS:IS),0)</f>
        <v>0</v>
      </c>
      <c r="F40" s="21" t="str">
        <f t="shared" si="3"/>
        <v/>
      </c>
    </row>
    <row r="41" spans="1:6" x14ac:dyDescent="0.2">
      <c r="A41" s="19">
        <v>6</v>
      </c>
      <c r="B41" s="181" t="s">
        <v>5</v>
      </c>
      <c r="C41" s="182"/>
      <c r="D41" s="14">
        <f>IF(F3="1",SUMIF(Data!A:A,'10'!$A$2,Data!CZ:CZ),0)</f>
        <v>336</v>
      </c>
      <c r="E41" s="17">
        <f>IF($F$3="1",SUMIF(Data!$A:$A,$A$2,Data!IT:IT),0)</f>
        <v>8</v>
      </c>
      <c r="F41" s="21">
        <f t="shared" si="3"/>
        <v>0.02</v>
      </c>
    </row>
    <row r="42" spans="1:6" x14ac:dyDescent="0.2">
      <c r="A42" s="19">
        <v>7</v>
      </c>
      <c r="B42" s="181" t="s">
        <v>6</v>
      </c>
      <c r="C42" s="182"/>
      <c r="D42" s="14">
        <f>IF(F3="1",SUMIF(Data!A:A,'10'!$A$2,Data!DA:DA),0)</f>
        <v>22168</v>
      </c>
      <c r="E42" s="17">
        <f>IF($F$3="1",SUMIF(Data!$A:$A,$A$2,Data!IU:IU),0)</f>
        <v>4487</v>
      </c>
      <c r="F42" s="21">
        <f t="shared" si="3"/>
        <v>0.2</v>
      </c>
    </row>
    <row r="43" spans="1:6" x14ac:dyDescent="0.2">
      <c r="A43" s="19">
        <v>8</v>
      </c>
      <c r="B43" s="181" t="s">
        <v>7</v>
      </c>
      <c r="C43" s="182"/>
      <c r="D43" s="14">
        <f>IF(F3="1",SUMIF(Data!A:A,'10'!$A$2,Data!DB:DB),0)</f>
        <v>0</v>
      </c>
      <c r="E43" s="17">
        <f>IF($F$3="1",SUMIF(Data!$A:$A,$A$2,Data!IV:IV),0)</f>
        <v>0</v>
      </c>
      <c r="F43" s="21" t="str">
        <f t="shared" si="3"/>
        <v/>
      </c>
    </row>
    <row r="44" spans="1:6" x14ac:dyDescent="0.2">
      <c r="A44" s="19">
        <v>9</v>
      </c>
      <c r="B44" s="181" t="s">
        <v>8</v>
      </c>
      <c r="C44" s="182"/>
      <c r="D44" s="14">
        <f>IF(F3="1",SUMIF(Data!A:A,'10'!$A$2,Data!DC:DC),0)</f>
        <v>5808</v>
      </c>
      <c r="E44" s="17">
        <f>IF($F$3="1",SUMIF(Data!$A:$A,$A$2,Data!IW:IW),0)</f>
        <v>131</v>
      </c>
      <c r="F44" s="21">
        <f t="shared" si="3"/>
        <v>0.02</v>
      </c>
    </row>
    <row r="45" spans="1:6" x14ac:dyDescent="0.2">
      <c r="A45" s="19">
        <v>10</v>
      </c>
      <c r="B45" s="181" t="s">
        <v>9</v>
      </c>
      <c r="C45" s="182"/>
      <c r="D45" s="14">
        <f>IF(F3="1",SUMIF(Data!A:A,'10'!$A$2,Data!DD:DD),0)</f>
        <v>0</v>
      </c>
      <c r="E45" s="17">
        <f>IF($F$3="1",SUMIF(Data!$A:$A,$A$2,Data!IX:IX),0)</f>
        <v>0</v>
      </c>
      <c r="F45" s="21" t="str">
        <f t="shared" si="3"/>
        <v/>
      </c>
    </row>
    <row r="46" spans="1:6" x14ac:dyDescent="0.2">
      <c r="A46" s="19">
        <v>11</v>
      </c>
      <c r="B46" s="181" t="s">
        <v>10</v>
      </c>
      <c r="C46" s="182"/>
      <c r="D46" s="14">
        <f>IF(F3="1",SUMIF(Data!A:A,'10'!$A$2,Data!DE:DE),0)</f>
        <v>752</v>
      </c>
      <c r="E46" s="17">
        <f>IF($F$3="1",SUMIF(Data!$A:$A,$A$2,Data!IY:IY),0)</f>
        <v>79</v>
      </c>
      <c r="F46" s="21">
        <f t="shared" si="3"/>
        <v>0.11</v>
      </c>
    </row>
    <row r="47" spans="1:6" ht="14.25" customHeight="1" x14ac:dyDescent="0.2">
      <c r="A47" s="19">
        <v>12</v>
      </c>
      <c r="B47" s="181" t="s">
        <v>11</v>
      </c>
      <c r="C47" s="182"/>
      <c r="D47" s="14">
        <f>IF(F3="1",SUMIF(Data!A:A,'10'!$A$2,Data!DF:DF),0)</f>
        <v>81536</v>
      </c>
      <c r="E47" s="17">
        <f>IF($F$3="1",SUMIF(Data!$A:$A,$A$2,Data!IZ:IZ),0)</f>
        <v>8159</v>
      </c>
      <c r="F47" s="21">
        <f t="shared" si="3"/>
        <v>0.1</v>
      </c>
    </row>
    <row r="48" spans="1:6" x14ac:dyDescent="0.2">
      <c r="A48" s="19">
        <v>13</v>
      </c>
      <c r="B48" s="181" t="s">
        <v>12</v>
      </c>
      <c r="C48" s="182"/>
      <c r="D48" s="14">
        <f>IF(F3="1",SUMIF(Data!A:A,'10'!$A$2,Data!DG:DG),0)</f>
        <v>2160</v>
      </c>
      <c r="E48" s="17">
        <f>IF($F$3="1",SUMIF(Data!$A:$A,$A$2,Data!JA:JA),0)</f>
        <v>49</v>
      </c>
      <c r="F48" s="21">
        <f t="shared" si="3"/>
        <v>0.02</v>
      </c>
    </row>
    <row r="49" spans="1:6" ht="14.25" customHeight="1" x14ac:dyDescent="0.2">
      <c r="A49" s="19">
        <v>14</v>
      </c>
      <c r="B49" s="181" t="s">
        <v>464</v>
      </c>
      <c r="C49" s="182"/>
      <c r="D49" s="14">
        <f>IF(F3="1",SUMIF(Data!A:A,'10'!$A$2,Data!DH:DH),0)</f>
        <v>0</v>
      </c>
      <c r="E49" s="17">
        <f>IF($F$3="1",SUMIF(Data!$A:$A,$A$2,Data!JB:JB),0)</f>
        <v>0</v>
      </c>
      <c r="F49" s="21" t="str">
        <f t="shared" si="3"/>
        <v/>
      </c>
    </row>
    <row r="50" spans="1:6" x14ac:dyDescent="0.2">
      <c r="A50" s="19">
        <v>15</v>
      </c>
      <c r="B50" s="181" t="s">
        <v>13</v>
      </c>
      <c r="C50" s="182"/>
      <c r="D50" s="14">
        <f>IF(F3="1",SUMIF(Data!A:A,'10'!$A$2,Data!DI:DI),0)</f>
        <v>0</v>
      </c>
      <c r="E50" s="17">
        <f>IF($F$3="1",SUMIF(Data!$A:$A,$A$2,Data!JC:JC),0)</f>
        <v>0</v>
      </c>
      <c r="F50" s="21" t="str">
        <f t="shared" si="3"/>
        <v/>
      </c>
    </row>
    <row r="51" spans="1:6" x14ac:dyDescent="0.2">
      <c r="A51" s="19">
        <v>16</v>
      </c>
      <c r="B51" s="181" t="s">
        <v>14</v>
      </c>
      <c r="C51" s="182"/>
      <c r="D51" s="14">
        <f>IF(F3="1",SUMIF(Data!A:A,'10'!$A$2,Data!DJ:DJ),0)</f>
        <v>21000</v>
      </c>
      <c r="E51" s="17">
        <f>IF($F$3="1",SUMIF(Data!$A:$A,$A$2,Data!JD:JD),0)</f>
        <v>3228</v>
      </c>
      <c r="F51" s="21">
        <f t="shared" si="3"/>
        <v>0.15</v>
      </c>
    </row>
    <row r="52" spans="1:6" x14ac:dyDescent="0.2">
      <c r="A52" s="19">
        <v>17</v>
      </c>
      <c r="B52" s="181" t="s">
        <v>15</v>
      </c>
      <c r="C52" s="182"/>
      <c r="D52" s="14">
        <f>IF(F3="1",SUMIF(Data!A:A,'10'!$A$2,Data!DK:DK),0)</f>
        <v>0</v>
      </c>
      <c r="E52" s="17">
        <f>IF($F$3="1",SUMIF(Data!$A:$A,$A$2,Data!JE:JE),0)</f>
        <v>0</v>
      </c>
      <c r="F52" s="21" t="str">
        <f t="shared" si="3"/>
        <v/>
      </c>
    </row>
    <row r="53" spans="1:6" x14ac:dyDescent="0.2">
      <c r="A53" s="19">
        <v>18</v>
      </c>
      <c r="B53" s="181" t="s">
        <v>16</v>
      </c>
      <c r="C53" s="182"/>
      <c r="D53" s="14">
        <f>IF(F3="1",SUMIF(Data!A:A,'10'!$A$2,Data!DL:DL),0)</f>
        <v>0</v>
      </c>
      <c r="E53" s="17">
        <f>IF($F$3="1",SUMIF(Data!$A:$A,$A$2,Data!JF:JF),0)</f>
        <v>10254</v>
      </c>
      <c r="F53" s="21" t="str">
        <f t="shared" si="3"/>
        <v/>
      </c>
    </row>
    <row r="54" spans="1:6" x14ac:dyDescent="0.2">
      <c r="A54" s="19">
        <v>19</v>
      </c>
      <c r="B54" s="181" t="s">
        <v>17</v>
      </c>
      <c r="C54" s="182"/>
      <c r="D54" s="14">
        <f>IF(F3="1",SUMIF(Data!A:A,'10'!$A$2,Data!DM:DM),0)</f>
        <v>43248</v>
      </c>
      <c r="E54" s="17">
        <f>IF($F$3="1",SUMIF(Data!$A:$A,$A$2,Data!JG:JG),0)</f>
        <v>2011</v>
      </c>
      <c r="F54" s="21">
        <f t="shared" si="3"/>
        <v>0.05</v>
      </c>
    </row>
    <row r="55" spans="1:6" x14ac:dyDescent="0.2">
      <c r="A55" s="19">
        <v>20</v>
      </c>
      <c r="B55" s="181" t="s">
        <v>18</v>
      </c>
      <c r="C55" s="182"/>
      <c r="D55" s="14">
        <f>IF(F3="1",SUMIF(Data!A:A,'10'!$A$2,Data!DN:DN),0)</f>
        <v>0</v>
      </c>
      <c r="E55" s="17">
        <f>IF($F$3="1",SUMIF(Data!$A:$A,$A$2,Data!JH:JH),0)</f>
        <v>0</v>
      </c>
      <c r="F55" s="21" t="str">
        <f t="shared" si="3"/>
        <v/>
      </c>
    </row>
    <row r="56" spans="1:6" ht="14.25" customHeight="1" x14ac:dyDescent="0.2">
      <c r="A56" s="19">
        <v>21</v>
      </c>
      <c r="B56" s="181" t="s">
        <v>461</v>
      </c>
      <c r="C56" s="182"/>
      <c r="D56" s="14">
        <f>IF(F3="1",SUMIF(Data!A:A,'10'!$A$2,Data!DO:DO),0)</f>
        <v>0</v>
      </c>
      <c r="E56" s="17">
        <f>IF($F$3="1",SUMIF(Data!$A:$A,$A$2,Data!JI:JI),0)</f>
        <v>0</v>
      </c>
      <c r="F56" s="21" t="str">
        <f t="shared" si="3"/>
        <v/>
      </c>
    </row>
    <row r="57" spans="1:6" x14ac:dyDescent="0.2">
      <c r="A57" s="19">
        <v>22</v>
      </c>
      <c r="B57" s="181" t="s">
        <v>19</v>
      </c>
      <c r="C57" s="182"/>
      <c r="D57" s="14">
        <f>IF(F3="1",SUMIF(Data!A:A,'10'!$A$2,Data!DP:DP),0)</f>
        <v>0</v>
      </c>
      <c r="E57" s="17">
        <f>IF($F$3="1",SUMIF(Data!$A:$A,$A$2,Data!JJ:JJ),0)</f>
        <v>0</v>
      </c>
      <c r="F57" s="21" t="str">
        <f t="shared" si="3"/>
        <v/>
      </c>
    </row>
    <row r="58" spans="1:6" x14ac:dyDescent="0.2">
      <c r="A58" s="19">
        <v>23</v>
      </c>
      <c r="B58" s="181" t="s">
        <v>20</v>
      </c>
      <c r="C58" s="182"/>
      <c r="D58" s="14">
        <f>IF(F3="1",SUMIF(Data!A:A,'10'!$A$2,Data!DQ:DQ),0)</f>
        <v>24384</v>
      </c>
      <c r="E58" s="17">
        <f>IF($F$3="1",SUMIF(Data!$A:$A,$A$2,Data!JK:JK),0)</f>
        <v>34784</v>
      </c>
      <c r="F58" s="21">
        <f t="shared" si="3"/>
        <v>1.43</v>
      </c>
    </row>
    <row r="59" spans="1:6" x14ac:dyDescent="0.2">
      <c r="A59" s="19">
        <v>24</v>
      </c>
      <c r="B59" s="181" t="s">
        <v>21</v>
      </c>
      <c r="C59" s="182"/>
      <c r="D59" s="14">
        <f>IF(F3="1",SUMIF(Data!A:A,'10'!$A$2,Data!DR:DR),0)</f>
        <v>2016</v>
      </c>
      <c r="E59" s="17">
        <f>IF($F$3="1",SUMIF(Data!$A:$A,$A$2,Data!JL:JL),0)</f>
        <v>46</v>
      </c>
      <c r="F59" s="21">
        <f t="shared" si="3"/>
        <v>0.02</v>
      </c>
    </row>
    <row r="60" spans="1:6" x14ac:dyDescent="0.2">
      <c r="A60" s="19">
        <v>25</v>
      </c>
      <c r="B60" s="181" t="s">
        <v>22</v>
      </c>
      <c r="C60" s="182"/>
      <c r="D60" s="14">
        <f>IF(F3="1",SUMIF(Data!A:A,'10'!$A$2,Data!DS:DS),0)</f>
        <v>70224</v>
      </c>
      <c r="E60" s="17">
        <f>IF($F$3="1",SUMIF(Data!$A:$A,$A$2,Data!JM:JM),0)</f>
        <v>5977</v>
      </c>
      <c r="F60" s="21">
        <f t="shared" si="3"/>
        <v>0.09</v>
      </c>
    </row>
    <row r="61" spans="1:6" x14ac:dyDescent="0.2">
      <c r="A61" s="19">
        <v>26</v>
      </c>
      <c r="B61" s="181" t="s">
        <v>23</v>
      </c>
      <c r="C61" s="182"/>
      <c r="D61" s="14">
        <f>IF(F3="1",SUMIF(Data!A:A,'10'!$A$2,Data!DT:DT),0)</f>
        <v>17264</v>
      </c>
      <c r="E61" s="17">
        <f>IF($F$3="1",SUMIF(Data!$A:$A,$A$2,Data!JN:JN),0)</f>
        <v>4387</v>
      </c>
      <c r="F61" s="21">
        <f t="shared" si="3"/>
        <v>0.25</v>
      </c>
    </row>
    <row r="62" spans="1:6" x14ac:dyDescent="0.2">
      <c r="A62" s="19">
        <v>28</v>
      </c>
      <c r="B62" s="181" t="s">
        <v>24</v>
      </c>
      <c r="C62" s="182"/>
      <c r="D62" s="14">
        <f>IF(F3="1",SUMIF(Data!A:A,'10'!$A$2,Data!DV:DV),0)</f>
        <v>0</v>
      </c>
      <c r="E62" s="17">
        <f>IF($F$3="1",SUMIF(Data!$A:$A,$A$2,Data!JP:JP),0)</f>
        <v>0</v>
      </c>
      <c r="F62" s="21" t="str">
        <f t="shared" si="3"/>
        <v/>
      </c>
    </row>
    <row r="63" spans="1:6" ht="15.75" customHeight="1" thickBot="1" x14ac:dyDescent="0.25">
      <c r="A63" s="22">
        <v>29</v>
      </c>
      <c r="B63" s="183" t="s">
        <v>25</v>
      </c>
      <c r="C63" s="184"/>
      <c r="D63" s="23">
        <f>IF(F3="1",SUMIF(Data!A:A,'10'!$A$2,Data!DW:DW),0)</f>
        <v>0</v>
      </c>
      <c r="E63" s="24">
        <f>IF($F$3="1",SUMIF(Data!$A:$A,$A$2,Data!JQ:JQ),0)</f>
        <v>0</v>
      </c>
      <c r="F63" s="25" t="str">
        <f t="shared" si="3"/>
        <v/>
      </c>
    </row>
    <row r="64" spans="1:6" x14ac:dyDescent="0.2">
      <c r="B64" s="30" t="s">
        <v>35</v>
      </c>
      <c r="C64" s="30"/>
      <c r="D64" s="59">
        <f>SUM(D36:D63)</f>
        <v>397814</v>
      </c>
      <c r="E64" s="31">
        <f>SUM(E36:E63)</f>
        <v>199386</v>
      </c>
      <c r="F64" s="32">
        <f t="shared" si="3"/>
        <v>0.5</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41760</v>
      </c>
      <c r="E67" s="15">
        <f>IF(F3="1",SUMIF(Data!A:A,'10'!$A$2,Data!DY:DY),0)</f>
        <v>191208</v>
      </c>
      <c r="F67" s="20">
        <f t="shared" ref="F67:F95" si="4">IF(OR(D67=0,E67=0),"",ROUND(E67/D67,2))</f>
        <v>4.58</v>
      </c>
    </row>
    <row r="68" spans="1:6" x14ac:dyDescent="0.2">
      <c r="A68" s="19">
        <v>2</v>
      </c>
      <c r="B68" s="181" t="s">
        <v>1</v>
      </c>
      <c r="C68" s="182"/>
      <c r="D68" s="14">
        <f t="shared" ref="D68:D94" si="5">D37</f>
        <v>3808</v>
      </c>
      <c r="E68" s="17">
        <f>IF(F3="1",SUMIF(Data!A:A,'10'!$A$2,Data!DZ:DZ),0)</f>
        <v>41812</v>
      </c>
      <c r="F68" s="21">
        <f t="shared" si="4"/>
        <v>10.98</v>
      </c>
    </row>
    <row r="69" spans="1:6" ht="14.25" customHeight="1" x14ac:dyDescent="0.2">
      <c r="A69" s="19">
        <v>3</v>
      </c>
      <c r="B69" s="181" t="s">
        <v>2</v>
      </c>
      <c r="C69" s="182"/>
      <c r="D69" s="14">
        <f t="shared" si="5"/>
        <v>39248</v>
      </c>
      <c r="E69" s="17">
        <f>IF(F3="1",SUMIF(Data!A:A,'10'!$A$2,Data!EA:EA),0)</f>
        <v>83783</v>
      </c>
      <c r="F69" s="21">
        <f t="shared" si="4"/>
        <v>2.13</v>
      </c>
    </row>
    <row r="70" spans="1:6" ht="14.25" customHeight="1" x14ac:dyDescent="0.2">
      <c r="A70" s="19">
        <v>4</v>
      </c>
      <c r="B70" s="181" t="s">
        <v>3</v>
      </c>
      <c r="C70" s="182"/>
      <c r="D70" s="14">
        <f t="shared" si="5"/>
        <v>22102</v>
      </c>
      <c r="E70" s="17">
        <f>IF(F3="1",SUMIF(Data!A:A,'10'!$A$2,Data!EB:EB),0)</f>
        <v>47964</v>
      </c>
      <c r="F70" s="21">
        <f t="shared" si="4"/>
        <v>2.17</v>
      </c>
    </row>
    <row r="71" spans="1:6" x14ac:dyDescent="0.2">
      <c r="A71" s="19">
        <v>5</v>
      </c>
      <c r="B71" s="181" t="s">
        <v>4</v>
      </c>
      <c r="C71" s="182"/>
      <c r="D71" s="14">
        <f t="shared" si="5"/>
        <v>0</v>
      </c>
      <c r="E71" s="17">
        <f>IF(F3="1",SUMIF(Data!A:A,'10'!$A$2,Data!EC:EC),0)</f>
        <v>0</v>
      </c>
      <c r="F71" s="21" t="str">
        <f t="shared" si="4"/>
        <v/>
      </c>
    </row>
    <row r="72" spans="1:6" x14ac:dyDescent="0.2">
      <c r="A72" s="19">
        <v>6</v>
      </c>
      <c r="B72" s="181" t="s">
        <v>5</v>
      </c>
      <c r="C72" s="182"/>
      <c r="D72" s="14">
        <f t="shared" si="5"/>
        <v>336</v>
      </c>
      <c r="E72" s="17">
        <f>IF(F3="1",SUMIF(Data!A:A,'10'!$A$2,Data!ED:ED),0)</f>
        <v>838</v>
      </c>
      <c r="F72" s="21">
        <f t="shared" si="4"/>
        <v>2.4900000000000002</v>
      </c>
    </row>
    <row r="73" spans="1:6" x14ac:dyDescent="0.2">
      <c r="A73" s="19">
        <v>7</v>
      </c>
      <c r="B73" s="181" t="s">
        <v>6</v>
      </c>
      <c r="C73" s="182"/>
      <c r="D73" s="14">
        <f t="shared" si="5"/>
        <v>22168</v>
      </c>
      <c r="E73" s="17">
        <f>IF(F3="1",SUMIF(Data!A:A,'10'!$A$2,Data!EE:EE),0)</f>
        <v>104917</v>
      </c>
      <c r="F73" s="21">
        <f t="shared" si="4"/>
        <v>4.7300000000000004</v>
      </c>
    </row>
    <row r="74" spans="1:6" x14ac:dyDescent="0.2">
      <c r="A74" s="19">
        <v>8</v>
      </c>
      <c r="B74" s="181" t="s">
        <v>7</v>
      </c>
      <c r="C74" s="182"/>
      <c r="D74" s="14">
        <f t="shared" si="5"/>
        <v>0</v>
      </c>
      <c r="E74" s="17">
        <f>IF(F3="1",SUMIF(Data!A:A,'10'!$A$2,Data!EF:EF),0)</f>
        <v>0</v>
      </c>
      <c r="F74" s="21" t="str">
        <f t="shared" si="4"/>
        <v/>
      </c>
    </row>
    <row r="75" spans="1:6" x14ac:dyDescent="0.2">
      <c r="A75" s="19">
        <v>9</v>
      </c>
      <c r="B75" s="181" t="s">
        <v>8</v>
      </c>
      <c r="C75" s="182"/>
      <c r="D75" s="14">
        <f t="shared" si="5"/>
        <v>5808</v>
      </c>
      <c r="E75" s="17">
        <f>IF(F3="1",SUMIF(Data!A:A,'10'!$A$2,Data!EG:EG),0)</f>
        <v>12399</v>
      </c>
      <c r="F75" s="21">
        <f t="shared" si="4"/>
        <v>2.13</v>
      </c>
    </row>
    <row r="76" spans="1:6" x14ac:dyDescent="0.2">
      <c r="A76" s="19">
        <v>10</v>
      </c>
      <c r="B76" s="181" t="s">
        <v>9</v>
      </c>
      <c r="C76" s="182"/>
      <c r="D76" s="14">
        <f t="shared" si="5"/>
        <v>0</v>
      </c>
      <c r="E76" s="17">
        <f>IF(F3="1",SUMIF(Data!A:A,'10'!$A$2,Data!EH:EH),0)</f>
        <v>0</v>
      </c>
      <c r="F76" s="21" t="str">
        <f t="shared" si="4"/>
        <v/>
      </c>
    </row>
    <row r="77" spans="1:6" x14ac:dyDescent="0.2">
      <c r="A77" s="19">
        <v>11</v>
      </c>
      <c r="B77" s="181" t="s">
        <v>10</v>
      </c>
      <c r="C77" s="182"/>
      <c r="D77" s="14">
        <f t="shared" si="5"/>
        <v>752</v>
      </c>
      <c r="E77" s="17">
        <f>IF(F3="1",SUMIF(Data!A:A,'10'!$A$2,Data!EI:EI),0)</f>
        <v>2055</v>
      </c>
      <c r="F77" s="21">
        <f t="shared" si="4"/>
        <v>2.73</v>
      </c>
    </row>
    <row r="78" spans="1:6" ht="14.25" customHeight="1" x14ac:dyDescent="0.2">
      <c r="A78" s="19">
        <v>12</v>
      </c>
      <c r="B78" s="181" t="s">
        <v>11</v>
      </c>
      <c r="C78" s="182"/>
      <c r="D78" s="14">
        <f t="shared" si="5"/>
        <v>81536</v>
      </c>
      <c r="E78" s="17">
        <f>IF(F3="1",SUMIF(Data!A:A,'10'!$A$2,Data!EJ:EJ),0)</f>
        <v>203384</v>
      </c>
      <c r="F78" s="21">
        <f t="shared" si="4"/>
        <v>2.4900000000000002</v>
      </c>
    </row>
    <row r="79" spans="1:6" x14ac:dyDescent="0.2">
      <c r="A79" s="19">
        <v>13</v>
      </c>
      <c r="B79" s="181" t="s">
        <v>12</v>
      </c>
      <c r="C79" s="182"/>
      <c r="D79" s="14">
        <f t="shared" si="5"/>
        <v>2160</v>
      </c>
      <c r="E79" s="17">
        <f>IF(F3="1",SUMIF(Data!A:A,'10'!$A$2,Data!EK:EK),0)</f>
        <v>5388</v>
      </c>
      <c r="F79" s="21">
        <f t="shared" si="4"/>
        <v>2.4900000000000002</v>
      </c>
    </row>
    <row r="80" spans="1:6" ht="14.25" customHeight="1" x14ac:dyDescent="0.2">
      <c r="A80" s="19">
        <v>14</v>
      </c>
      <c r="B80" s="181" t="s">
        <v>464</v>
      </c>
      <c r="C80" s="182"/>
      <c r="D80" s="14">
        <f t="shared" si="5"/>
        <v>0</v>
      </c>
      <c r="E80" s="17">
        <f>IF(F3="1",SUMIF(Data!A:A,'10'!$A$2,Data!EL:EL),0)</f>
        <v>0</v>
      </c>
      <c r="F80" s="21" t="str">
        <f t="shared" si="4"/>
        <v/>
      </c>
    </row>
    <row r="81" spans="1:6" x14ac:dyDescent="0.2">
      <c r="A81" s="19">
        <v>15</v>
      </c>
      <c r="B81" s="181" t="s">
        <v>13</v>
      </c>
      <c r="C81" s="182"/>
      <c r="D81" s="14">
        <f t="shared" si="5"/>
        <v>0</v>
      </c>
      <c r="E81" s="17">
        <f>IF(F3="1",SUMIF(Data!A:A,'10'!$A$2,Data!EM:EM),0)</f>
        <v>0</v>
      </c>
      <c r="F81" s="21" t="str">
        <f t="shared" si="4"/>
        <v/>
      </c>
    </row>
    <row r="82" spans="1:6" x14ac:dyDescent="0.2">
      <c r="A82" s="19">
        <v>16</v>
      </c>
      <c r="B82" s="181" t="s">
        <v>14</v>
      </c>
      <c r="C82" s="182"/>
      <c r="D82" s="14">
        <f t="shared" si="5"/>
        <v>21000</v>
      </c>
      <c r="E82" s="17">
        <f>IF(F3="1",SUMIF(Data!A:A,'10'!$A$2,Data!EN:EN),0)</f>
        <v>25328</v>
      </c>
      <c r="F82" s="21">
        <f t="shared" si="4"/>
        <v>1.21</v>
      </c>
    </row>
    <row r="83" spans="1:6" x14ac:dyDescent="0.2">
      <c r="A83" s="19">
        <v>17</v>
      </c>
      <c r="B83" s="181" t="s">
        <v>15</v>
      </c>
      <c r="C83" s="182"/>
      <c r="D83" s="14">
        <f t="shared" si="5"/>
        <v>0</v>
      </c>
      <c r="E83" s="17">
        <f>IF(F3="1",SUMIF(Data!A:A,'10'!$A$2,Data!EO:EO),0)</f>
        <v>0</v>
      </c>
      <c r="F83" s="21" t="str">
        <f t="shared" si="4"/>
        <v/>
      </c>
    </row>
    <row r="84" spans="1:6" x14ac:dyDescent="0.2">
      <c r="A84" s="19">
        <v>18</v>
      </c>
      <c r="B84" s="181" t="s">
        <v>16</v>
      </c>
      <c r="C84" s="182"/>
      <c r="D84" s="14">
        <f t="shared" si="5"/>
        <v>0</v>
      </c>
      <c r="E84" s="17">
        <f>IF(F3="1",SUMIF(Data!A:A,'10'!$A$2,Data!EP:EP),0)</f>
        <v>36331</v>
      </c>
      <c r="F84" s="21" t="str">
        <f t="shared" si="4"/>
        <v/>
      </c>
    </row>
    <row r="85" spans="1:6" x14ac:dyDescent="0.2">
      <c r="A85" s="19">
        <v>19</v>
      </c>
      <c r="B85" s="181" t="s">
        <v>17</v>
      </c>
      <c r="C85" s="182"/>
      <c r="D85" s="14">
        <f t="shared" si="5"/>
        <v>43248</v>
      </c>
      <c r="E85" s="17">
        <f>IF(F3="1",SUMIF(Data!A:A,'10'!$A$2,Data!EQ:EQ),0)</f>
        <v>73812</v>
      </c>
      <c r="F85" s="21">
        <f t="shared" si="4"/>
        <v>1.71</v>
      </c>
    </row>
    <row r="86" spans="1:6" x14ac:dyDescent="0.2">
      <c r="A86" s="19">
        <v>20</v>
      </c>
      <c r="B86" s="181" t="s">
        <v>18</v>
      </c>
      <c r="C86" s="182"/>
      <c r="D86" s="14">
        <f t="shared" si="5"/>
        <v>0</v>
      </c>
      <c r="E86" s="17">
        <f>IF(F3="1",SUMIF(Data!A:A,'10'!$A$2,Data!ER:ER),0)</f>
        <v>0</v>
      </c>
      <c r="F86" s="21" t="str">
        <f t="shared" si="4"/>
        <v/>
      </c>
    </row>
    <row r="87" spans="1:6" ht="14.25" customHeight="1" x14ac:dyDescent="0.2">
      <c r="A87" s="19">
        <v>21</v>
      </c>
      <c r="B87" s="181" t="s">
        <v>461</v>
      </c>
      <c r="C87" s="182"/>
      <c r="D87" s="14">
        <f t="shared" si="5"/>
        <v>0</v>
      </c>
      <c r="E87" s="17">
        <f>IF(F3="1",SUMIF(Data!A:A,'10'!$A$2,Data!ES:ES),0)</f>
        <v>0</v>
      </c>
      <c r="F87" s="21" t="str">
        <f t="shared" si="4"/>
        <v/>
      </c>
    </row>
    <row r="88" spans="1:6" x14ac:dyDescent="0.2">
      <c r="A88" s="19">
        <v>22</v>
      </c>
      <c r="B88" s="181" t="s">
        <v>19</v>
      </c>
      <c r="C88" s="182"/>
      <c r="D88" s="14">
        <f t="shared" si="5"/>
        <v>0</v>
      </c>
      <c r="E88" s="17">
        <f>IF(F3="1",SUMIF(Data!A:A,'10'!$A$2,Data!ET:ET),0)</f>
        <v>0</v>
      </c>
      <c r="F88" s="21" t="str">
        <f t="shared" si="4"/>
        <v/>
      </c>
    </row>
    <row r="89" spans="1:6" x14ac:dyDescent="0.2">
      <c r="A89" s="19">
        <v>23</v>
      </c>
      <c r="B89" s="181" t="s">
        <v>20</v>
      </c>
      <c r="C89" s="182"/>
      <c r="D89" s="14">
        <f t="shared" si="5"/>
        <v>24384</v>
      </c>
      <c r="E89" s="17">
        <f>IF(F3="1",SUMIF(Data!A:A,'10'!$A$2,Data!EU:EU),0)</f>
        <v>150323</v>
      </c>
      <c r="F89" s="21">
        <f t="shared" si="4"/>
        <v>6.16</v>
      </c>
    </row>
    <row r="90" spans="1:6" x14ac:dyDescent="0.2">
      <c r="A90" s="19">
        <v>24</v>
      </c>
      <c r="B90" s="181" t="s">
        <v>21</v>
      </c>
      <c r="C90" s="182"/>
      <c r="D90" s="14">
        <f t="shared" si="5"/>
        <v>2016</v>
      </c>
      <c r="E90" s="17">
        <f>IF(F3="1",SUMIF(Data!A:A,'10'!$A$2,Data!EV:EV),0)</f>
        <v>4304</v>
      </c>
      <c r="F90" s="21">
        <f t="shared" si="4"/>
        <v>2.13</v>
      </c>
    </row>
    <row r="91" spans="1:6" x14ac:dyDescent="0.2">
      <c r="A91" s="19">
        <v>25</v>
      </c>
      <c r="B91" s="181" t="s">
        <v>22</v>
      </c>
      <c r="C91" s="182"/>
      <c r="D91" s="14">
        <f t="shared" si="5"/>
        <v>70224</v>
      </c>
      <c r="E91" s="17">
        <f>IF(F3="1",SUMIF(Data!A:A,'10'!$A$2,Data!EW:EW),0)</f>
        <v>203555</v>
      </c>
      <c r="F91" s="21">
        <f t="shared" si="4"/>
        <v>2.9</v>
      </c>
    </row>
    <row r="92" spans="1:6" x14ac:dyDescent="0.2">
      <c r="A92" s="19">
        <v>26</v>
      </c>
      <c r="B92" s="181" t="s">
        <v>23</v>
      </c>
      <c r="C92" s="182"/>
      <c r="D92" s="14">
        <f t="shared" si="5"/>
        <v>17264</v>
      </c>
      <c r="E92" s="17">
        <f>IF(F3="1",SUMIF(Data!A:A,'10'!$A$2,Data!EX:EX),0)</f>
        <v>73549</v>
      </c>
      <c r="F92" s="21">
        <f t="shared" si="4"/>
        <v>4.26</v>
      </c>
    </row>
    <row r="93" spans="1:6" x14ac:dyDescent="0.2">
      <c r="A93" s="19">
        <v>28</v>
      </c>
      <c r="B93" s="181" t="s">
        <v>24</v>
      </c>
      <c r="C93" s="182"/>
      <c r="D93" s="14">
        <f t="shared" si="5"/>
        <v>0</v>
      </c>
      <c r="E93" s="17">
        <f>IF(F3="1",SUMIF(Data!A:A,'10'!$A$2,Data!EZ:EZ),0)</f>
        <v>0</v>
      </c>
      <c r="F93" s="21" t="str">
        <f t="shared" si="4"/>
        <v/>
      </c>
    </row>
    <row r="94" spans="1:6" ht="15.75" customHeight="1" thickBot="1" x14ac:dyDescent="0.25">
      <c r="A94" s="22">
        <v>29</v>
      </c>
      <c r="B94" s="183" t="s">
        <v>25</v>
      </c>
      <c r="C94" s="184"/>
      <c r="D94" s="23">
        <f t="shared" si="5"/>
        <v>0</v>
      </c>
      <c r="E94" s="24">
        <f>IF(F3="1",SUMIF(Data!A:A,'10'!$A$2,Data!FA:FA),0)</f>
        <v>0</v>
      </c>
      <c r="F94" s="25" t="str">
        <f t="shared" si="4"/>
        <v/>
      </c>
    </row>
    <row r="95" spans="1:6" x14ac:dyDescent="0.2">
      <c r="B95" s="30" t="s">
        <v>35</v>
      </c>
      <c r="C95" s="30"/>
      <c r="D95" s="59">
        <f>SUM(D67:D94)</f>
        <v>397814</v>
      </c>
      <c r="E95" s="31">
        <f>SUM(E67:E94)</f>
        <v>1260950</v>
      </c>
      <c r="F95" s="32">
        <f t="shared" si="4"/>
        <v>3.17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IF(F3="1",SUMIF(Data!A:A,'10'!$A$2,Data!AH:AH),0)</f>
        <v>980894</v>
      </c>
      <c r="F98" s="20">
        <f>IF(OR(E98=0,E98=0),"",ROUND(E98/$D$105,2))</f>
        <v>2.4700000000000002</v>
      </c>
    </row>
    <row r="99" spans="2:6" x14ac:dyDescent="0.2">
      <c r="B99" s="187" t="s">
        <v>31</v>
      </c>
      <c r="C99" s="188"/>
      <c r="D99" s="36"/>
      <c r="E99" s="17">
        <f>IF(F3="1",SUMIF(Data!A:A,'10'!$A$2,Data!AI:AI),0)</f>
        <v>286045</v>
      </c>
      <c r="F99" s="21">
        <f t="shared" ref="F99:F104" si="6">IF(OR(E99=0,E99=0),"",ROUND(E99/$D$105,2))</f>
        <v>0.72</v>
      </c>
    </row>
    <row r="100" spans="2:6" x14ac:dyDescent="0.2">
      <c r="B100" s="187" t="s">
        <v>1078</v>
      </c>
      <c r="C100" s="188"/>
      <c r="D100" s="36"/>
      <c r="E100" s="17">
        <f>IF(F3="1",SUMIF(Data!A:A,'10'!$A$2,Data!AJ:AJ),0)</f>
        <v>104311</v>
      </c>
      <c r="F100" s="21">
        <f t="shared" si="6"/>
        <v>0.26</v>
      </c>
    </row>
    <row r="101" spans="2:6" x14ac:dyDescent="0.2">
      <c r="B101" s="187" t="s">
        <v>1079</v>
      </c>
      <c r="C101" s="188"/>
      <c r="D101" s="36"/>
      <c r="E101" s="17">
        <f>IF(F3="1",SUMIF(Data!A:A,'10'!$A$2,Data!AK:AK),0)</f>
        <v>165483</v>
      </c>
      <c r="F101" s="21">
        <f t="shared" si="6"/>
        <v>0.42</v>
      </c>
    </row>
    <row r="102" spans="2:6" x14ac:dyDescent="0.2">
      <c r="B102" s="187" t="s">
        <v>1080</v>
      </c>
      <c r="C102" s="188"/>
      <c r="D102" s="36"/>
      <c r="E102" s="17">
        <f>IF(F3="1",SUMIF(Data!A:A,'10'!$A$2,Data!AL:AL),0)</f>
        <v>0</v>
      </c>
      <c r="F102" s="21" t="str">
        <f t="shared" si="6"/>
        <v/>
      </c>
    </row>
    <row r="103" spans="2:6" x14ac:dyDescent="0.2">
      <c r="B103" s="189" t="s">
        <v>34</v>
      </c>
      <c r="C103" s="190"/>
      <c r="D103" s="36"/>
      <c r="E103" s="17">
        <f>IF(F3="1",SUMIF(Data!A:A,'10'!$A$2,Data!AM:AM),0)</f>
        <v>0</v>
      </c>
      <c r="F103" s="21" t="str">
        <f t="shared" si="6"/>
        <v/>
      </c>
    </row>
    <row r="104" spans="2:6" ht="15.75" customHeight="1" thickBot="1" x14ac:dyDescent="0.25">
      <c r="B104" s="179" t="s">
        <v>29</v>
      </c>
      <c r="C104" s="180"/>
      <c r="D104" s="37"/>
      <c r="E104" s="24">
        <f>IF(F3="1",SUMIF(Data!A:A,'10'!$A$2,Data!Q:Q),0)</f>
        <v>88927</v>
      </c>
      <c r="F104" s="25">
        <f t="shared" si="6"/>
        <v>0.22</v>
      </c>
    </row>
    <row r="105" spans="2:6" x14ac:dyDescent="0.2">
      <c r="B105" s="30" t="s">
        <v>35</v>
      </c>
      <c r="C105" s="30"/>
      <c r="D105" s="34">
        <f>D95</f>
        <v>397814</v>
      </c>
      <c r="E105" s="31">
        <f>SUM(E98:E104)</f>
        <v>1625660</v>
      </c>
      <c r="F105" s="32">
        <f>IF($D$105=0,"",ROUND(E105/$D$105,2))</f>
        <v>4.09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1260950</v>
      </c>
      <c r="D109" s="15">
        <f>IF(F3="1",SUMIF(Data!$A:$A,$A$2,Data!HJ:HJ),0)</f>
        <v>0</v>
      </c>
      <c r="E109" s="15">
        <f>IF(F3="1",SUMIF(Data!$A:$A,$A$2,Data!IN:IN),0)</f>
        <v>0</v>
      </c>
      <c r="F109" s="47">
        <f>SUM(C109:E109)</f>
        <v>1260950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88927</v>
      </c>
      <c r="E117" s="52"/>
      <c r="F117" s="49">
        <f>SUM(C117:E117)</f>
        <v>88927</v>
      </c>
    </row>
    <row r="118" spans="1:6" x14ac:dyDescent="0.2">
      <c r="B118" s="13" t="s">
        <v>35</v>
      </c>
      <c r="C118" s="4">
        <f>SUM(C109:C116)</f>
        <v>1260950</v>
      </c>
      <c r="D118" s="4">
        <f>SUM(D109:D116)</f>
        <v>0</v>
      </c>
      <c r="E118" s="4">
        <f>SUM(E109:E116)</f>
        <v>0</v>
      </c>
      <c r="F118" s="4">
        <f>SUM(F109:F116)</f>
        <v>1260950</v>
      </c>
    </row>
    <row r="119" spans="1:6" ht="15" thickBot="1" x14ac:dyDescent="0.25"/>
    <row r="120" spans="1:6" ht="15" thickBot="1" x14ac:dyDescent="0.25">
      <c r="B120" s="55" t="s">
        <v>934</v>
      </c>
      <c r="C120" s="53"/>
      <c r="D120" s="53"/>
      <c r="E120" s="53">
        <f>IF(F3="1",SUMIF(Data!A:A,'10'!$A$2,Data!AM:AM),0)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354</v>
      </c>
      <c r="B2" s="58" t="str">
        <f>VLOOKUP(A2,Data!A:G,7,0)</f>
        <v>Coastal Bend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32345</v>
      </c>
      <c r="E5" s="15">
        <f>E36+E67+IFERROR($E$105/$D$105*D5,0)</f>
        <v>191627.57737598164</v>
      </c>
      <c r="F5" s="20">
        <f>IF(OR(D5=0,E5=0),"",ROUND(E5/D5,2))</f>
        <v>5.92</v>
      </c>
    </row>
    <row r="6" spans="1:6" x14ac:dyDescent="0.2">
      <c r="A6" s="19">
        <v>2</v>
      </c>
      <c r="B6" s="181" t="s">
        <v>1</v>
      </c>
      <c r="C6" s="182"/>
      <c r="D6" s="14">
        <f t="shared" ref="D6:D32" si="0">D37</f>
        <v>60266</v>
      </c>
      <c r="E6" s="17">
        <f t="shared" ref="E6:E32" si="1">E37+E68+IFERROR($E$105/$D$105*D6,0)</f>
        <v>397658.82640720077</v>
      </c>
      <c r="F6" s="21">
        <f t="shared" ref="F6:F33" si="2">IF(OR(D6=0,E6=0),"",ROUND(E6/D6,2))</f>
        <v>6.6</v>
      </c>
    </row>
    <row r="7" spans="1:6" ht="14.25" customHeight="1" x14ac:dyDescent="0.2">
      <c r="A7" s="19">
        <v>3</v>
      </c>
      <c r="B7" s="181" t="s">
        <v>2</v>
      </c>
      <c r="C7" s="182"/>
      <c r="D7" s="14">
        <f t="shared" si="0"/>
        <v>105312</v>
      </c>
      <c r="E7" s="17">
        <f t="shared" si="1"/>
        <v>692702.03857224854</v>
      </c>
      <c r="F7" s="21">
        <f t="shared" si="2"/>
        <v>6.58</v>
      </c>
    </row>
    <row r="8" spans="1:6" ht="14.25" customHeight="1" x14ac:dyDescent="0.2">
      <c r="A8" s="19">
        <v>4</v>
      </c>
      <c r="B8" s="181" t="s">
        <v>3</v>
      </c>
      <c r="C8" s="182"/>
      <c r="D8" s="14">
        <f t="shared" si="0"/>
        <v>114360</v>
      </c>
      <c r="E8" s="17">
        <f t="shared" si="1"/>
        <v>870920.4641742853</v>
      </c>
      <c r="F8" s="21">
        <f t="shared" si="2"/>
        <v>7.62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13344</v>
      </c>
      <c r="E10" s="17">
        <f t="shared" si="1"/>
        <v>97693.22184279174</v>
      </c>
      <c r="F10" s="21">
        <f t="shared" si="2"/>
        <v>7.32</v>
      </c>
    </row>
    <row r="11" spans="1:6" x14ac:dyDescent="0.2">
      <c r="A11" s="19">
        <v>7</v>
      </c>
      <c r="B11" s="181" t="s">
        <v>6</v>
      </c>
      <c r="C11" s="182"/>
      <c r="D11" s="14">
        <f t="shared" si="0"/>
        <v>181767</v>
      </c>
      <c r="E11" s="17">
        <f t="shared" si="1"/>
        <v>1152512.7496027225</v>
      </c>
      <c r="F11" s="21">
        <f t="shared" si="2"/>
        <v>6.34</v>
      </c>
    </row>
    <row r="12" spans="1:6" x14ac:dyDescent="0.2">
      <c r="A12" s="19">
        <v>8</v>
      </c>
      <c r="B12" s="181" t="s">
        <v>7</v>
      </c>
      <c r="C12" s="182"/>
      <c r="D12" s="14">
        <f t="shared" si="0"/>
        <v>13115</v>
      </c>
      <c r="E12" s="17">
        <f t="shared" si="1"/>
        <v>216425.49643796566</v>
      </c>
      <c r="F12" s="21">
        <f t="shared" si="2"/>
        <v>16.5</v>
      </c>
    </row>
    <row r="13" spans="1:6" x14ac:dyDescent="0.2">
      <c r="A13" s="19">
        <v>9</v>
      </c>
      <c r="B13" s="181" t="s">
        <v>8</v>
      </c>
      <c r="C13" s="182"/>
      <c r="D13" s="14">
        <f t="shared" si="0"/>
        <v>151073</v>
      </c>
      <c r="E13" s="17">
        <f t="shared" si="1"/>
        <v>684188.07459952612</v>
      </c>
      <c r="F13" s="21">
        <f t="shared" si="2"/>
        <v>4.53</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76624</v>
      </c>
      <c r="E15" s="17">
        <f t="shared" si="1"/>
        <v>417538.90576154634</v>
      </c>
      <c r="F15" s="21">
        <f t="shared" si="2"/>
        <v>5.45</v>
      </c>
    </row>
    <row r="16" spans="1:6" ht="14.25" customHeight="1" x14ac:dyDescent="0.2">
      <c r="A16" s="19">
        <v>12</v>
      </c>
      <c r="B16" s="181" t="s">
        <v>11</v>
      </c>
      <c r="C16" s="182"/>
      <c r="D16" s="14">
        <f t="shared" si="0"/>
        <v>245360</v>
      </c>
      <c r="E16" s="17">
        <f t="shared" si="1"/>
        <v>1451285.101869558</v>
      </c>
      <c r="F16" s="21">
        <f t="shared" si="2"/>
        <v>5.91</v>
      </c>
    </row>
    <row r="17" spans="1:6" x14ac:dyDescent="0.2">
      <c r="A17" s="19">
        <v>13</v>
      </c>
      <c r="B17" s="181" t="s">
        <v>12</v>
      </c>
      <c r="C17" s="182"/>
      <c r="D17" s="14">
        <f t="shared" si="0"/>
        <v>14656</v>
      </c>
      <c r="E17" s="17">
        <f t="shared" si="1"/>
        <v>97313.425908869598</v>
      </c>
      <c r="F17" s="21">
        <f t="shared" si="2"/>
        <v>6.64</v>
      </c>
    </row>
    <row r="18" spans="1:6" ht="14.25" customHeight="1" x14ac:dyDescent="0.2">
      <c r="A18" s="19">
        <v>14</v>
      </c>
      <c r="B18" s="181" t="s">
        <v>464</v>
      </c>
      <c r="C18" s="182"/>
      <c r="D18" s="14">
        <f t="shared" si="0"/>
        <v>6630</v>
      </c>
      <c r="E18" s="17">
        <f t="shared" si="1"/>
        <v>21937.63944976838</v>
      </c>
      <c r="F18" s="21">
        <f t="shared" si="2"/>
        <v>3.31</v>
      </c>
    </row>
    <row r="19" spans="1:6" x14ac:dyDescent="0.2">
      <c r="A19" s="19">
        <v>15</v>
      </c>
      <c r="B19" s="181" t="s">
        <v>13</v>
      </c>
      <c r="C19" s="182"/>
      <c r="D19" s="14">
        <f t="shared" si="0"/>
        <v>38752</v>
      </c>
      <c r="E19" s="17">
        <f t="shared" si="1"/>
        <v>466422.34448829928</v>
      </c>
      <c r="F19" s="21">
        <f t="shared" si="2"/>
        <v>12.04</v>
      </c>
    </row>
    <row r="20" spans="1:6" x14ac:dyDescent="0.2">
      <c r="A20" s="19">
        <v>16</v>
      </c>
      <c r="B20" s="181" t="s">
        <v>14</v>
      </c>
      <c r="C20" s="182"/>
      <c r="D20" s="14">
        <f t="shared" si="0"/>
        <v>40491</v>
      </c>
      <c r="E20" s="17">
        <f t="shared" si="1"/>
        <v>224191.42518258997</v>
      </c>
      <c r="F20" s="21">
        <f t="shared" si="2"/>
        <v>5.54</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147824</v>
      </c>
      <c r="E22" s="17">
        <f t="shared" si="1"/>
        <v>935130.63861577096</v>
      </c>
      <c r="F22" s="21">
        <f t="shared" si="2"/>
        <v>6.33</v>
      </c>
    </row>
    <row r="23" spans="1:6" x14ac:dyDescent="0.2">
      <c r="A23" s="19">
        <v>19</v>
      </c>
      <c r="B23" s="181" t="s">
        <v>17</v>
      </c>
      <c r="C23" s="182"/>
      <c r="D23" s="14">
        <f t="shared" si="0"/>
        <v>173999</v>
      </c>
      <c r="E23" s="17">
        <f t="shared" si="1"/>
        <v>911787.64504076145</v>
      </c>
      <c r="F23" s="21">
        <f t="shared" si="2"/>
        <v>5.24</v>
      </c>
    </row>
    <row r="24" spans="1:6" x14ac:dyDescent="0.2">
      <c r="A24" s="19">
        <v>20</v>
      </c>
      <c r="B24" s="181" t="s">
        <v>18</v>
      </c>
      <c r="C24" s="182"/>
      <c r="D24" s="14">
        <f t="shared" si="0"/>
        <v>54656</v>
      </c>
      <c r="E24" s="17">
        <f t="shared" si="1"/>
        <v>311069.20841124293</v>
      </c>
      <c r="F24" s="21">
        <f t="shared" si="2"/>
        <v>5.69</v>
      </c>
    </row>
    <row r="25" spans="1:6" ht="14.25" customHeight="1" x14ac:dyDescent="0.2">
      <c r="A25" s="19">
        <v>21</v>
      </c>
      <c r="B25" s="181" t="s">
        <v>461</v>
      </c>
      <c r="C25" s="182"/>
      <c r="D25" s="14">
        <f t="shared" si="0"/>
        <v>4800</v>
      </c>
      <c r="E25" s="17">
        <f t="shared" si="1"/>
        <v>96237.453900284803</v>
      </c>
      <c r="F25" s="21">
        <f t="shared" si="2"/>
        <v>20.05</v>
      </c>
    </row>
    <row r="26" spans="1:6" x14ac:dyDescent="0.2">
      <c r="A26" s="19">
        <v>22</v>
      </c>
      <c r="B26" s="181" t="s">
        <v>19</v>
      </c>
      <c r="C26" s="182"/>
      <c r="D26" s="14">
        <f t="shared" si="0"/>
        <v>15440</v>
      </c>
      <c r="E26" s="17">
        <f t="shared" si="1"/>
        <v>247170.56004591612</v>
      </c>
      <c r="F26" s="21">
        <f t="shared" si="2"/>
        <v>16.010000000000002</v>
      </c>
    </row>
    <row r="27" spans="1:6" x14ac:dyDescent="0.2">
      <c r="A27" s="19">
        <v>23</v>
      </c>
      <c r="B27" s="181" t="s">
        <v>20</v>
      </c>
      <c r="C27" s="182"/>
      <c r="D27" s="14">
        <f t="shared" si="0"/>
        <v>39408</v>
      </c>
      <c r="E27" s="17">
        <f t="shared" si="1"/>
        <v>257103.94652133819</v>
      </c>
      <c r="F27" s="21">
        <f t="shared" si="2"/>
        <v>6.52</v>
      </c>
    </row>
    <row r="28" spans="1:6" x14ac:dyDescent="0.2">
      <c r="A28" s="19">
        <v>24</v>
      </c>
      <c r="B28" s="181" t="s">
        <v>21</v>
      </c>
      <c r="C28" s="182"/>
      <c r="D28" s="14">
        <f t="shared" si="0"/>
        <v>54960</v>
      </c>
      <c r="E28" s="17">
        <f t="shared" si="1"/>
        <v>434087.09715826099</v>
      </c>
      <c r="F28" s="21">
        <f t="shared" si="2"/>
        <v>7.9</v>
      </c>
    </row>
    <row r="29" spans="1:6" x14ac:dyDescent="0.2">
      <c r="A29" s="19">
        <v>25</v>
      </c>
      <c r="B29" s="181" t="s">
        <v>22</v>
      </c>
      <c r="C29" s="182"/>
      <c r="D29" s="14">
        <f t="shared" si="0"/>
        <v>194160</v>
      </c>
      <c r="E29" s="17">
        <f t="shared" si="1"/>
        <v>1115518.2602665201</v>
      </c>
      <c r="F29" s="21">
        <f t="shared" si="2"/>
        <v>5.75</v>
      </c>
    </row>
    <row r="30" spans="1:6" x14ac:dyDescent="0.2">
      <c r="A30" s="19">
        <v>26</v>
      </c>
      <c r="B30" s="181" t="s">
        <v>23</v>
      </c>
      <c r="C30" s="182"/>
      <c r="D30" s="14">
        <f t="shared" si="0"/>
        <v>58793</v>
      </c>
      <c r="E30" s="17">
        <f t="shared" si="1"/>
        <v>504444.89836655091</v>
      </c>
      <c r="F30" s="21">
        <f t="shared" si="2"/>
        <v>8.58</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1838135</v>
      </c>
      <c r="E33" s="31">
        <f>SUM(E5:E32)</f>
        <v>11794967</v>
      </c>
      <c r="F33" s="32">
        <f t="shared" si="2"/>
        <v>6.42</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IF(F3="1",SUMIF(Data!A:A,'11'!$A$2,Data!CU:CU),0)</f>
        <v>32345</v>
      </c>
      <c r="E36" s="15">
        <f>IF(F3="1",SUMIF(Data!$A:$A,$A$2,Data!IO:IO),0)</f>
        <v>9090</v>
      </c>
      <c r="F36" s="20">
        <f t="shared" ref="F36:F64" si="3">IF(OR(D36=0,E36=0),"",ROUND(E36/D36,2))</f>
        <v>0.28000000000000003</v>
      </c>
    </row>
    <row r="37" spans="1:6" x14ac:dyDescent="0.2">
      <c r="A37" s="19">
        <v>2</v>
      </c>
      <c r="B37" s="181" t="s">
        <v>1</v>
      </c>
      <c r="C37" s="182"/>
      <c r="D37" s="14">
        <f>IF(F3="1",SUMIF(Data!A:A,'11'!$A$2,Data!CV:CV),0)</f>
        <v>60266</v>
      </c>
      <c r="E37" s="17">
        <f>IF(F3="1",SUMIF(Data!$A:$A,$A$2,Data!IP:IP),0)</f>
        <v>80240</v>
      </c>
      <c r="F37" s="21">
        <f t="shared" si="3"/>
        <v>1.33</v>
      </c>
    </row>
    <row r="38" spans="1:6" ht="14.25" customHeight="1" x14ac:dyDescent="0.2">
      <c r="A38" s="19">
        <v>3</v>
      </c>
      <c r="B38" s="181" t="s">
        <v>2</v>
      </c>
      <c r="C38" s="182"/>
      <c r="D38" s="14">
        <f>IF(F3="1",SUMIF(Data!A:A,'11'!$A$2,Data!CW:CW),0)</f>
        <v>105312</v>
      </c>
      <c r="E38" s="17">
        <f>IF($F$3="1",SUMIF(Data!$A:$A,$A$2,Data!IQ:IQ),0)</f>
        <v>49233</v>
      </c>
      <c r="F38" s="21">
        <f t="shared" si="3"/>
        <v>0.47</v>
      </c>
    </row>
    <row r="39" spans="1:6" ht="14.25" customHeight="1" x14ac:dyDescent="0.2">
      <c r="A39" s="19">
        <v>4</v>
      </c>
      <c r="B39" s="181" t="s">
        <v>3</v>
      </c>
      <c r="C39" s="182"/>
      <c r="D39" s="14">
        <f>IF(F3="1",SUMIF(Data!A:A,'11'!$A$2,Data!CX:CX),0)</f>
        <v>114360</v>
      </c>
      <c r="E39" s="17">
        <f>IF($F$3="1",SUMIF(Data!$A:$A,$A$2,Data!IR:IR),0)</f>
        <v>46844</v>
      </c>
      <c r="F39" s="21">
        <f t="shared" si="3"/>
        <v>0.41</v>
      </c>
    </row>
    <row r="40" spans="1:6" x14ac:dyDescent="0.2">
      <c r="A40" s="19">
        <v>5</v>
      </c>
      <c r="B40" s="181" t="s">
        <v>4</v>
      </c>
      <c r="C40" s="182"/>
      <c r="D40" s="14">
        <f>IF(F3="1",SUMIF(Data!A:A,'11'!$A$2,Data!CY:CY),0)</f>
        <v>0</v>
      </c>
      <c r="E40" s="17">
        <f>IF($F$3="1",SUMIF(Data!$A:$A,$A$2,Data!IS:IS),0)</f>
        <v>0</v>
      </c>
      <c r="F40" s="21" t="str">
        <f t="shared" si="3"/>
        <v/>
      </c>
    </row>
    <row r="41" spans="1:6" x14ac:dyDescent="0.2">
      <c r="A41" s="19">
        <v>6</v>
      </c>
      <c r="B41" s="181" t="s">
        <v>5</v>
      </c>
      <c r="C41" s="182"/>
      <c r="D41" s="14">
        <f>IF(F3="1",SUMIF(Data!A:A,'11'!$A$2,Data!CZ:CZ),0)</f>
        <v>13344</v>
      </c>
      <c r="E41" s="17">
        <f>IF($F$3="1",SUMIF(Data!$A:$A,$A$2,Data!IT:IT),0)</f>
        <v>2600</v>
      </c>
      <c r="F41" s="21">
        <f t="shared" si="3"/>
        <v>0.19</v>
      </c>
    </row>
    <row r="42" spans="1:6" x14ac:dyDescent="0.2">
      <c r="A42" s="19">
        <v>7</v>
      </c>
      <c r="B42" s="181" t="s">
        <v>6</v>
      </c>
      <c r="C42" s="182"/>
      <c r="D42" s="14">
        <f>IF(F3="1",SUMIF(Data!A:A,'11'!$A$2,Data!DA:DA),0)</f>
        <v>181767</v>
      </c>
      <c r="E42" s="17">
        <f>IF($F$3="1",SUMIF(Data!$A:$A,$A$2,Data!IU:IU),0)</f>
        <v>159889</v>
      </c>
      <c r="F42" s="21">
        <f t="shared" si="3"/>
        <v>0.88</v>
      </c>
    </row>
    <row r="43" spans="1:6" x14ac:dyDescent="0.2">
      <c r="A43" s="19">
        <v>8</v>
      </c>
      <c r="B43" s="181" t="s">
        <v>7</v>
      </c>
      <c r="C43" s="182"/>
      <c r="D43" s="14">
        <f>IF(F3="1",SUMIF(Data!A:A,'11'!$A$2,Data!DB:DB),0)</f>
        <v>13115</v>
      </c>
      <c r="E43" s="17">
        <f>IF($F$3="1",SUMIF(Data!$A:$A,$A$2,Data!IV:IV),0)</f>
        <v>1942</v>
      </c>
      <c r="F43" s="21">
        <f t="shared" si="3"/>
        <v>0.15</v>
      </c>
    </row>
    <row r="44" spans="1:6" x14ac:dyDescent="0.2">
      <c r="A44" s="19">
        <v>9</v>
      </c>
      <c r="B44" s="181" t="s">
        <v>8</v>
      </c>
      <c r="C44" s="182"/>
      <c r="D44" s="14">
        <f>IF(F3="1",SUMIF(Data!A:A,'11'!$A$2,Data!DC:DC),0)</f>
        <v>151073</v>
      </c>
      <c r="E44" s="17">
        <f>IF($F$3="1",SUMIF(Data!$A:$A,$A$2,Data!IW:IW),0)</f>
        <v>133183</v>
      </c>
      <c r="F44" s="21">
        <f t="shared" si="3"/>
        <v>0.88</v>
      </c>
    </row>
    <row r="45" spans="1:6" x14ac:dyDescent="0.2">
      <c r="A45" s="19">
        <v>10</v>
      </c>
      <c r="B45" s="181" t="s">
        <v>9</v>
      </c>
      <c r="C45" s="182"/>
      <c r="D45" s="14">
        <f>IF(F3="1",SUMIF(Data!A:A,'11'!$A$2,Data!DD:DD),0)</f>
        <v>0</v>
      </c>
      <c r="E45" s="17">
        <f>IF($F$3="1",SUMIF(Data!$A:$A,$A$2,Data!IX:IX),0)</f>
        <v>0</v>
      </c>
      <c r="F45" s="21" t="str">
        <f t="shared" si="3"/>
        <v/>
      </c>
    </row>
    <row r="46" spans="1:6" x14ac:dyDescent="0.2">
      <c r="A46" s="19">
        <v>11</v>
      </c>
      <c r="B46" s="181" t="s">
        <v>10</v>
      </c>
      <c r="C46" s="182"/>
      <c r="D46" s="14">
        <f>IF(F3="1",SUMIF(Data!A:A,'11'!$A$2,Data!DE:DE),0)</f>
        <v>76624</v>
      </c>
      <c r="E46" s="17">
        <f>IF($F$3="1",SUMIF(Data!$A:$A,$A$2,Data!IY:IY),0)</f>
        <v>10048</v>
      </c>
      <c r="F46" s="21">
        <f t="shared" si="3"/>
        <v>0.13</v>
      </c>
    </row>
    <row r="47" spans="1:6" ht="14.25" customHeight="1" x14ac:dyDescent="0.2">
      <c r="A47" s="19">
        <v>12</v>
      </c>
      <c r="B47" s="181" t="s">
        <v>11</v>
      </c>
      <c r="C47" s="182"/>
      <c r="D47" s="14">
        <f>IF(F3="1",SUMIF(Data!A:A,'11'!$A$2,Data!DF:DF),0)</f>
        <v>245360</v>
      </c>
      <c r="E47" s="17">
        <f>IF($F$3="1",SUMIF(Data!$A:$A,$A$2,Data!IZ:IZ),0)</f>
        <v>58417</v>
      </c>
      <c r="F47" s="21">
        <f t="shared" si="3"/>
        <v>0.24</v>
      </c>
    </row>
    <row r="48" spans="1:6" x14ac:dyDescent="0.2">
      <c r="A48" s="19">
        <v>13</v>
      </c>
      <c r="B48" s="181" t="s">
        <v>12</v>
      </c>
      <c r="C48" s="182"/>
      <c r="D48" s="14">
        <f>IF(F3="1",SUMIF(Data!A:A,'11'!$A$2,Data!DG:DG),0)</f>
        <v>14656</v>
      </c>
      <c r="E48" s="17">
        <f>IF($F$3="1",SUMIF(Data!$A:$A,$A$2,Data!JA:JA),0)</f>
        <v>4656</v>
      </c>
      <c r="F48" s="21">
        <f t="shared" si="3"/>
        <v>0.32</v>
      </c>
    </row>
    <row r="49" spans="1:6" ht="14.25" customHeight="1" x14ac:dyDescent="0.2">
      <c r="A49" s="19">
        <v>14</v>
      </c>
      <c r="B49" s="181" t="s">
        <v>464</v>
      </c>
      <c r="C49" s="182"/>
      <c r="D49" s="14">
        <f>IF(F3="1",SUMIF(Data!A:A,'11'!$A$2,Data!DH:DH),0)</f>
        <v>6630</v>
      </c>
      <c r="E49" s="17">
        <f>IF($F$3="1",SUMIF(Data!$A:$A,$A$2,Data!JB:JB),0)</f>
        <v>0</v>
      </c>
      <c r="F49" s="21" t="str">
        <f t="shared" si="3"/>
        <v/>
      </c>
    </row>
    <row r="50" spans="1:6" x14ac:dyDescent="0.2">
      <c r="A50" s="19">
        <v>15</v>
      </c>
      <c r="B50" s="181" t="s">
        <v>13</v>
      </c>
      <c r="C50" s="182"/>
      <c r="D50" s="14">
        <f>IF(F3="1",SUMIF(Data!A:A,'11'!$A$2,Data!DI:DI),0)</f>
        <v>38752</v>
      </c>
      <c r="E50" s="17">
        <f>IF($F$3="1",SUMIF(Data!$A:$A,$A$2,Data!JC:JC),0)</f>
        <v>63695</v>
      </c>
      <c r="F50" s="21">
        <f t="shared" si="3"/>
        <v>1.64</v>
      </c>
    </row>
    <row r="51" spans="1:6" x14ac:dyDescent="0.2">
      <c r="A51" s="19">
        <v>16</v>
      </c>
      <c r="B51" s="181" t="s">
        <v>14</v>
      </c>
      <c r="C51" s="182"/>
      <c r="D51" s="14">
        <f>IF(F3="1",SUMIF(Data!A:A,'11'!$A$2,Data!DJ:DJ),0)</f>
        <v>40491</v>
      </c>
      <c r="E51" s="17">
        <f>IF($F$3="1",SUMIF(Data!$A:$A,$A$2,Data!JD:JD),0)</f>
        <v>21505</v>
      </c>
      <c r="F51" s="21">
        <f t="shared" si="3"/>
        <v>0.53</v>
      </c>
    </row>
    <row r="52" spans="1:6" x14ac:dyDescent="0.2">
      <c r="A52" s="19">
        <v>17</v>
      </c>
      <c r="B52" s="181" t="s">
        <v>15</v>
      </c>
      <c r="C52" s="182"/>
      <c r="D52" s="14">
        <f>IF(F3="1",SUMIF(Data!A:A,'11'!$A$2,Data!DK:DK),0)</f>
        <v>0</v>
      </c>
      <c r="E52" s="17">
        <f>IF($F$3="1",SUMIF(Data!$A:$A,$A$2,Data!JE:JE),0)</f>
        <v>0</v>
      </c>
      <c r="F52" s="21" t="str">
        <f t="shared" si="3"/>
        <v/>
      </c>
    </row>
    <row r="53" spans="1:6" x14ac:dyDescent="0.2">
      <c r="A53" s="19">
        <v>18</v>
      </c>
      <c r="B53" s="181" t="s">
        <v>16</v>
      </c>
      <c r="C53" s="182"/>
      <c r="D53" s="14">
        <f>IF(F3="1",SUMIF(Data!A:A,'11'!$A$2,Data!DL:DL),0)</f>
        <v>147824</v>
      </c>
      <c r="E53" s="17">
        <f>IF($F$3="1",SUMIF(Data!$A:$A,$A$2,Data!JF:JF),0)</f>
        <v>92187</v>
      </c>
      <c r="F53" s="21">
        <f t="shared" si="3"/>
        <v>0.62</v>
      </c>
    </row>
    <row r="54" spans="1:6" x14ac:dyDescent="0.2">
      <c r="A54" s="19">
        <v>19</v>
      </c>
      <c r="B54" s="181" t="s">
        <v>17</v>
      </c>
      <c r="C54" s="182"/>
      <c r="D54" s="14">
        <f>IF(F3="1",SUMIF(Data!A:A,'11'!$A$2,Data!DM:DM),0)</f>
        <v>173999</v>
      </c>
      <c r="E54" s="17">
        <f>IF($F$3="1",SUMIF(Data!$A:$A,$A$2,Data!JG:JG),0)</f>
        <v>37589</v>
      </c>
      <c r="F54" s="21">
        <f t="shared" si="3"/>
        <v>0.22</v>
      </c>
    </row>
    <row r="55" spans="1:6" x14ac:dyDescent="0.2">
      <c r="A55" s="19">
        <v>20</v>
      </c>
      <c r="B55" s="181" t="s">
        <v>18</v>
      </c>
      <c r="C55" s="182"/>
      <c r="D55" s="14">
        <f>IF(F3="1",SUMIF(Data!A:A,'11'!$A$2,Data!DN:DN),0)</f>
        <v>54656</v>
      </c>
      <c r="E55" s="17">
        <f>IF($F$3="1",SUMIF(Data!$A:$A,$A$2,Data!JH:JH),0)</f>
        <v>10893</v>
      </c>
      <c r="F55" s="21">
        <f t="shared" si="3"/>
        <v>0.2</v>
      </c>
    </row>
    <row r="56" spans="1:6" ht="14.25" customHeight="1" x14ac:dyDescent="0.2">
      <c r="A56" s="19">
        <v>21</v>
      </c>
      <c r="B56" s="181" t="s">
        <v>461</v>
      </c>
      <c r="C56" s="182"/>
      <c r="D56" s="14">
        <f>IF(F3="1",SUMIF(Data!A:A,'11'!$A$2,Data!DO:DO),0)</f>
        <v>4800</v>
      </c>
      <c r="E56" s="17">
        <f>IF($F$3="1",SUMIF(Data!$A:$A,$A$2,Data!JI:JI),0)</f>
        <v>80355</v>
      </c>
      <c r="F56" s="21">
        <f t="shared" si="3"/>
        <v>16.739999999999998</v>
      </c>
    </row>
    <row r="57" spans="1:6" x14ac:dyDescent="0.2">
      <c r="A57" s="19">
        <v>22</v>
      </c>
      <c r="B57" s="181" t="s">
        <v>19</v>
      </c>
      <c r="C57" s="182"/>
      <c r="D57" s="14">
        <f>IF(F3="1",SUMIF(Data!A:A,'11'!$A$2,Data!DP:DP),0)</f>
        <v>15440</v>
      </c>
      <c r="E57" s="17">
        <f>IF($F$3="1",SUMIF(Data!$A:$A,$A$2,Data!JJ:JJ),0)</f>
        <v>120530</v>
      </c>
      <c r="F57" s="21">
        <f t="shared" si="3"/>
        <v>7.81</v>
      </c>
    </row>
    <row r="58" spans="1:6" x14ac:dyDescent="0.2">
      <c r="A58" s="19">
        <v>23</v>
      </c>
      <c r="B58" s="181" t="s">
        <v>20</v>
      </c>
      <c r="C58" s="182"/>
      <c r="D58" s="14">
        <f>IF(F3="1",SUMIF(Data!A:A,'11'!$A$2,Data!DQ:DQ),0)</f>
        <v>39408</v>
      </c>
      <c r="E58" s="17">
        <f>IF($F$3="1",SUMIF(Data!$A:$A,$A$2,Data!JK:JK),0)</f>
        <v>11878</v>
      </c>
      <c r="F58" s="21">
        <f t="shared" si="3"/>
        <v>0.3</v>
      </c>
    </row>
    <row r="59" spans="1:6" x14ac:dyDescent="0.2">
      <c r="A59" s="19">
        <v>24</v>
      </c>
      <c r="B59" s="181" t="s">
        <v>21</v>
      </c>
      <c r="C59" s="182"/>
      <c r="D59" s="14">
        <f>IF(F3="1",SUMIF(Data!A:A,'11'!$A$2,Data!DR:DR),0)</f>
        <v>54960</v>
      </c>
      <c r="E59" s="17">
        <f>IF($F$3="1",SUMIF(Data!$A:$A,$A$2,Data!JL:JL),0)</f>
        <v>59112</v>
      </c>
      <c r="F59" s="21">
        <f t="shared" si="3"/>
        <v>1.08</v>
      </c>
    </row>
    <row r="60" spans="1:6" x14ac:dyDescent="0.2">
      <c r="A60" s="19">
        <v>25</v>
      </c>
      <c r="B60" s="181" t="s">
        <v>22</v>
      </c>
      <c r="C60" s="182"/>
      <c r="D60" s="14">
        <f>IF(F3="1",SUMIF(Data!A:A,'11'!$A$2,Data!DS:DS),0)</f>
        <v>194160</v>
      </c>
      <c r="E60" s="17">
        <f>IF($F$3="1",SUMIF(Data!$A:$A,$A$2,Data!JM:JM),0)</f>
        <v>43035</v>
      </c>
      <c r="F60" s="21">
        <f t="shared" si="3"/>
        <v>0.22</v>
      </c>
    </row>
    <row r="61" spans="1:6" x14ac:dyDescent="0.2">
      <c r="A61" s="19">
        <v>26</v>
      </c>
      <c r="B61" s="181" t="s">
        <v>23</v>
      </c>
      <c r="C61" s="182"/>
      <c r="D61" s="14">
        <f>IF(F3="1",SUMIF(Data!A:A,'11'!$A$2,Data!DT:DT),0)</f>
        <v>58793</v>
      </c>
      <c r="E61" s="17">
        <f>IF($F$3="1",SUMIF(Data!$A:$A,$A$2,Data!JN:JN),0)</f>
        <v>61073</v>
      </c>
      <c r="F61" s="21">
        <f t="shared" si="3"/>
        <v>1.04</v>
      </c>
    </row>
    <row r="62" spans="1:6" x14ac:dyDescent="0.2">
      <c r="A62" s="19">
        <v>28</v>
      </c>
      <c r="B62" s="181" t="s">
        <v>24</v>
      </c>
      <c r="C62" s="182"/>
      <c r="D62" s="14">
        <f>IF(F3="1",SUMIF(Data!A:A,'11'!$A$2,Data!DV:DV),0)</f>
        <v>0</v>
      </c>
      <c r="E62" s="17">
        <f>IF($F$3="1",SUMIF(Data!$A:$A,$A$2,Data!JP:JP),0)</f>
        <v>0</v>
      </c>
      <c r="F62" s="21" t="str">
        <f t="shared" si="3"/>
        <v/>
      </c>
    </row>
    <row r="63" spans="1:6" ht="15.75" customHeight="1" thickBot="1" x14ac:dyDescent="0.25">
      <c r="A63" s="22">
        <v>29</v>
      </c>
      <c r="B63" s="183" t="s">
        <v>25</v>
      </c>
      <c r="C63" s="184"/>
      <c r="D63" s="23">
        <f>IF(F3="1",SUMIF(Data!A:A,'11'!$A$2,Data!DW:DW),0)</f>
        <v>0</v>
      </c>
      <c r="E63" s="24">
        <f>IF($F$3="1",SUMIF(Data!$A:$A,$A$2,Data!JQ:JQ),0)</f>
        <v>0</v>
      </c>
      <c r="F63" s="25" t="str">
        <f t="shared" si="3"/>
        <v/>
      </c>
    </row>
    <row r="64" spans="1:6" x14ac:dyDescent="0.2">
      <c r="B64" s="30" t="s">
        <v>35</v>
      </c>
      <c r="C64" s="30"/>
      <c r="D64" s="59">
        <f>SUM(D36:D63)</f>
        <v>1838135</v>
      </c>
      <c r="E64" s="31">
        <f>SUM(E36:E63)</f>
        <v>1157994</v>
      </c>
      <c r="F64" s="32">
        <f t="shared" si="3"/>
        <v>0.63</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32345</v>
      </c>
      <c r="E67" s="15">
        <f>IF(F3="1",SUMIF(Data!A:A,'11'!$A$2,Data!DY:DY),0)</f>
        <v>75513</v>
      </c>
      <c r="F67" s="20">
        <f t="shared" ref="F67:F95" si="4">IF(OR(D67=0,E67=0),"",ROUND(E67/D67,2))</f>
        <v>2.33</v>
      </c>
    </row>
    <row r="68" spans="1:6" x14ac:dyDescent="0.2">
      <c r="A68" s="19">
        <v>2</v>
      </c>
      <c r="B68" s="181" t="s">
        <v>1</v>
      </c>
      <c r="C68" s="182"/>
      <c r="D68" s="14">
        <f t="shared" ref="D68:D94" si="5">D37</f>
        <v>60266</v>
      </c>
      <c r="E68" s="17">
        <f>IF(F3="1",SUMIF(Data!A:A,'11'!$A$2,Data!DZ:DZ),0)</f>
        <v>118008</v>
      </c>
      <c r="F68" s="21">
        <f t="shared" si="4"/>
        <v>1.96</v>
      </c>
    </row>
    <row r="69" spans="1:6" ht="14.25" customHeight="1" x14ac:dyDescent="0.2">
      <c r="A69" s="19">
        <v>3</v>
      </c>
      <c r="B69" s="181" t="s">
        <v>2</v>
      </c>
      <c r="C69" s="182"/>
      <c r="D69" s="14">
        <f t="shared" si="5"/>
        <v>105312</v>
      </c>
      <c r="E69" s="17">
        <f>IF(F3="1",SUMIF(Data!A:A,'11'!$A$2,Data!EA:EA),0)</f>
        <v>295008</v>
      </c>
      <c r="F69" s="21">
        <f t="shared" si="4"/>
        <v>2.8</v>
      </c>
    </row>
    <row r="70" spans="1:6" ht="14.25" customHeight="1" x14ac:dyDescent="0.2">
      <c r="A70" s="19">
        <v>4</v>
      </c>
      <c r="B70" s="181" t="s">
        <v>3</v>
      </c>
      <c r="C70" s="182"/>
      <c r="D70" s="14">
        <f t="shared" si="5"/>
        <v>114360</v>
      </c>
      <c r="E70" s="17">
        <f>IF(F3="1",SUMIF(Data!A:A,'11'!$A$2,Data!EB:EB),0)</f>
        <v>445677</v>
      </c>
      <c r="F70" s="21">
        <f t="shared" si="4"/>
        <v>3.9</v>
      </c>
    </row>
    <row r="71" spans="1:6" x14ac:dyDescent="0.2">
      <c r="A71" s="19">
        <v>5</v>
      </c>
      <c r="B71" s="181" t="s">
        <v>4</v>
      </c>
      <c r="C71" s="182"/>
      <c r="D71" s="14">
        <f t="shared" si="5"/>
        <v>0</v>
      </c>
      <c r="E71" s="17">
        <f>IF(F3="1",SUMIF(Data!A:A,'11'!$A$2,Data!EC:EC),0)</f>
        <v>0</v>
      </c>
      <c r="F71" s="21" t="str">
        <f t="shared" si="4"/>
        <v/>
      </c>
    </row>
    <row r="72" spans="1:6" x14ac:dyDescent="0.2">
      <c r="A72" s="19">
        <v>6</v>
      </c>
      <c r="B72" s="181" t="s">
        <v>5</v>
      </c>
      <c r="C72" s="182"/>
      <c r="D72" s="14">
        <f t="shared" si="5"/>
        <v>13344</v>
      </c>
      <c r="E72" s="17">
        <f>IF(F3="1",SUMIF(Data!A:A,'11'!$A$2,Data!ED:ED),0)</f>
        <v>50940</v>
      </c>
      <c r="F72" s="21">
        <f t="shared" si="4"/>
        <v>3.82</v>
      </c>
    </row>
    <row r="73" spans="1:6" x14ac:dyDescent="0.2">
      <c r="A73" s="19">
        <v>7</v>
      </c>
      <c r="B73" s="181" t="s">
        <v>6</v>
      </c>
      <c r="C73" s="182"/>
      <c r="D73" s="14">
        <f t="shared" si="5"/>
        <v>181767</v>
      </c>
      <c r="E73" s="17">
        <f>IF(F3="1",SUMIF(Data!A:A,'11'!$A$2,Data!EE:EE),0)</f>
        <v>391185</v>
      </c>
      <c r="F73" s="21">
        <f t="shared" si="4"/>
        <v>2.15</v>
      </c>
    </row>
    <row r="74" spans="1:6" x14ac:dyDescent="0.2">
      <c r="A74" s="19">
        <v>8</v>
      </c>
      <c r="B74" s="181" t="s">
        <v>7</v>
      </c>
      <c r="C74" s="182"/>
      <c r="D74" s="14">
        <f t="shared" si="5"/>
        <v>13115</v>
      </c>
      <c r="E74" s="17">
        <f>IF(F3="1",SUMIF(Data!A:A,'11'!$A$2,Data!EF:EF),0)</f>
        <v>171088</v>
      </c>
      <c r="F74" s="21">
        <f t="shared" si="4"/>
        <v>13.05</v>
      </c>
    </row>
    <row r="75" spans="1:6" x14ac:dyDescent="0.2">
      <c r="A75" s="19">
        <v>9</v>
      </c>
      <c r="B75" s="181" t="s">
        <v>8</v>
      </c>
      <c r="C75" s="182"/>
      <c r="D75" s="14">
        <f t="shared" si="5"/>
        <v>151073</v>
      </c>
      <c r="E75" s="17">
        <f>IF(F3="1",SUMIF(Data!A:A,'11'!$A$2,Data!EG:EG),0)</f>
        <v>51128</v>
      </c>
      <c r="F75" s="21">
        <f t="shared" si="4"/>
        <v>0.34</v>
      </c>
    </row>
    <row r="76" spans="1:6" x14ac:dyDescent="0.2">
      <c r="A76" s="19">
        <v>10</v>
      </c>
      <c r="B76" s="181" t="s">
        <v>9</v>
      </c>
      <c r="C76" s="182"/>
      <c r="D76" s="14">
        <f t="shared" si="5"/>
        <v>0</v>
      </c>
      <c r="E76" s="17">
        <f>IF(F3="1",SUMIF(Data!A:A,'11'!$A$2,Data!EH:EH),0)</f>
        <v>0</v>
      </c>
      <c r="F76" s="21" t="str">
        <f t="shared" si="4"/>
        <v/>
      </c>
    </row>
    <row r="77" spans="1:6" x14ac:dyDescent="0.2">
      <c r="A77" s="19">
        <v>11</v>
      </c>
      <c r="B77" s="181" t="s">
        <v>10</v>
      </c>
      <c r="C77" s="182"/>
      <c r="D77" s="14">
        <f t="shared" si="5"/>
        <v>76624</v>
      </c>
      <c r="E77" s="17">
        <f>IF(F3="1",SUMIF(Data!A:A,'11'!$A$2,Data!EI:EI),0)</f>
        <v>153954</v>
      </c>
      <c r="F77" s="21">
        <f t="shared" si="4"/>
        <v>2.0099999999999998</v>
      </c>
    </row>
    <row r="78" spans="1:6" ht="14.25" customHeight="1" x14ac:dyDescent="0.2">
      <c r="A78" s="19">
        <v>12</v>
      </c>
      <c r="B78" s="181" t="s">
        <v>11</v>
      </c>
      <c r="C78" s="182"/>
      <c r="D78" s="14">
        <f t="shared" si="5"/>
        <v>245360</v>
      </c>
      <c r="E78" s="17">
        <f>IF(F3="1",SUMIF(Data!A:A,'11'!$A$2,Data!EJ:EJ),0)</f>
        <v>581010</v>
      </c>
      <c r="F78" s="21">
        <f t="shared" si="4"/>
        <v>2.37</v>
      </c>
    </row>
    <row r="79" spans="1:6" x14ac:dyDescent="0.2">
      <c r="A79" s="19">
        <v>13</v>
      </c>
      <c r="B79" s="181" t="s">
        <v>12</v>
      </c>
      <c r="C79" s="182"/>
      <c r="D79" s="14">
        <f t="shared" si="5"/>
        <v>14656</v>
      </c>
      <c r="E79" s="17">
        <f>IF(F3="1",SUMIF(Data!A:A,'11'!$A$2,Data!EK:EK),0)</f>
        <v>44163</v>
      </c>
      <c r="F79" s="21">
        <f t="shared" si="4"/>
        <v>3.01</v>
      </c>
    </row>
    <row r="80" spans="1:6" ht="14.25" customHeight="1" x14ac:dyDescent="0.2">
      <c r="A80" s="19">
        <v>14</v>
      </c>
      <c r="B80" s="181" t="s">
        <v>464</v>
      </c>
      <c r="C80" s="182"/>
      <c r="D80" s="14">
        <f t="shared" si="5"/>
        <v>6630</v>
      </c>
      <c r="E80" s="17">
        <f>IF(F3="1",SUMIF(Data!A:A,'11'!$A$2,Data!EL:EL),0)</f>
        <v>0</v>
      </c>
      <c r="F80" s="21" t="str">
        <f t="shared" si="4"/>
        <v/>
      </c>
    </row>
    <row r="81" spans="1:6" x14ac:dyDescent="0.2">
      <c r="A81" s="19">
        <v>15</v>
      </c>
      <c r="B81" s="181" t="s">
        <v>13</v>
      </c>
      <c r="C81" s="182"/>
      <c r="D81" s="14">
        <f t="shared" si="5"/>
        <v>38752</v>
      </c>
      <c r="E81" s="17">
        <f>IF(F3="1",SUMIF(Data!A:A,'11'!$A$2,Data!EM:EM),0)</f>
        <v>274503</v>
      </c>
      <c r="F81" s="21">
        <f t="shared" si="4"/>
        <v>7.08</v>
      </c>
    </row>
    <row r="82" spans="1:6" x14ac:dyDescent="0.2">
      <c r="A82" s="19">
        <v>16</v>
      </c>
      <c r="B82" s="181" t="s">
        <v>14</v>
      </c>
      <c r="C82" s="182"/>
      <c r="D82" s="14">
        <f t="shared" si="5"/>
        <v>40491</v>
      </c>
      <c r="E82" s="17">
        <f>IF(F3="1",SUMIF(Data!A:A,'11'!$A$2,Data!EN:EN),0)</f>
        <v>68708</v>
      </c>
      <c r="F82" s="21">
        <f t="shared" si="4"/>
        <v>1.7</v>
      </c>
    </row>
    <row r="83" spans="1:6" x14ac:dyDescent="0.2">
      <c r="A83" s="19">
        <v>17</v>
      </c>
      <c r="B83" s="181" t="s">
        <v>15</v>
      </c>
      <c r="C83" s="182"/>
      <c r="D83" s="14">
        <f t="shared" si="5"/>
        <v>0</v>
      </c>
      <c r="E83" s="17">
        <f>IF(F3="1",SUMIF(Data!A:A,'11'!$A$2,Data!EO:EO),0)</f>
        <v>0</v>
      </c>
      <c r="F83" s="21" t="str">
        <f t="shared" si="4"/>
        <v/>
      </c>
    </row>
    <row r="84" spans="1:6" x14ac:dyDescent="0.2">
      <c r="A84" s="19">
        <v>18</v>
      </c>
      <c r="B84" s="181" t="s">
        <v>16</v>
      </c>
      <c r="C84" s="182"/>
      <c r="D84" s="14">
        <f t="shared" si="5"/>
        <v>147824</v>
      </c>
      <c r="E84" s="17">
        <f>IF(F3="1",SUMIF(Data!A:A,'11'!$A$2,Data!EP:EP),0)</f>
        <v>353817</v>
      </c>
      <c r="F84" s="21">
        <f t="shared" si="4"/>
        <v>2.39</v>
      </c>
    </row>
    <row r="85" spans="1:6" x14ac:dyDescent="0.2">
      <c r="A85" s="19">
        <v>19</v>
      </c>
      <c r="B85" s="181" t="s">
        <v>17</v>
      </c>
      <c r="C85" s="182"/>
      <c r="D85" s="14">
        <f t="shared" si="5"/>
        <v>173999</v>
      </c>
      <c r="E85" s="17">
        <f>IF(F3="1",SUMIF(Data!A:A,'11'!$A$2,Data!EQ:EQ),0)</f>
        <v>298463</v>
      </c>
      <c r="F85" s="21">
        <f t="shared" si="4"/>
        <v>1.72</v>
      </c>
    </row>
    <row r="86" spans="1:6" x14ac:dyDescent="0.2">
      <c r="A86" s="19">
        <v>20</v>
      </c>
      <c r="B86" s="181" t="s">
        <v>18</v>
      </c>
      <c r="C86" s="182"/>
      <c r="D86" s="14">
        <f t="shared" si="5"/>
        <v>54656</v>
      </c>
      <c r="E86" s="17">
        <f>IF(F3="1",SUMIF(Data!A:A,'11'!$A$2,Data!ER:ER),0)</f>
        <v>119328</v>
      </c>
      <c r="F86" s="21">
        <f t="shared" si="4"/>
        <v>2.1800000000000002</v>
      </c>
    </row>
    <row r="87" spans="1:6" ht="14.25" customHeight="1" x14ac:dyDescent="0.2">
      <c r="A87" s="19">
        <v>21</v>
      </c>
      <c r="B87" s="181" t="s">
        <v>461</v>
      </c>
      <c r="C87" s="182"/>
      <c r="D87" s="14">
        <f t="shared" si="5"/>
        <v>4800</v>
      </c>
      <c r="E87" s="17">
        <f>IF(F3="1",SUMIF(Data!A:A,'11'!$A$2,Data!ES:ES),0)</f>
        <v>0</v>
      </c>
      <c r="F87" s="21" t="str">
        <f t="shared" si="4"/>
        <v/>
      </c>
    </row>
    <row r="88" spans="1:6" x14ac:dyDescent="0.2">
      <c r="A88" s="19">
        <v>22</v>
      </c>
      <c r="B88" s="181" t="s">
        <v>19</v>
      </c>
      <c r="C88" s="182"/>
      <c r="D88" s="14">
        <f t="shared" si="5"/>
        <v>15440</v>
      </c>
      <c r="E88" s="17">
        <f>IF(F3="1",SUMIF(Data!A:A,'11'!$A$2,Data!ET:ET),0)</f>
        <v>75552</v>
      </c>
      <c r="F88" s="21">
        <f t="shared" si="4"/>
        <v>4.8899999999999997</v>
      </c>
    </row>
    <row r="89" spans="1:6" x14ac:dyDescent="0.2">
      <c r="A89" s="19">
        <v>23</v>
      </c>
      <c r="B89" s="181" t="s">
        <v>20</v>
      </c>
      <c r="C89" s="182"/>
      <c r="D89" s="14">
        <f t="shared" si="5"/>
        <v>39408</v>
      </c>
      <c r="E89" s="17">
        <f>IF(F3="1",SUMIF(Data!A:A,'11'!$A$2,Data!EU:EU),0)</f>
        <v>114831</v>
      </c>
      <c r="F89" s="21">
        <f t="shared" si="4"/>
        <v>2.91</v>
      </c>
    </row>
    <row r="90" spans="1:6" x14ac:dyDescent="0.2">
      <c r="A90" s="19">
        <v>24</v>
      </c>
      <c r="B90" s="181" t="s">
        <v>21</v>
      </c>
      <c r="C90" s="182"/>
      <c r="D90" s="14">
        <f t="shared" si="5"/>
        <v>54960</v>
      </c>
      <c r="E90" s="17">
        <f>IF(F3="1",SUMIF(Data!A:A,'11'!$A$2,Data!EV:EV),0)</f>
        <v>193121</v>
      </c>
      <c r="F90" s="21">
        <f t="shared" si="4"/>
        <v>3.51</v>
      </c>
    </row>
    <row r="91" spans="1:6" x14ac:dyDescent="0.2">
      <c r="A91" s="19">
        <v>25</v>
      </c>
      <c r="B91" s="181" t="s">
        <v>22</v>
      </c>
      <c r="C91" s="182"/>
      <c r="D91" s="14">
        <f t="shared" si="5"/>
        <v>194160</v>
      </c>
      <c r="E91" s="17">
        <f>IF(F3="1",SUMIF(Data!A:A,'11'!$A$2,Data!EW:EW),0)</f>
        <v>430038</v>
      </c>
      <c r="F91" s="21">
        <f t="shared" si="4"/>
        <v>2.21</v>
      </c>
    </row>
    <row r="92" spans="1:6" x14ac:dyDescent="0.2">
      <c r="A92" s="19">
        <v>26</v>
      </c>
      <c r="B92" s="181" t="s">
        <v>23</v>
      </c>
      <c r="C92" s="182"/>
      <c r="D92" s="14">
        <f t="shared" si="5"/>
        <v>58793</v>
      </c>
      <c r="E92" s="17">
        <f>IF(F3="1",SUMIF(Data!A:A,'11'!$A$2,Data!EX:EX),0)</f>
        <v>248835</v>
      </c>
      <c r="F92" s="21">
        <f t="shared" si="4"/>
        <v>4.2300000000000004</v>
      </c>
    </row>
    <row r="93" spans="1:6" x14ac:dyDescent="0.2">
      <c r="A93" s="19">
        <v>28</v>
      </c>
      <c r="B93" s="181" t="s">
        <v>24</v>
      </c>
      <c r="C93" s="182"/>
      <c r="D93" s="14">
        <f t="shared" si="5"/>
        <v>0</v>
      </c>
      <c r="E93" s="17">
        <f>IF(F3="1",SUMIF(Data!A:A,'11'!$A$2,Data!EZ:EZ),0)</f>
        <v>0</v>
      </c>
      <c r="F93" s="21" t="str">
        <f t="shared" si="4"/>
        <v/>
      </c>
    </row>
    <row r="94" spans="1:6" ht="15.75" customHeight="1" thickBot="1" x14ac:dyDescent="0.25">
      <c r="A94" s="22">
        <v>29</v>
      </c>
      <c r="B94" s="183" t="s">
        <v>25</v>
      </c>
      <c r="C94" s="184"/>
      <c r="D94" s="23">
        <f t="shared" si="5"/>
        <v>0</v>
      </c>
      <c r="E94" s="24">
        <f>IF(F3="1",SUMIF(Data!A:A,'11'!$A$2,Data!FA:FA),0)</f>
        <v>0</v>
      </c>
      <c r="F94" s="25" t="str">
        <f t="shared" si="4"/>
        <v/>
      </c>
    </row>
    <row r="95" spans="1:6" x14ac:dyDescent="0.2">
      <c r="B95" s="30" t="s">
        <v>35</v>
      </c>
      <c r="C95" s="30"/>
      <c r="D95" s="59">
        <f>SUM(D67:D94)</f>
        <v>1838135</v>
      </c>
      <c r="E95" s="31">
        <f>SUM(E67:E94)</f>
        <v>4554870</v>
      </c>
      <c r="F95" s="32">
        <f t="shared" si="4"/>
        <v>2.48</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IF(F3="1",SUMIF(Data!A:A,'11'!$A$2,Data!AH:AH),0)</f>
        <v>2093426</v>
      </c>
      <c r="F98" s="20">
        <f>IF(OR(E98=0,E98=0),"",ROUND(E98/$D$105,2))</f>
        <v>1.1399999999999999</v>
      </c>
    </row>
    <row r="99" spans="2:6" x14ac:dyDescent="0.2">
      <c r="B99" s="187" t="s">
        <v>31</v>
      </c>
      <c r="C99" s="188"/>
      <c r="D99" s="36"/>
      <c r="E99" s="17">
        <f>IF(F3="1",SUMIF(Data!A:A,'11'!$A$2,Data!AI:AI),0)</f>
        <v>2124960</v>
      </c>
      <c r="F99" s="21">
        <f t="shared" ref="F99:F104" si="6">IF(OR(E99=0,E99=0),"",ROUND(E99/$D$105,2))</f>
        <v>1.1599999999999999</v>
      </c>
    </row>
    <row r="100" spans="2:6" x14ac:dyDescent="0.2">
      <c r="B100" s="187" t="s">
        <v>1078</v>
      </c>
      <c r="C100" s="188"/>
      <c r="D100" s="36"/>
      <c r="E100" s="17">
        <f>IF(F3="1",SUMIF(Data!A:A,'11'!$A$2,Data!AJ:AJ),0)</f>
        <v>580151</v>
      </c>
      <c r="F100" s="21">
        <f t="shared" si="6"/>
        <v>0.32</v>
      </c>
    </row>
    <row r="101" spans="2:6" x14ac:dyDescent="0.2">
      <c r="B101" s="187" t="s">
        <v>1079</v>
      </c>
      <c r="C101" s="188"/>
      <c r="D101" s="36"/>
      <c r="E101" s="17">
        <f>IF(F3="1",SUMIF(Data!A:A,'11'!$A$2,Data!AK:AK),0)</f>
        <v>767811</v>
      </c>
      <c r="F101" s="21">
        <f t="shared" si="6"/>
        <v>0.42</v>
      </c>
    </row>
    <row r="102" spans="2:6" x14ac:dyDescent="0.2">
      <c r="B102" s="187" t="s">
        <v>1080</v>
      </c>
      <c r="C102" s="188"/>
      <c r="D102" s="36"/>
      <c r="E102" s="17">
        <f>IF(F3="1",SUMIF(Data!A:A,'11'!$A$2,Data!AL:AL),0)</f>
        <v>0</v>
      </c>
      <c r="F102" s="21" t="str">
        <f t="shared" si="6"/>
        <v/>
      </c>
    </row>
    <row r="103" spans="2:6" x14ac:dyDescent="0.2">
      <c r="B103" s="189" t="s">
        <v>34</v>
      </c>
      <c r="C103" s="190"/>
      <c r="D103" s="36"/>
      <c r="E103" s="17">
        <f>IF(F3="1",SUMIF(Data!A:A,'11'!$A$2,Data!AM:AM),0)</f>
        <v>0</v>
      </c>
      <c r="F103" s="21" t="str">
        <f t="shared" si="6"/>
        <v/>
      </c>
    </row>
    <row r="104" spans="2:6" ht="15.75" customHeight="1" thickBot="1" x14ac:dyDescent="0.25">
      <c r="B104" s="179" t="s">
        <v>29</v>
      </c>
      <c r="C104" s="180"/>
      <c r="D104" s="37"/>
      <c r="E104" s="24">
        <f>IF(F3="1",SUMIF(Data!A:A,'11'!$A$2,Data!Q:Q),0)</f>
        <v>515755</v>
      </c>
      <c r="F104" s="25">
        <f t="shared" si="6"/>
        <v>0.28000000000000003</v>
      </c>
    </row>
    <row r="105" spans="2:6" x14ac:dyDescent="0.2">
      <c r="B105" s="30" t="s">
        <v>35</v>
      </c>
      <c r="C105" s="30"/>
      <c r="D105" s="34">
        <f>D95</f>
        <v>1838135</v>
      </c>
      <c r="E105" s="31">
        <f>SUM(E98:E104)</f>
        <v>6082103</v>
      </c>
      <c r="F105" s="32">
        <f>IF($D$105=0,"",ROUND(E105/$D$105,2))</f>
        <v>3.31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4554870</v>
      </c>
      <c r="D109" s="15">
        <f>IF(F3="1",SUMIF(Data!$A:$A,$A$2,Data!HJ:HJ),0)</f>
        <v>0</v>
      </c>
      <c r="E109" s="15">
        <f>IF(F3="1",SUMIF(Data!$A:$A,$A$2,Data!IN:IN),0)</f>
        <v>0</v>
      </c>
      <c r="F109" s="47">
        <f>SUM(C109:E109)</f>
        <v>4554870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515755</v>
      </c>
      <c r="E117" s="52"/>
      <c r="F117" s="49">
        <f>SUM(C117:E117)</f>
        <v>515755</v>
      </c>
    </row>
    <row r="118" spans="1:6" x14ac:dyDescent="0.2">
      <c r="B118" s="13" t="s">
        <v>35</v>
      </c>
      <c r="C118" s="4">
        <f>SUM(C109:C116)</f>
        <v>4554870</v>
      </c>
      <c r="D118" s="4">
        <f>SUM(D109:D116)</f>
        <v>0</v>
      </c>
      <c r="E118" s="4">
        <f>SUM(E109:E116)</f>
        <v>0</v>
      </c>
      <c r="F118" s="4">
        <f>SUM(F109:F116)</f>
        <v>4554870</v>
      </c>
    </row>
    <row r="119" spans="1:6" ht="15" thickBot="1" x14ac:dyDescent="0.25"/>
    <row r="120" spans="1:6" ht="15" thickBot="1" x14ac:dyDescent="0.25">
      <c r="B120" s="55" t="s">
        <v>934</v>
      </c>
      <c r="C120" s="53"/>
      <c r="D120" s="53"/>
      <c r="E120" s="53">
        <f>IF(F3="1",SUMIF(Data!A:A,'11'!$A$2,Data!AM:AM),0)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425</v>
      </c>
      <c r="B2" s="58" t="str">
        <f>VLOOKUP(A2,Data!A:G,7,0)</f>
        <v>College of the Mainland Community College District</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10464</v>
      </c>
      <c r="E5" s="15">
        <f>E36+E67+IFERROR($E$105/$D$105*D5,0)</f>
        <v>126714.31662870159</v>
      </c>
      <c r="F5" s="20">
        <f>IF(OR(D5=0,E5=0),"",ROUND(E5/D5,2))</f>
        <v>12.11</v>
      </c>
    </row>
    <row r="6" spans="1:6" x14ac:dyDescent="0.2">
      <c r="A6" s="19">
        <v>2</v>
      </c>
      <c r="B6" s="181" t="s">
        <v>1</v>
      </c>
      <c r="C6" s="182"/>
      <c r="D6" s="14">
        <f t="shared" ref="D6:D32" si="0">D37</f>
        <v>51872</v>
      </c>
      <c r="E6" s="17">
        <f t="shared" ref="E6:E32" si="1">E37+E68+IFERROR($E$105/$D$105*D6,0)</f>
        <v>1400031.9977220956</v>
      </c>
      <c r="F6" s="21">
        <f t="shared" ref="F6:F33" si="2">IF(OR(D6=0,E6=0),"",ROUND(E6/D6,2))</f>
        <v>26.99</v>
      </c>
    </row>
    <row r="7" spans="1:6" ht="14.25" customHeight="1" x14ac:dyDescent="0.2">
      <c r="A7" s="19">
        <v>3</v>
      </c>
      <c r="B7" s="181" t="s">
        <v>2</v>
      </c>
      <c r="C7" s="182"/>
      <c r="D7" s="14">
        <f t="shared" si="0"/>
        <v>232566</v>
      </c>
      <c r="E7" s="17">
        <f t="shared" si="1"/>
        <v>1915384.3462414579</v>
      </c>
      <c r="F7" s="21">
        <f t="shared" si="2"/>
        <v>8.24</v>
      </c>
    </row>
    <row r="8" spans="1:6" ht="14.25" customHeight="1" x14ac:dyDescent="0.2">
      <c r="A8" s="19">
        <v>4</v>
      </c>
      <c r="B8" s="181" t="s">
        <v>3</v>
      </c>
      <c r="C8" s="182"/>
      <c r="D8" s="14">
        <f t="shared" si="0"/>
        <v>94592</v>
      </c>
      <c r="E8" s="17">
        <f t="shared" si="1"/>
        <v>1009790.464692483</v>
      </c>
      <c r="F8" s="21">
        <f t="shared" si="2"/>
        <v>10.68</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8464</v>
      </c>
      <c r="E10" s="17">
        <f t="shared" si="1"/>
        <v>521413.6674259681</v>
      </c>
      <c r="F10" s="21">
        <f t="shared" si="2"/>
        <v>61.6</v>
      </c>
    </row>
    <row r="11" spans="1:6" x14ac:dyDescent="0.2">
      <c r="A11" s="19">
        <v>7</v>
      </c>
      <c r="B11" s="181" t="s">
        <v>6</v>
      </c>
      <c r="C11" s="182"/>
      <c r="D11" s="14">
        <f t="shared" si="0"/>
        <v>54960</v>
      </c>
      <c r="E11" s="17">
        <f t="shared" si="1"/>
        <v>1127938.6400911161</v>
      </c>
      <c r="F11" s="21">
        <f t="shared" si="2"/>
        <v>20.52</v>
      </c>
    </row>
    <row r="12" spans="1:6" x14ac:dyDescent="0.2">
      <c r="A12" s="19">
        <v>8</v>
      </c>
      <c r="B12" s="181" t="s">
        <v>7</v>
      </c>
      <c r="C12" s="182"/>
      <c r="D12" s="14">
        <f t="shared" si="0"/>
        <v>1824</v>
      </c>
      <c r="E12" s="17">
        <f t="shared" si="1"/>
        <v>24686.312072892939</v>
      </c>
      <c r="F12" s="21">
        <f t="shared" si="2"/>
        <v>13.53</v>
      </c>
    </row>
    <row r="13" spans="1:6" x14ac:dyDescent="0.2">
      <c r="A13" s="19">
        <v>9</v>
      </c>
      <c r="B13" s="181" t="s">
        <v>8</v>
      </c>
      <c r="C13" s="182"/>
      <c r="D13" s="14">
        <f t="shared" si="0"/>
        <v>93104</v>
      </c>
      <c r="E13" s="17">
        <f t="shared" si="1"/>
        <v>993530.34168564924</v>
      </c>
      <c r="F13" s="21">
        <f t="shared" si="2"/>
        <v>10.67</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23856</v>
      </c>
      <c r="E15" s="17">
        <f t="shared" si="1"/>
        <v>300045.42369020497</v>
      </c>
      <c r="F15" s="21">
        <f t="shared" si="2"/>
        <v>12.58</v>
      </c>
    </row>
    <row r="16" spans="1:6" ht="14.25" customHeight="1" x14ac:dyDescent="0.2">
      <c r="A16" s="19">
        <v>12</v>
      </c>
      <c r="B16" s="181" t="s">
        <v>11</v>
      </c>
      <c r="C16" s="182"/>
      <c r="D16" s="14">
        <f t="shared" si="0"/>
        <v>220448</v>
      </c>
      <c r="E16" s="17">
        <f t="shared" si="1"/>
        <v>1987987.9977220956</v>
      </c>
      <c r="F16" s="21">
        <f t="shared" si="2"/>
        <v>9.02</v>
      </c>
    </row>
    <row r="17" spans="1:6" x14ac:dyDescent="0.2">
      <c r="A17" s="19">
        <v>13</v>
      </c>
      <c r="B17" s="181" t="s">
        <v>12</v>
      </c>
      <c r="C17" s="182"/>
      <c r="D17" s="14">
        <f t="shared" si="0"/>
        <v>25296</v>
      </c>
      <c r="E17" s="17">
        <f t="shared" si="1"/>
        <v>214600.09111617311</v>
      </c>
      <c r="F17" s="21">
        <f t="shared" si="2"/>
        <v>8.48</v>
      </c>
    </row>
    <row r="18" spans="1:6" ht="14.25" customHeight="1" x14ac:dyDescent="0.2">
      <c r="A18" s="19">
        <v>14</v>
      </c>
      <c r="B18" s="181" t="s">
        <v>464</v>
      </c>
      <c r="C18" s="182"/>
      <c r="D18" s="14">
        <f t="shared" si="0"/>
        <v>5776</v>
      </c>
      <c r="E18" s="17">
        <f t="shared" si="1"/>
        <v>584997.15489749436</v>
      </c>
      <c r="F18" s="21">
        <f t="shared" si="2"/>
        <v>101.28</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68112</v>
      </c>
      <c r="E20" s="17">
        <f t="shared" si="1"/>
        <v>604662.46924829157</v>
      </c>
      <c r="F20" s="21">
        <f t="shared" si="2"/>
        <v>8.8800000000000008</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0</v>
      </c>
      <c r="E22" s="17">
        <f t="shared" si="1"/>
        <v>0</v>
      </c>
      <c r="F22" s="21" t="str">
        <f t="shared" si="2"/>
        <v/>
      </c>
    </row>
    <row r="23" spans="1:6" x14ac:dyDescent="0.2">
      <c r="A23" s="19">
        <v>19</v>
      </c>
      <c r="B23" s="181" t="s">
        <v>17</v>
      </c>
      <c r="C23" s="182"/>
      <c r="D23" s="14">
        <f t="shared" si="0"/>
        <v>257608</v>
      </c>
      <c r="E23" s="17">
        <f t="shared" si="1"/>
        <v>2145955.3599088835</v>
      </c>
      <c r="F23" s="21">
        <f t="shared" si="2"/>
        <v>8.33</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4576</v>
      </c>
      <c r="E25" s="17">
        <f t="shared" si="1"/>
        <v>109294.76537585421</v>
      </c>
      <c r="F25" s="21">
        <f t="shared" si="2"/>
        <v>23.88</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47760</v>
      </c>
      <c r="E27" s="17">
        <f t="shared" si="1"/>
        <v>832370.30296127568</v>
      </c>
      <c r="F27" s="21">
        <f t="shared" si="2"/>
        <v>17.43</v>
      </c>
    </row>
    <row r="28" spans="1:6" x14ac:dyDescent="0.2">
      <c r="A28" s="19">
        <v>24</v>
      </c>
      <c r="B28" s="181" t="s">
        <v>21</v>
      </c>
      <c r="C28" s="182"/>
      <c r="D28" s="14">
        <f t="shared" si="0"/>
        <v>33712</v>
      </c>
      <c r="E28" s="17">
        <f t="shared" si="1"/>
        <v>301687.30296127562</v>
      </c>
      <c r="F28" s="21">
        <f t="shared" si="2"/>
        <v>8.9499999999999993</v>
      </c>
    </row>
    <row r="29" spans="1:6" x14ac:dyDescent="0.2">
      <c r="A29" s="19">
        <v>25</v>
      </c>
      <c r="B29" s="181" t="s">
        <v>22</v>
      </c>
      <c r="C29" s="182"/>
      <c r="D29" s="14">
        <f t="shared" si="0"/>
        <v>251856</v>
      </c>
      <c r="E29" s="17">
        <f t="shared" si="1"/>
        <v>1853955.4328018222</v>
      </c>
      <c r="F29" s="21">
        <f t="shared" si="2"/>
        <v>7.36</v>
      </c>
    </row>
    <row r="30" spans="1:6" x14ac:dyDescent="0.2">
      <c r="A30" s="19">
        <v>26</v>
      </c>
      <c r="B30" s="181" t="s">
        <v>23</v>
      </c>
      <c r="C30" s="182"/>
      <c r="D30" s="14">
        <f t="shared" si="0"/>
        <v>66336</v>
      </c>
      <c r="E30" s="17">
        <f t="shared" si="1"/>
        <v>844744.61275626416</v>
      </c>
      <c r="F30" s="21">
        <f t="shared" si="2"/>
        <v>12.73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1553182</v>
      </c>
      <c r="E33" s="31">
        <f>SUM(E5:E32)</f>
        <v>16899790.999999996</v>
      </c>
      <c r="F33" s="32">
        <f t="shared" si="2"/>
        <v>10.88</v>
      </c>
    </row>
    <row r="34" spans="1:6" ht="15" thickBot="1" x14ac:dyDescent="0.25"/>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IF(F3="1",SUMIF(Data!A:A,'12'!$A$2,Data!CU:CU),0)</f>
        <v>10464</v>
      </c>
      <c r="E36" s="15">
        <f>IF(F3="1",SUMIF(Data!$A:$A,$A$2,Data!IO:IO),0)</f>
        <v>23867</v>
      </c>
      <c r="F36" s="20">
        <f t="shared" ref="F36:F64" si="3">IF(OR(D36=0,E36=0),"",ROUND(E36/D36,2))</f>
        <v>2.2799999999999998</v>
      </c>
    </row>
    <row r="37" spans="1:6" x14ac:dyDescent="0.2">
      <c r="A37" s="19">
        <v>2</v>
      </c>
      <c r="B37" s="181" t="s">
        <v>1</v>
      </c>
      <c r="C37" s="182"/>
      <c r="D37" s="14">
        <f>IF(F3="1",SUMIF(Data!A:A,'12'!$A$2,Data!CV:CV),0)</f>
        <v>51872</v>
      </c>
      <c r="E37" s="17">
        <f>IF(F3="1",SUMIF(Data!$A:$A,$A$2,Data!IP:IP),0)</f>
        <v>511587</v>
      </c>
      <c r="F37" s="21">
        <f t="shared" si="3"/>
        <v>9.86</v>
      </c>
    </row>
    <row r="38" spans="1:6" ht="14.25" customHeight="1" x14ac:dyDescent="0.2">
      <c r="A38" s="19">
        <v>3</v>
      </c>
      <c r="B38" s="181" t="s">
        <v>2</v>
      </c>
      <c r="C38" s="182"/>
      <c r="D38" s="14">
        <f>IF(F3="1",SUMIF(Data!A:A,'12'!$A$2,Data!CW:CW),0)</f>
        <v>232566</v>
      </c>
      <c r="E38" s="17">
        <f>IF($F$3="1",SUMIF(Data!$A:$A,$A$2,Data!IQ:IQ),0)</f>
        <v>153800</v>
      </c>
      <c r="F38" s="21">
        <f t="shared" si="3"/>
        <v>0.66</v>
      </c>
    </row>
    <row r="39" spans="1:6" ht="14.25" customHeight="1" x14ac:dyDescent="0.2">
      <c r="A39" s="19">
        <v>4</v>
      </c>
      <c r="B39" s="181" t="s">
        <v>3</v>
      </c>
      <c r="C39" s="182"/>
      <c r="D39" s="14">
        <f>IF(F3="1",SUMIF(Data!A:A,'12'!$A$2,Data!CX:CX),0)</f>
        <v>94592</v>
      </c>
      <c r="E39" s="17">
        <f>IF($F$3="1",SUMIF(Data!$A:$A,$A$2,Data!IR:IR),0)</f>
        <v>105779</v>
      </c>
      <c r="F39" s="21">
        <f t="shared" si="3"/>
        <v>1.1200000000000001</v>
      </c>
    </row>
    <row r="40" spans="1:6" x14ac:dyDescent="0.2">
      <c r="A40" s="19">
        <v>5</v>
      </c>
      <c r="B40" s="181" t="s">
        <v>4</v>
      </c>
      <c r="C40" s="182"/>
      <c r="D40" s="14">
        <f>IF(F3="1",SUMIF(Data!A:A,'12'!$A$2,Data!CY:CY),0)</f>
        <v>0</v>
      </c>
      <c r="E40" s="17">
        <f>IF($F$3="1",SUMIF(Data!$A:$A,$A$2,Data!IS:IS),0)</f>
        <v>0</v>
      </c>
      <c r="F40" s="21" t="str">
        <f t="shared" si="3"/>
        <v/>
      </c>
    </row>
    <row r="41" spans="1:6" x14ac:dyDescent="0.2">
      <c r="A41" s="19">
        <v>6</v>
      </c>
      <c r="B41" s="181" t="s">
        <v>5</v>
      </c>
      <c r="C41" s="182"/>
      <c r="D41" s="14">
        <f>IF(F3="1",SUMIF(Data!A:A,'12'!$A$2,Data!CZ:CZ),0)</f>
        <v>8464</v>
      </c>
      <c r="E41" s="17">
        <f>IF($F$3="1",SUMIF(Data!$A:$A,$A$2,Data!IT:IT),0)</f>
        <v>131588</v>
      </c>
      <c r="F41" s="21">
        <f t="shared" si="3"/>
        <v>15.55</v>
      </c>
    </row>
    <row r="42" spans="1:6" x14ac:dyDescent="0.2">
      <c r="A42" s="19">
        <v>7</v>
      </c>
      <c r="B42" s="181" t="s">
        <v>6</v>
      </c>
      <c r="C42" s="182"/>
      <c r="D42" s="14">
        <f>IF(F3="1",SUMIF(Data!A:A,'12'!$A$2,Data!DA:DA),0)</f>
        <v>54960</v>
      </c>
      <c r="E42" s="17">
        <f>IF($F$3="1",SUMIF(Data!$A:$A,$A$2,Data!IU:IU),0)</f>
        <v>341686</v>
      </c>
      <c r="F42" s="21">
        <f t="shared" si="3"/>
        <v>6.22</v>
      </c>
    </row>
    <row r="43" spans="1:6" x14ac:dyDescent="0.2">
      <c r="A43" s="19">
        <v>8</v>
      </c>
      <c r="B43" s="181" t="s">
        <v>7</v>
      </c>
      <c r="C43" s="182"/>
      <c r="D43" s="14">
        <f>IF(F3="1",SUMIF(Data!A:A,'12'!$A$2,Data!DB:DB),0)</f>
        <v>1824</v>
      </c>
      <c r="E43" s="17">
        <f>IF($F$3="1",SUMIF(Data!$A:$A,$A$2,Data!IV:IV),0)</f>
        <v>4574</v>
      </c>
      <c r="F43" s="21">
        <f t="shared" si="3"/>
        <v>2.5099999999999998</v>
      </c>
    </row>
    <row r="44" spans="1:6" x14ac:dyDescent="0.2">
      <c r="A44" s="19">
        <v>9</v>
      </c>
      <c r="B44" s="181" t="s">
        <v>8</v>
      </c>
      <c r="C44" s="182"/>
      <c r="D44" s="14">
        <f>IF(F3="1",SUMIF(Data!A:A,'12'!$A$2,Data!DC:DC),0)</f>
        <v>93104</v>
      </c>
      <c r="E44" s="17">
        <f>IF($F$3="1",SUMIF(Data!$A:$A,$A$2,Data!IW:IW),0)</f>
        <v>239605</v>
      </c>
      <c r="F44" s="21">
        <f t="shared" si="3"/>
        <v>2.57</v>
      </c>
    </row>
    <row r="45" spans="1:6" x14ac:dyDescent="0.2">
      <c r="A45" s="19">
        <v>10</v>
      </c>
      <c r="B45" s="181" t="s">
        <v>9</v>
      </c>
      <c r="C45" s="182"/>
      <c r="D45" s="14">
        <f>IF(F3="1",SUMIF(Data!A:A,'12'!$A$2,Data!DD:DD),0)</f>
        <v>0</v>
      </c>
      <c r="E45" s="17">
        <f>IF($F$3="1",SUMIF(Data!$A:$A,$A$2,Data!IX:IX),0)</f>
        <v>0</v>
      </c>
      <c r="F45" s="21" t="str">
        <f t="shared" si="3"/>
        <v/>
      </c>
    </row>
    <row r="46" spans="1:6" x14ac:dyDescent="0.2">
      <c r="A46" s="19">
        <v>11</v>
      </c>
      <c r="B46" s="181" t="s">
        <v>10</v>
      </c>
      <c r="C46" s="182"/>
      <c r="D46" s="14">
        <f>IF(F3="1",SUMIF(Data!A:A,'12'!$A$2,Data!DE:DE),0)</f>
        <v>23856</v>
      </c>
      <c r="E46" s="17">
        <f>IF($F$3="1",SUMIF(Data!$A:$A,$A$2,Data!IY:IY),0)</f>
        <v>53371</v>
      </c>
      <c r="F46" s="21">
        <f t="shared" si="3"/>
        <v>2.2400000000000002</v>
      </c>
    </row>
    <row r="47" spans="1:6" ht="14.25" customHeight="1" x14ac:dyDescent="0.2">
      <c r="A47" s="19">
        <v>12</v>
      </c>
      <c r="B47" s="181" t="s">
        <v>11</v>
      </c>
      <c r="C47" s="182"/>
      <c r="D47" s="14">
        <f>IF(F3="1",SUMIF(Data!A:A,'12'!$A$2,Data!DF:DF),0)</f>
        <v>220448</v>
      </c>
      <c r="E47" s="17">
        <f>IF($F$3="1",SUMIF(Data!$A:$A,$A$2,Data!IZ:IZ),0)</f>
        <v>169895</v>
      </c>
      <c r="F47" s="21">
        <f t="shared" si="3"/>
        <v>0.77</v>
      </c>
    </row>
    <row r="48" spans="1:6" x14ac:dyDescent="0.2">
      <c r="A48" s="19">
        <v>13</v>
      </c>
      <c r="B48" s="181" t="s">
        <v>12</v>
      </c>
      <c r="C48" s="182"/>
      <c r="D48" s="14">
        <f>IF(F3="1",SUMIF(Data!A:A,'12'!$A$2,Data!DG:DG),0)</f>
        <v>25296</v>
      </c>
      <c r="E48" s="17">
        <f>IF($F$3="1",SUMIF(Data!$A:$A,$A$2,Data!JA:JA),0)</f>
        <v>7287</v>
      </c>
      <c r="F48" s="21">
        <f t="shared" si="3"/>
        <v>0.28999999999999998</v>
      </c>
    </row>
    <row r="49" spans="1:6" ht="14.25" customHeight="1" x14ac:dyDescent="0.2">
      <c r="A49" s="19">
        <v>14</v>
      </c>
      <c r="B49" s="181" t="s">
        <v>464</v>
      </c>
      <c r="C49" s="182"/>
      <c r="D49" s="14">
        <f>IF(F3="1",SUMIF(Data!A:A,'12'!$A$2,Data!DH:DH),0)</f>
        <v>5776</v>
      </c>
      <c r="E49" s="17">
        <f>IF($F$3="1",SUMIF(Data!$A:$A,$A$2,Data!JB:JB),0)</f>
        <v>143064</v>
      </c>
      <c r="F49" s="21">
        <f t="shared" si="3"/>
        <v>24.77</v>
      </c>
    </row>
    <row r="50" spans="1:6" x14ac:dyDescent="0.2">
      <c r="A50" s="19">
        <v>15</v>
      </c>
      <c r="B50" s="181" t="s">
        <v>13</v>
      </c>
      <c r="C50" s="182"/>
      <c r="D50" s="14">
        <f>IF(F3="1",SUMIF(Data!A:A,'12'!$A$2,Data!DI:DI),0)</f>
        <v>0</v>
      </c>
      <c r="E50" s="17">
        <f>IF($F$3="1",SUMIF(Data!$A:$A,$A$2,Data!JC:JC),0)</f>
        <v>0</v>
      </c>
      <c r="F50" s="21" t="str">
        <f t="shared" si="3"/>
        <v/>
      </c>
    </row>
    <row r="51" spans="1:6" x14ac:dyDescent="0.2">
      <c r="A51" s="19">
        <v>16</v>
      </c>
      <c r="B51" s="181" t="s">
        <v>14</v>
      </c>
      <c r="C51" s="182"/>
      <c r="D51" s="14">
        <f>IF(F3="1",SUMIF(Data!A:A,'12'!$A$2,Data!DJ:DJ),0)</f>
        <v>68112</v>
      </c>
      <c r="E51" s="17">
        <f>IF($F$3="1",SUMIF(Data!$A:$A,$A$2,Data!JD:JD),0)</f>
        <v>51761</v>
      </c>
      <c r="F51" s="21">
        <f t="shared" si="3"/>
        <v>0.76</v>
      </c>
    </row>
    <row r="52" spans="1:6" x14ac:dyDescent="0.2">
      <c r="A52" s="19">
        <v>17</v>
      </c>
      <c r="B52" s="181" t="s">
        <v>15</v>
      </c>
      <c r="C52" s="182"/>
      <c r="D52" s="14">
        <f>IF(F3="1",SUMIF(Data!A:A,'12'!$A$2,Data!DK:DK),0)</f>
        <v>0</v>
      </c>
      <c r="E52" s="17">
        <f>IF($F$3="1",SUMIF(Data!$A:$A,$A$2,Data!JE:JE),0)</f>
        <v>0</v>
      </c>
      <c r="F52" s="21" t="str">
        <f t="shared" si="3"/>
        <v/>
      </c>
    </row>
    <row r="53" spans="1:6" x14ac:dyDescent="0.2">
      <c r="A53" s="19">
        <v>18</v>
      </c>
      <c r="B53" s="181" t="s">
        <v>16</v>
      </c>
      <c r="C53" s="182"/>
      <c r="D53" s="14">
        <f>IF(F3="1",SUMIF(Data!A:A,'12'!$A$2,Data!DL:DL),0)</f>
        <v>0</v>
      </c>
      <c r="E53" s="17">
        <f>IF($F$3="1",SUMIF(Data!$A:$A,$A$2,Data!JF:JF),0)</f>
        <v>0</v>
      </c>
      <c r="F53" s="21" t="str">
        <f t="shared" si="3"/>
        <v/>
      </c>
    </row>
    <row r="54" spans="1:6" x14ac:dyDescent="0.2">
      <c r="A54" s="19">
        <v>19</v>
      </c>
      <c r="B54" s="181" t="s">
        <v>17</v>
      </c>
      <c r="C54" s="182"/>
      <c r="D54" s="14">
        <f>IF(F3="1",SUMIF(Data!A:A,'12'!$A$2,Data!DM:DM),0)</f>
        <v>257608</v>
      </c>
      <c r="E54" s="17">
        <f>IF($F$3="1",SUMIF(Data!$A:$A,$A$2,Data!JG:JG),0)</f>
        <v>181648</v>
      </c>
      <c r="F54" s="21">
        <f t="shared" si="3"/>
        <v>0.71</v>
      </c>
    </row>
    <row r="55" spans="1:6" x14ac:dyDescent="0.2">
      <c r="A55" s="19">
        <v>20</v>
      </c>
      <c r="B55" s="181" t="s">
        <v>18</v>
      </c>
      <c r="C55" s="182"/>
      <c r="D55" s="14">
        <f>IF(F3="1",SUMIF(Data!A:A,'12'!$A$2,Data!DN:DN),0)</f>
        <v>0</v>
      </c>
      <c r="E55" s="17">
        <f>IF($F$3="1",SUMIF(Data!$A:$A,$A$2,Data!JH:JH),0)</f>
        <v>0</v>
      </c>
      <c r="F55" s="21" t="str">
        <f t="shared" si="3"/>
        <v/>
      </c>
    </row>
    <row r="56" spans="1:6" ht="14.25" customHeight="1" x14ac:dyDescent="0.2">
      <c r="A56" s="19">
        <v>21</v>
      </c>
      <c r="B56" s="181" t="s">
        <v>461</v>
      </c>
      <c r="C56" s="182"/>
      <c r="D56" s="14">
        <f>IF(F3="1",SUMIF(Data!A:A,'12'!$A$2,Data!DO:DO),0)</f>
        <v>4576</v>
      </c>
      <c r="E56" s="17">
        <f>IF($F$3="1",SUMIF(Data!$A:$A,$A$2,Data!JI:JI),0)</f>
        <v>29840</v>
      </c>
      <c r="F56" s="21">
        <f t="shared" si="3"/>
        <v>6.52</v>
      </c>
    </row>
    <row r="57" spans="1:6" x14ac:dyDescent="0.2">
      <c r="A57" s="19">
        <v>22</v>
      </c>
      <c r="B57" s="181" t="s">
        <v>19</v>
      </c>
      <c r="C57" s="182"/>
      <c r="D57" s="14">
        <f>IF(F3="1",SUMIF(Data!A:A,'12'!$A$2,Data!DP:DP),0)</f>
        <v>0</v>
      </c>
      <c r="E57" s="17">
        <f>IF($F$3="1",SUMIF(Data!$A:$A,$A$2,Data!JJ:JJ),0)</f>
        <v>0</v>
      </c>
      <c r="F57" s="21" t="str">
        <f t="shared" si="3"/>
        <v/>
      </c>
    </row>
    <row r="58" spans="1:6" x14ac:dyDescent="0.2">
      <c r="A58" s="19">
        <v>23</v>
      </c>
      <c r="B58" s="181" t="s">
        <v>20</v>
      </c>
      <c r="C58" s="182"/>
      <c r="D58" s="14">
        <f>IF(F3="1",SUMIF(Data!A:A,'12'!$A$2,Data!DQ:DQ),0)</f>
        <v>47760</v>
      </c>
      <c r="E58" s="17">
        <f>IF($F$3="1",SUMIF(Data!$A:$A,$A$2,Data!JK:JK),0)</f>
        <v>155701</v>
      </c>
      <c r="F58" s="21">
        <f t="shared" si="3"/>
        <v>3.26</v>
      </c>
    </row>
    <row r="59" spans="1:6" x14ac:dyDescent="0.2">
      <c r="A59" s="19">
        <v>24</v>
      </c>
      <c r="B59" s="181" t="s">
        <v>21</v>
      </c>
      <c r="C59" s="182"/>
      <c r="D59" s="14">
        <f>IF(F3="1",SUMIF(Data!A:A,'12'!$A$2,Data!DR:DR),0)</f>
        <v>33712</v>
      </c>
      <c r="E59" s="17">
        <f>IF($F$3="1",SUMIF(Data!$A:$A,$A$2,Data!JL:JL),0)</f>
        <v>21039</v>
      </c>
      <c r="F59" s="21">
        <f t="shared" si="3"/>
        <v>0.62</v>
      </c>
    </row>
    <row r="60" spans="1:6" x14ac:dyDescent="0.2">
      <c r="A60" s="19">
        <v>25</v>
      </c>
      <c r="B60" s="181" t="s">
        <v>22</v>
      </c>
      <c r="C60" s="182"/>
      <c r="D60" s="14">
        <f>IF(F3="1",SUMIF(Data!A:A,'12'!$A$2,Data!DS:DS),0)</f>
        <v>251856</v>
      </c>
      <c r="E60" s="17">
        <f>IF($F$3="1",SUMIF(Data!$A:$A,$A$2,Data!JM:JM),0)</f>
        <v>58492</v>
      </c>
      <c r="F60" s="21">
        <f t="shared" si="3"/>
        <v>0.23</v>
      </c>
    </row>
    <row r="61" spans="1:6" x14ac:dyDescent="0.2">
      <c r="A61" s="19">
        <v>26</v>
      </c>
      <c r="B61" s="181" t="s">
        <v>23</v>
      </c>
      <c r="C61" s="182"/>
      <c r="D61" s="14">
        <f>IF(F3="1",SUMIF(Data!A:A,'12'!$A$2,Data!DT:DT),0)</f>
        <v>66336</v>
      </c>
      <c r="E61" s="17">
        <f>IF($F$3="1",SUMIF(Data!$A:$A,$A$2,Data!JN:JN),0)</f>
        <v>96004</v>
      </c>
      <c r="F61" s="21">
        <f t="shared" si="3"/>
        <v>1.45</v>
      </c>
    </row>
    <row r="62" spans="1:6" x14ac:dyDescent="0.2">
      <c r="A62" s="19">
        <v>28</v>
      </c>
      <c r="B62" s="181" t="s">
        <v>24</v>
      </c>
      <c r="C62" s="182"/>
      <c r="D62" s="14">
        <f>IF(F3="1",SUMIF(Data!A:A,'12'!$A$2,Data!DV:DV),0)</f>
        <v>0</v>
      </c>
      <c r="E62" s="17">
        <f>IF($F$3="1",SUMIF(Data!$A:$A,$A$2,Data!JP:JP),0)</f>
        <v>0</v>
      </c>
      <c r="F62" s="21" t="str">
        <f t="shared" si="3"/>
        <v/>
      </c>
    </row>
    <row r="63" spans="1:6" ht="15.75" customHeight="1" thickBot="1" x14ac:dyDescent="0.25">
      <c r="A63" s="22">
        <v>29</v>
      </c>
      <c r="B63" s="183" t="s">
        <v>25</v>
      </c>
      <c r="C63" s="184"/>
      <c r="D63" s="23">
        <f>IF(F3="1",SUMIF(Data!A:A,'12'!$A$2,Data!DW:DW),0)</f>
        <v>0</v>
      </c>
      <c r="E63" s="24">
        <f>IF($F$3="1",SUMIF(Data!$A:$A,$A$2,Data!JQ:JQ),0)</f>
        <v>0</v>
      </c>
      <c r="F63" s="25" t="str">
        <f t="shared" si="3"/>
        <v/>
      </c>
    </row>
    <row r="64" spans="1:6" x14ac:dyDescent="0.2">
      <c r="B64" s="30" t="s">
        <v>35</v>
      </c>
      <c r="C64" s="30"/>
      <c r="D64" s="59">
        <f>SUM(D36:D63)</f>
        <v>1553182</v>
      </c>
      <c r="E64" s="31">
        <f>SUM(E36:E63)</f>
        <v>2480588</v>
      </c>
      <c r="F64" s="32">
        <f t="shared" si="3"/>
        <v>1.6</v>
      </c>
    </row>
    <row r="65" spans="1:6" ht="15" thickBot="1" x14ac:dyDescent="0.25"/>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10464</v>
      </c>
      <c r="E67" s="15">
        <f>IF(F3="1",SUMIF(Data!A:A,'12'!$A$2,Data!DY:DY),0)</f>
        <v>46940</v>
      </c>
      <c r="F67" s="20">
        <f t="shared" ref="F67:F95" si="4">IF(OR(D67=0,E67=0),"",ROUND(E67/D67,2))</f>
        <v>4.49</v>
      </c>
    </row>
    <row r="68" spans="1:6" x14ac:dyDescent="0.2">
      <c r="A68" s="19">
        <v>2</v>
      </c>
      <c r="B68" s="181" t="s">
        <v>1</v>
      </c>
      <c r="C68" s="182"/>
      <c r="D68" s="14">
        <f t="shared" ref="D68:D94" si="5">D37</f>
        <v>51872</v>
      </c>
      <c r="E68" s="17">
        <f>IF(F3="1",SUMIF(Data!A:A,'12'!$A$2,Data!DZ:DZ),0)</f>
        <v>611302</v>
      </c>
      <c r="F68" s="21">
        <f t="shared" si="4"/>
        <v>11.78</v>
      </c>
    </row>
    <row r="69" spans="1:6" ht="14.25" customHeight="1" x14ac:dyDescent="0.2">
      <c r="A69" s="19">
        <v>3</v>
      </c>
      <c r="B69" s="181" t="s">
        <v>2</v>
      </c>
      <c r="C69" s="182"/>
      <c r="D69" s="14">
        <f t="shared" si="5"/>
        <v>232566</v>
      </c>
      <c r="E69" s="17">
        <f>IF(F3="1",SUMIF(Data!A:A,'12'!$A$2,Data!EA:EA),0)</f>
        <v>519025</v>
      </c>
      <c r="F69" s="21">
        <f t="shared" si="4"/>
        <v>2.23</v>
      </c>
    </row>
    <row r="70" spans="1:6" ht="14.25" customHeight="1" x14ac:dyDescent="0.2">
      <c r="A70" s="19">
        <v>4</v>
      </c>
      <c r="B70" s="181" t="s">
        <v>3</v>
      </c>
      <c r="C70" s="182"/>
      <c r="D70" s="14">
        <f t="shared" si="5"/>
        <v>94592</v>
      </c>
      <c r="E70" s="17">
        <f>IF(F3="1",SUMIF(Data!A:A,'12'!$A$2,Data!EB:EB),0)</f>
        <v>398623</v>
      </c>
      <c r="F70" s="21">
        <f t="shared" si="4"/>
        <v>4.21</v>
      </c>
    </row>
    <row r="71" spans="1:6" x14ac:dyDescent="0.2">
      <c r="A71" s="19">
        <v>5</v>
      </c>
      <c r="B71" s="181" t="s">
        <v>4</v>
      </c>
      <c r="C71" s="182"/>
      <c r="D71" s="14">
        <f t="shared" si="5"/>
        <v>0</v>
      </c>
      <c r="E71" s="17">
        <f>IF(F3="1",SUMIF(Data!A:A,'12'!$A$2,Data!EC:EC),0)</f>
        <v>0</v>
      </c>
      <c r="F71" s="21" t="str">
        <f t="shared" si="4"/>
        <v/>
      </c>
    </row>
    <row r="72" spans="1:6" x14ac:dyDescent="0.2">
      <c r="A72" s="19">
        <v>6</v>
      </c>
      <c r="B72" s="181" t="s">
        <v>5</v>
      </c>
      <c r="C72" s="182"/>
      <c r="D72" s="14">
        <f t="shared" si="5"/>
        <v>8464</v>
      </c>
      <c r="E72" s="17">
        <f>IF(F3="1",SUMIF(Data!A:A,'12'!$A$2,Data!ED:ED),0)</f>
        <v>344604</v>
      </c>
      <c r="F72" s="21">
        <f t="shared" si="4"/>
        <v>40.71</v>
      </c>
    </row>
    <row r="73" spans="1:6" x14ac:dyDescent="0.2">
      <c r="A73" s="19">
        <v>7</v>
      </c>
      <c r="B73" s="181" t="s">
        <v>6</v>
      </c>
      <c r="C73" s="182"/>
      <c r="D73" s="14">
        <f t="shared" si="5"/>
        <v>54960</v>
      </c>
      <c r="E73" s="17">
        <f>IF(F3="1",SUMIF(Data!A:A,'12'!$A$2,Data!EE:EE),0)</f>
        <v>492611</v>
      </c>
      <c r="F73" s="21">
        <f t="shared" si="4"/>
        <v>8.9600000000000009</v>
      </c>
    </row>
    <row r="74" spans="1:6" x14ac:dyDescent="0.2">
      <c r="A74" s="19">
        <v>8</v>
      </c>
      <c r="B74" s="181" t="s">
        <v>7</v>
      </c>
      <c r="C74" s="182"/>
      <c r="D74" s="14">
        <f t="shared" si="5"/>
        <v>1824</v>
      </c>
      <c r="E74" s="17">
        <f>IF(F3="1",SUMIF(Data!A:A,'12'!$A$2,Data!EF:EF),0)</f>
        <v>10367</v>
      </c>
      <c r="F74" s="21">
        <f t="shared" si="4"/>
        <v>5.68</v>
      </c>
    </row>
    <row r="75" spans="1:6" x14ac:dyDescent="0.2">
      <c r="A75" s="19">
        <v>9</v>
      </c>
      <c r="B75" s="181" t="s">
        <v>8</v>
      </c>
      <c r="C75" s="182"/>
      <c r="D75" s="14">
        <f t="shared" si="5"/>
        <v>93104</v>
      </c>
      <c r="E75" s="17">
        <f>IF(F3="1",SUMIF(Data!A:A,'12'!$A$2,Data!EG:EG),0)</f>
        <v>256487</v>
      </c>
      <c r="F75" s="21">
        <f t="shared" si="4"/>
        <v>2.75</v>
      </c>
    </row>
    <row r="76" spans="1:6" x14ac:dyDescent="0.2">
      <c r="A76" s="19">
        <v>10</v>
      </c>
      <c r="B76" s="181" t="s">
        <v>9</v>
      </c>
      <c r="C76" s="182"/>
      <c r="D76" s="14">
        <f t="shared" si="5"/>
        <v>0</v>
      </c>
      <c r="E76" s="17">
        <f>IF(F3="1",SUMIF(Data!A:A,'12'!$A$2,Data!EH:EH),0)</f>
        <v>0</v>
      </c>
      <c r="F76" s="21" t="str">
        <f t="shared" si="4"/>
        <v/>
      </c>
    </row>
    <row r="77" spans="1:6" x14ac:dyDescent="0.2">
      <c r="A77" s="19">
        <v>11</v>
      </c>
      <c r="B77" s="181" t="s">
        <v>10</v>
      </c>
      <c r="C77" s="182"/>
      <c r="D77" s="14">
        <f t="shared" si="5"/>
        <v>23856</v>
      </c>
      <c r="E77" s="17">
        <f>IF(F3="1",SUMIF(Data!A:A,'12'!$A$2,Data!EI:EI),0)</f>
        <v>119216</v>
      </c>
      <c r="F77" s="21">
        <f t="shared" si="4"/>
        <v>5</v>
      </c>
    </row>
    <row r="78" spans="1:6" ht="14.25" customHeight="1" x14ac:dyDescent="0.2">
      <c r="A78" s="19">
        <v>12</v>
      </c>
      <c r="B78" s="181" t="s">
        <v>11</v>
      </c>
      <c r="C78" s="182"/>
      <c r="D78" s="14">
        <f t="shared" si="5"/>
        <v>220448</v>
      </c>
      <c r="E78" s="17">
        <f>IF(F3="1",SUMIF(Data!A:A,'12'!$A$2,Data!EJ:EJ),0)</f>
        <v>640278</v>
      </c>
      <c r="F78" s="21">
        <f t="shared" si="4"/>
        <v>2.9</v>
      </c>
    </row>
    <row r="79" spans="1:6" x14ac:dyDescent="0.2">
      <c r="A79" s="19">
        <v>13</v>
      </c>
      <c r="B79" s="181" t="s">
        <v>12</v>
      </c>
      <c r="C79" s="182"/>
      <c r="D79" s="14">
        <f t="shared" si="5"/>
        <v>25296</v>
      </c>
      <c r="E79" s="17">
        <f>IF(F3="1",SUMIF(Data!A:A,'12'!$A$2,Data!EK:EK),0)</f>
        <v>72161</v>
      </c>
      <c r="F79" s="21">
        <f t="shared" si="4"/>
        <v>2.85</v>
      </c>
    </row>
    <row r="80" spans="1:6" ht="14.25" customHeight="1" x14ac:dyDescent="0.2">
      <c r="A80" s="19">
        <v>14</v>
      </c>
      <c r="B80" s="181" t="s">
        <v>464</v>
      </c>
      <c r="C80" s="182"/>
      <c r="D80" s="14">
        <f t="shared" si="5"/>
        <v>5776</v>
      </c>
      <c r="E80" s="17">
        <f>IF(F3="1",SUMIF(Data!A:A,'12'!$A$2,Data!EL:EL),0)</f>
        <v>411073</v>
      </c>
      <c r="F80" s="21">
        <f t="shared" si="4"/>
        <v>71.17</v>
      </c>
    </row>
    <row r="81" spans="1:6" x14ac:dyDescent="0.2">
      <c r="A81" s="19">
        <v>15</v>
      </c>
      <c r="B81" s="181" t="s">
        <v>13</v>
      </c>
      <c r="C81" s="182"/>
      <c r="D81" s="14">
        <f t="shared" si="5"/>
        <v>0</v>
      </c>
      <c r="E81" s="17">
        <f>IF(F3="1",SUMIF(Data!A:A,'12'!$A$2,Data!EM:EM),0)</f>
        <v>0</v>
      </c>
      <c r="F81" s="21" t="str">
        <f t="shared" si="4"/>
        <v/>
      </c>
    </row>
    <row r="82" spans="1:6" x14ac:dyDescent="0.2">
      <c r="A82" s="19">
        <v>16</v>
      </c>
      <c r="B82" s="181" t="s">
        <v>14</v>
      </c>
      <c r="C82" s="182"/>
      <c r="D82" s="14">
        <f t="shared" si="5"/>
        <v>68112</v>
      </c>
      <c r="E82" s="17">
        <f>IF(F3="1",SUMIF(Data!A:A,'12'!$A$2,Data!EN:EN),0)</f>
        <v>188991</v>
      </c>
      <c r="F82" s="21">
        <f t="shared" si="4"/>
        <v>2.77</v>
      </c>
    </row>
    <row r="83" spans="1:6" x14ac:dyDescent="0.2">
      <c r="A83" s="19">
        <v>17</v>
      </c>
      <c r="B83" s="181" t="s">
        <v>15</v>
      </c>
      <c r="C83" s="182"/>
      <c r="D83" s="14">
        <f t="shared" si="5"/>
        <v>0</v>
      </c>
      <c r="E83" s="17">
        <f>IF(F3="1",SUMIF(Data!A:A,'12'!$A$2,Data!EO:EO),0)</f>
        <v>0</v>
      </c>
      <c r="F83" s="21" t="str">
        <f t="shared" si="4"/>
        <v/>
      </c>
    </row>
    <row r="84" spans="1:6" x14ac:dyDescent="0.2">
      <c r="A84" s="19">
        <v>18</v>
      </c>
      <c r="B84" s="181" t="s">
        <v>16</v>
      </c>
      <c r="C84" s="182"/>
      <c r="D84" s="14">
        <f t="shared" si="5"/>
        <v>0</v>
      </c>
      <c r="E84" s="17">
        <f>IF(F3="1",SUMIF(Data!A:A,'12'!$A$2,Data!EP:EP),0)</f>
        <v>0</v>
      </c>
      <c r="F84" s="21" t="str">
        <f t="shared" si="4"/>
        <v/>
      </c>
    </row>
    <row r="85" spans="1:6" x14ac:dyDescent="0.2">
      <c r="A85" s="19">
        <v>19</v>
      </c>
      <c r="B85" s="181" t="s">
        <v>17</v>
      </c>
      <c r="C85" s="182"/>
      <c r="D85" s="14">
        <f t="shared" si="5"/>
        <v>257608</v>
      </c>
      <c r="E85" s="17">
        <f>IF(F3="1",SUMIF(Data!A:A,'12'!$A$2,Data!EQ:EQ),0)</f>
        <v>587953</v>
      </c>
      <c r="F85" s="21">
        <f t="shared" si="4"/>
        <v>2.2799999999999998</v>
      </c>
    </row>
    <row r="86" spans="1:6" x14ac:dyDescent="0.2">
      <c r="A86" s="19">
        <v>20</v>
      </c>
      <c r="B86" s="181" t="s">
        <v>18</v>
      </c>
      <c r="C86" s="182"/>
      <c r="D86" s="14">
        <f t="shared" si="5"/>
        <v>0</v>
      </c>
      <c r="E86" s="17">
        <f>IF(F3="1",SUMIF(Data!A:A,'12'!$A$2,Data!ER:ER),0)</f>
        <v>0</v>
      </c>
      <c r="F86" s="21" t="str">
        <f t="shared" si="4"/>
        <v/>
      </c>
    </row>
    <row r="87" spans="1:6" ht="14.25" customHeight="1" x14ac:dyDescent="0.2">
      <c r="A87" s="19">
        <v>21</v>
      </c>
      <c r="B87" s="181" t="s">
        <v>461</v>
      </c>
      <c r="C87" s="182"/>
      <c r="D87" s="14">
        <f t="shared" si="5"/>
        <v>4576</v>
      </c>
      <c r="E87" s="17">
        <f>IF(F3="1",SUMIF(Data!A:A,'12'!$A$2,Data!ES:ES),0)</f>
        <v>55006</v>
      </c>
      <c r="F87" s="21">
        <f t="shared" si="4"/>
        <v>12.02</v>
      </c>
    </row>
    <row r="88" spans="1:6" x14ac:dyDescent="0.2">
      <c r="A88" s="19">
        <v>22</v>
      </c>
      <c r="B88" s="181" t="s">
        <v>19</v>
      </c>
      <c r="C88" s="182"/>
      <c r="D88" s="14">
        <f t="shared" si="5"/>
        <v>0</v>
      </c>
      <c r="E88" s="17">
        <f>IF(F3="1",SUMIF(Data!A:A,'12'!$A$2,Data!ET:ET),0)</f>
        <v>0</v>
      </c>
      <c r="F88" s="21" t="str">
        <f t="shared" si="4"/>
        <v/>
      </c>
    </row>
    <row r="89" spans="1:6" x14ac:dyDescent="0.2">
      <c r="A89" s="19">
        <v>23</v>
      </c>
      <c r="B89" s="181" t="s">
        <v>20</v>
      </c>
      <c r="C89" s="182"/>
      <c r="D89" s="14">
        <f t="shared" si="5"/>
        <v>47760</v>
      </c>
      <c r="E89" s="17">
        <f>IF(F3="1",SUMIF(Data!A:A,'12'!$A$2,Data!EU:EU),0)</f>
        <v>421496</v>
      </c>
      <c r="F89" s="21">
        <f t="shared" si="4"/>
        <v>8.83</v>
      </c>
    </row>
    <row r="90" spans="1:6" x14ac:dyDescent="0.2">
      <c r="A90" s="19">
        <v>24</v>
      </c>
      <c r="B90" s="181" t="s">
        <v>21</v>
      </c>
      <c r="C90" s="182"/>
      <c r="D90" s="14">
        <f t="shared" si="5"/>
        <v>33712</v>
      </c>
      <c r="E90" s="17">
        <f>IF(F3="1",SUMIF(Data!A:A,'12'!$A$2,Data!EV:EV),0)</f>
        <v>100531</v>
      </c>
      <c r="F90" s="21">
        <f t="shared" si="4"/>
        <v>2.98</v>
      </c>
    </row>
    <row r="91" spans="1:6" x14ac:dyDescent="0.2">
      <c r="A91" s="19">
        <v>25</v>
      </c>
      <c r="B91" s="181" t="s">
        <v>22</v>
      </c>
      <c r="C91" s="182"/>
      <c r="D91" s="14">
        <f t="shared" si="5"/>
        <v>251856</v>
      </c>
      <c r="E91" s="17">
        <f>IF(F3="1",SUMIF(Data!A:A,'12'!$A$2,Data!EW:EW),0)</f>
        <v>449841</v>
      </c>
      <c r="F91" s="21">
        <f t="shared" si="4"/>
        <v>1.79</v>
      </c>
    </row>
    <row r="92" spans="1:6" x14ac:dyDescent="0.2">
      <c r="A92" s="19">
        <v>26</v>
      </c>
      <c r="B92" s="181" t="s">
        <v>23</v>
      </c>
      <c r="C92" s="182"/>
      <c r="D92" s="14">
        <f t="shared" si="5"/>
        <v>66336</v>
      </c>
      <c r="E92" s="17">
        <f>IF(F3="1",SUMIF(Data!A:A,'12'!$A$2,Data!EX:EX),0)</f>
        <v>394319</v>
      </c>
      <c r="F92" s="21">
        <f t="shared" si="4"/>
        <v>5.94</v>
      </c>
    </row>
    <row r="93" spans="1:6" x14ac:dyDescent="0.2">
      <c r="A93" s="19">
        <v>28</v>
      </c>
      <c r="B93" s="181" t="s">
        <v>24</v>
      </c>
      <c r="C93" s="182"/>
      <c r="D93" s="14">
        <f t="shared" si="5"/>
        <v>0</v>
      </c>
      <c r="E93" s="17">
        <f>IF(F3="1",SUMIF(Data!A:A,'12'!$A$2,Data!EZ:EZ),0)</f>
        <v>0</v>
      </c>
      <c r="F93" s="21" t="str">
        <f t="shared" si="4"/>
        <v/>
      </c>
    </row>
    <row r="94" spans="1:6" ht="15.75" customHeight="1" thickBot="1" x14ac:dyDescent="0.25">
      <c r="A94" s="22">
        <v>29</v>
      </c>
      <c r="B94" s="183" t="s">
        <v>25</v>
      </c>
      <c r="C94" s="184"/>
      <c r="D94" s="23">
        <f t="shared" si="5"/>
        <v>0</v>
      </c>
      <c r="E94" s="24">
        <f>IF(F3="1",SUMIF(Data!A:A,'12'!$A$2,Data!FA:FA),0)</f>
        <v>0</v>
      </c>
      <c r="F94" s="25" t="str">
        <f t="shared" si="4"/>
        <v/>
      </c>
    </row>
    <row r="95" spans="1:6" x14ac:dyDescent="0.2">
      <c r="B95" s="30" t="s">
        <v>35</v>
      </c>
      <c r="C95" s="30"/>
      <c r="D95" s="59">
        <f>SUM(D67:D94)</f>
        <v>1553182</v>
      </c>
      <c r="E95" s="31">
        <f>SUM(E67:E94)</f>
        <v>6120824</v>
      </c>
      <c r="F95" s="32">
        <f t="shared" si="4"/>
        <v>3.94</v>
      </c>
    </row>
    <row r="96" spans="1:6" ht="15" thickBot="1" x14ac:dyDescent="0.25"/>
    <row r="97" spans="2:6" ht="29.25" customHeight="1" x14ac:dyDescent="0.2">
      <c r="B97" s="185" t="s">
        <v>468</v>
      </c>
      <c r="C97" s="186"/>
      <c r="D97" s="28" t="s">
        <v>27</v>
      </c>
      <c r="E97" s="33" t="s">
        <v>462</v>
      </c>
      <c r="F97" s="29" t="s">
        <v>463</v>
      </c>
    </row>
    <row r="98" spans="2:6" x14ac:dyDescent="0.2">
      <c r="B98" s="187" t="s">
        <v>30</v>
      </c>
      <c r="C98" s="188"/>
      <c r="D98" s="35"/>
      <c r="E98" s="15">
        <f>IF(F3="1",SUMIF(Data!A:A,'12'!$A$2,Data!AH:AH),0)</f>
        <v>4113921</v>
      </c>
      <c r="F98" s="20">
        <f>IF(OR(E98=0,E98=0),"",ROUND(E98/$D$105,2))</f>
        <v>2.65</v>
      </c>
    </row>
    <row r="99" spans="2:6" x14ac:dyDescent="0.2">
      <c r="B99" s="187" t="s">
        <v>31</v>
      </c>
      <c r="C99" s="188"/>
      <c r="D99" s="36"/>
      <c r="E99" s="17">
        <f>IF(F3="1",SUMIF(Data!A:A,'12'!$A$2,Data!AI:AI),0)</f>
        <v>1569371</v>
      </c>
      <c r="F99" s="21">
        <f t="shared" ref="F99:F104" si="6">IF(OR(E99=0,E99=0),"",ROUND(E99/$D$105,2))</f>
        <v>1.01</v>
      </c>
    </row>
    <row r="100" spans="2:6" x14ac:dyDescent="0.2">
      <c r="B100" s="187" t="s">
        <v>1078</v>
      </c>
      <c r="C100" s="188"/>
      <c r="D100" s="36"/>
      <c r="E100" s="17">
        <f>IF(F3="1",SUMIF(Data!A:A,'12'!$A$2,Data!AJ:AJ),0)</f>
        <v>669947</v>
      </c>
      <c r="F100" s="21">
        <f t="shared" si="6"/>
        <v>0.43</v>
      </c>
    </row>
    <row r="101" spans="2:6" x14ac:dyDescent="0.2">
      <c r="B101" s="187" t="s">
        <v>1079</v>
      </c>
      <c r="C101" s="188"/>
      <c r="D101" s="36"/>
      <c r="E101" s="17">
        <f>IF(F3="1",SUMIF(Data!A:A,'12'!$A$2,Data!AK:AK),0)</f>
        <v>332717</v>
      </c>
      <c r="F101" s="21">
        <f t="shared" si="6"/>
        <v>0.21</v>
      </c>
    </row>
    <row r="102" spans="2:6" x14ac:dyDescent="0.2">
      <c r="B102" s="187" t="s">
        <v>1080</v>
      </c>
      <c r="C102" s="188"/>
      <c r="D102" s="36"/>
      <c r="E102" s="17">
        <f>IF(F3="1",SUMIF(Data!A:A,'12'!$A$2,Data!AL:AL),0)</f>
        <v>0</v>
      </c>
      <c r="F102" s="21" t="str">
        <f t="shared" si="6"/>
        <v/>
      </c>
    </row>
    <row r="103" spans="2:6" x14ac:dyDescent="0.2">
      <c r="B103" s="189" t="s">
        <v>34</v>
      </c>
      <c r="C103" s="190"/>
      <c r="D103" s="36"/>
      <c r="E103" s="17">
        <f>IF(F3="1",SUMIF(Data!A:A,'12'!$A$2,Data!AM:AM),0)</f>
        <v>0</v>
      </c>
      <c r="F103" s="21" t="str">
        <f t="shared" si="6"/>
        <v/>
      </c>
    </row>
    <row r="104" spans="2:6" ht="15.75" customHeight="1" thickBot="1" x14ac:dyDescent="0.25">
      <c r="B104" s="179" t="s">
        <v>29</v>
      </c>
      <c r="C104" s="180"/>
      <c r="D104" s="37"/>
      <c r="E104" s="24">
        <f>IF(F3="1",SUMIF(Data!A:A,'12'!$A$2,Data!Q:Q),0)</f>
        <v>1612423</v>
      </c>
      <c r="F104" s="25">
        <f t="shared" si="6"/>
        <v>1.04</v>
      </c>
    </row>
    <row r="105" spans="2:6" x14ac:dyDescent="0.2">
      <c r="B105" s="30" t="s">
        <v>35</v>
      </c>
      <c r="C105" s="30"/>
      <c r="D105" s="34">
        <f>D95</f>
        <v>1553182</v>
      </c>
      <c r="E105" s="31">
        <f>SUM(E98:E104)</f>
        <v>8298379</v>
      </c>
      <c r="F105" s="32">
        <f>IF($D$105=0,"",ROUND(E105/$D$105,2))</f>
        <v>5.34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6120824</v>
      </c>
      <c r="D109" s="15">
        <f>IF(F3="1",SUMIF(Data!$A:$A,$A$2,Data!HJ:HJ),0)</f>
        <v>0</v>
      </c>
      <c r="E109" s="15">
        <f>IF(F3="1",SUMIF(Data!$A:$A,$A$2,Data!IN:IN),0)</f>
        <v>0</v>
      </c>
      <c r="F109" s="47">
        <f>SUM(C109:E109)</f>
        <v>6120824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1612423</v>
      </c>
      <c r="E117" s="52"/>
      <c r="F117" s="49">
        <f>SUM(C117:E117)</f>
        <v>1612423</v>
      </c>
    </row>
    <row r="118" spans="1:6" x14ac:dyDescent="0.2">
      <c r="B118" s="13" t="s">
        <v>35</v>
      </c>
      <c r="C118" s="4">
        <f>SUM(C109:C116)</f>
        <v>6120824</v>
      </c>
      <c r="D118" s="4">
        <f>SUM(D109:D116)</f>
        <v>0</v>
      </c>
      <c r="E118" s="4">
        <f>SUM(E109:E116)</f>
        <v>0</v>
      </c>
      <c r="F118" s="4">
        <f>SUM(F109:F116)</f>
        <v>6120824</v>
      </c>
    </row>
    <row r="119" spans="1:6" ht="15" thickBot="1" x14ac:dyDescent="0.25"/>
    <row r="120" spans="1:6" ht="15" thickBot="1" x14ac:dyDescent="0.25">
      <c r="B120" s="55" t="s">
        <v>934</v>
      </c>
      <c r="C120" s="53"/>
      <c r="D120" s="53"/>
      <c r="E120" s="53">
        <f>IF(F3="1",SUMIF(Data!A:A,'12'!$A$2,Data!AM:AM),0)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452</v>
      </c>
      <c r="B2" s="58" t="str">
        <f>VLOOKUP(A2,Data!A:G,7,0)</f>
        <v>Collin County Community College District</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26038</v>
      </c>
      <c r="E5" s="15">
        <f>E36+E67+IFERROR($E$105/$D$105*D5,0)</f>
        <v>160574.83320389985</v>
      </c>
      <c r="F5" s="20">
        <f>IF(OR(D5=0,E5=0),"",ROUND(E5/D5,2))</f>
        <v>6.17</v>
      </c>
    </row>
    <row r="6" spans="1:6" x14ac:dyDescent="0.2">
      <c r="A6" s="19">
        <v>2</v>
      </c>
      <c r="B6" s="181" t="s">
        <v>1</v>
      </c>
      <c r="C6" s="182"/>
      <c r="D6" s="14">
        <f t="shared" ref="D6:D32" si="0">D37</f>
        <v>46442</v>
      </c>
      <c r="E6" s="17">
        <f t="shared" ref="E6:E32" si="1">E37+E68+IFERROR($E$105/$D$105*D6,0)</f>
        <v>565233.13156369608</v>
      </c>
      <c r="F6" s="21">
        <f t="shared" ref="F6:F33" si="2">IF(OR(D6=0,E6=0),"",ROUND(E6/D6,2))</f>
        <v>12.17</v>
      </c>
    </row>
    <row r="7" spans="1:6" ht="14.25" customHeight="1" x14ac:dyDescent="0.2">
      <c r="A7" s="19">
        <v>3</v>
      </c>
      <c r="B7" s="181" t="s">
        <v>2</v>
      </c>
      <c r="C7" s="182"/>
      <c r="D7" s="14">
        <f t="shared" si="0"/>
        <v>541184</v>
      </c>
      <c r="E7" s="17">
        <f t="shared" si="1"/>
        <v>3428281.5369313825</v>
      </c>
      <c r="F7" s="21">
        <f t="shared" si="2"/>
        <v>6.33</v>
      </c>
    </row>
    <row r="8" spans="1:6" ht="14.25" customHeight="1" x14ac:dyDescent="0.2">
      <c r="A8" s="19">
        <v>4</v>
      </c>
      <c r="B8" s="181" t="s">
        <v>3</v>
      </c>
      <c r="C8" s="182"/>
      <c r="D8" s="14">
        <f t="shared" si="0"/>
        <v>510594</v>
      </c>
      <c r="E8" s="17">
        <f t="shared" si="1"/>
        <v>3918007.34898656</v>
      </c>
      <c r="F8" s="21">
        <f t="shared" si="2"/>
        <v>7.67</v>
      </c>
    </row>
    <row r="9" spans="1:6" x14ac:dyDescent="0.2">
      <c r="A9" s="19">
        <v>5</v>
      </c>
      <c r="B9" s="181" t="s">
        <v>4</v>
      </c>
      <c r="C9" s="182"/>
      <c r="D9" s="14">
        <f t="shared" si="0"/>
        <v>2064</v>
      </c>
      <c r="E9" s="17">
        <f t="shared" si="1"/>
        <v>17118.487738414984</v>
      </c>
      <c r="F9" s="21">
        <f t="shared" si="2"/>
        <v>8.2899999999999991</v>
      </c>
    </row>
    <row r="10" spans="1:6" x14ac:dyDescent="0.2">
      <c r="A10" s="19">
        <v>6</v>
      </c>
      <c r="B10" s="181" t="s">
        <v>5</v>
      </c>
      <c r="C10" s="182"/>
      <c r="D10" s="14">
        <f t="shared" si="0"/>
        <v>90273</v>
      </c>
      <c r="E10" s="17">
        <f t="shared" si="1"/>
        <v>593095.71298931004</v>
      </c>
      <c r="F10" s="21">
        <f t="shared" si="2"/>
        <v>6.57</v>
      </c>
    </row>
    <row r="11" spans="1:6" x14ac:dyDescent="0.2">
      <c r="A11" s="19">
        <v>7</v>
      </c>
      <c r="B11" s="181" t="s">
        <v>6</v>
      </c>
      <c r="C11" s="182"/>
      <c r="D11" s="14">
        <f t="shared" si="0"/>
        <v>440722</v>
      </c>
      <c r="E11" s="17">
        <f t="shared" si="1"/>
        <v>2623143.6981830075</v>
      </c>
      <c r="F11" s="21">
        <f t="shared" si="2"/>
        <v>5.95</v>
      </c>
    </row>
    <row r="12" spans="1:6" x14ac:dyDescent="0.2">
      <c r="A12" s="19">
        <v>8</v>
      </c>
      <c r="B12" s="181" t="s">
        <v>7</v>
      </c>
      <c r="C12" s="182"/>
      <c r="D12" s="14">
        <f t="shared" si="0"/>
        <v>3816</v>
      </c>
      <c r="E12" s="17">
        <f t="shared" si="1"/>
        <v>31661.413376837001</v>
      </c>
      <c r="F12" s="21">
        <f t="shared" si="2"/>
        <v>8.3000000000000007</v>
      </c>
    </row>
    <row r="13" spans="1:6" x14ac:dyDescent="0.2">
      <c r="A13" s="19">
        <v>9</v>
      </c>
      <c r="B13" s="181" t="s">
        <v>8</v>
      </c>
      <c r="C13" s="182"/>
      <c r="D13" s="14">
        <f t="shared" si="0"/>
        <v>105548</v>
      </c>
      <c r="E13" s="17">
        <f t="shared" si="1"/>
        <v>682113.23246813216</v>
      </c>
      <c r="F13" s="21">
        <f t="shared" si="2"/>
        <v>6.46</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99096</v>
      </c>
      <c r="E15" s="17">
        <f t="shared" si="1"/>
        <v>865986.30083622632</v>
      </c>
      <c r="F15" s="21">
        <f t="shared" si="2"/>
        <v>8.74</v>
      </c>
    </row>
    <row r="16" spans="1:6" ht="14.25" customHeight="1" x14ac:dyDescent="0.2">
      <c r="A16" s="19">
        <v>12</v>
      </c>
      <c r="B16" s="181" t="s">
        <v>11</v>
      </c>
      <c r="C16" s="182"/>
      <c r="D16" s="14">
        <f t="shared" si="0"/>
        <v>1159779</v>
      </c>
      <c r="E16" s="17">
        <f t="shared" si="1"/>
        <v>7337963.2300248016</v>
      </c>
      <c r="F16" s="21">
        <f t="shared" si="2"/>
        <v>6.33</v>
      </c>
    </row>
    <row r="17" spans="1:6" x14ac:dyDescent="0.2">
      <c r="A17" s="19">
        <v>13</v>
      </c>
      <c r="B17" s="181" t="s">
        <v>12</v>
      </c>
      <c r="C17" s="182"/>
      <c r="D17" s="14">
        <f t="shared" si="0"/>
        <v>184626</v>
      </c>
      <c r="E17" s="17">
        <f t="shared" si="1"/>
        <v>1306035.6226708356</v>
      </c>
      <c r="F17" s="21">
        <f t="shared" si="2"/>
        <v>7.07</v>
      </c>
    </row>
    <row r="18" spans="1:6" ht="14.25" customHeight="1" x14ac:dyDescent="0.2">
      <c r="A18" s="19">
        <v>14</v>
      </c>
      <c r="B18" s="181" t="s">
        <v>464</v>
      </c>
      <c r="C18" s="182"/>
      <c r="D18" s="14">
        <f t="shared" si="0"/>
        <v>68406</v>
      </c>
      <c r="E18" s="17">
        <f t="shared" si="1"/>
        <v>699943.240423457</v>
      </c>
      <c r="F18" s="21">
        <f t="shared" si="2"/>
        <v>10.23</v>
      </c>
    </row>
    <row r="19" spans="1:6" x14ac:dyDescent="0.2">
      <c r="A19" s="19">
        <v>15</v>
      </c>
      <c r="B19" s="181" t="s">
        <v>13</v>
      </c>
      <c r="C19" s="182"/>
      <c r="D19" s="14">
        <f t="shared" si="0"/>
        <v>17408</v>
      </c>
      <c r="E19" s="17">
        <f t="shared" si="1"/>
        <v>514556.43922012014</v>
      </c>
      <c r="F19" s="21">
        <f t="shared" si="2"/>
        <v>29.56</v>
      </c>
    </row>
    <row r="20" spans="1:6" x14ac:dyDescent="0.2">
      <c r="A20" s="19">
        <v>16</v>
      </c>
      <c r="B20" s="181" t="s">
        <v>14</v>
      </c>
      <c r="C20" s="182"/>
      <c r="D20" s="14">
        <f t="shared" si="0"/>
        <v>107694</v>
      </c>
      <c r="E20" s="17">
        <f t="shared" si="1"/>
        <v>786111.17563026317</v>
      </c>
      <c r="F20" s="21">
        <f t="shared" si="2"/>
        <v>7.3</v>
      </c>
    </row>
    <row r="21" spans="1:6" x14ac:dyDescent="0.2">
      <c r="A21" s="19">
        <v>17</v>
      </c>
      <c r="B21" s="181" t="s">
        <v>15</v>
      </c>
      <c r="C21" s="182"/>
      <c r="D21" s="14">
        <f t="shared" si="0"/>
        <v>42496</v>
      </c>
      <c r="E21" s="17">
        <f t="shared" si="1"/>
        <v>399564.48397852865</v>
      </c>
      <c r="F21" s="21">
        <f t="shared" si="2"/>
        <v>9.4</v>
      </c>
    </row>
    <row r="22" spans="1:6" x14ac:dyDescent="0.2">
      <c r="A22" s="19">
        <v>18</v>
      </c>
      <c r="B22" s="181" t="s">
        <v>16</v>
      </c>
      <c r="C22" s="182"/>
      <c r="D22" s="14">
        <f t="shared" si="0"/>
        <v>0</v>
      </c>
      <c r="E22" s="17">
        <f t="shared" si="1"/>
        <v>0</v>
      </c>
      <c r="F22" s="21" t="str">
        <f t="shared" si="2"/>
        <v/>
      </c>
    </row>
    <row r="23" spans="1:6" x14ac:dyDescent="0.2">
      <c r="A23" s="19">
        <v>19</v>
      </c>
      <c r="B23" s="181" t="s">
        <v>17</v>
      </c>
      <c r="C23" s="182"/>
      <c r="D23" s="14">
        <f t="shared" si="0"/>
        <v>887808</v>
      </c>
      <c r="E23" s="17">
        <f t="shared" si="1"/>
        <v>4679734.4002261283</v>
      </c>
      <c r="F23" s="21">
        <f t="shared" si="2"/>
        <v>5.27</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1008</v>
      </c>
      <c r="E26" s="17">
        <f t="shared" si="1"/>
        <v>8485.3544769003402</v>
      </c>
      <c r="F26" s="21">
        <f t="shared" si="2"/>
        <v>8.42</v>
      </c>
    </row>
    <row r="27" spans="1:6" x14ac:dyDescent="0.2">
      <c r="A27" s="19">
        <v>23</v>
      </c>
      <c r="B27" s="181" t="s">
        <v>20</v>
      </c>
      <c r="C27" s="182"/>
      <c r="D27" s="14">
        <f t="shared" si="0"/>
        <v>180048</v>
      </c>
      <c r="E27" s="17">
        <f t="shared" si="1"/>
        <v>1448105.2210882464</v>
      </c>
      <c r="F27" s="21">
        <f t="shared" si="2"/>
        <v>8.0399999999999991</v>
      </c>
    </row>
    <row r="28" spans="1:6" x14ac:dyDescent="0.2">
      <c r="A28" s="19">
        <v>24</v>
      </c>
      <c r="B28" s="181" t="s">
        <v>21</v>
      </c>
      <c r="C28" s="182"/>
      <c r="D28" s="14">
        <f t="shared" si="0"/>
        <v>230245</v>
      </c>
      <c r="E28" s="17">
        <f t="shared" si="1"/>
        <v>2070669.9638233322</v>
      </c>
      <c r="F28" s="21">
        <f t="shared" si="2"/>
        <v>8.99</v>
      </c>
    </row>
    <row r="29" spans="1:6" x14ac:dyDescent="0.2">
      <c r="A29" s="19">
        <v>25</v>
      </c>
      <c r="B29" s="181" t="s">
        <v>22</v>
      </c>
      <c r="C29" s="182"/>
      <c r="D29" s="14">
        <f t="shared" si="0"/>
        <v>1199888</v>
      </c>
      <c r="E29" s="17">
        <f t="shared" si="1"/>
        <v>6493817.7981934482</v>
      </c>
      <c r="F29" s="21">
        <f t="shared" si="2"/>
        <v>5.41</v>
      </c>
    </row>
    <row r="30" spans="1:6" x14ac:dyDescent="0.2">
      <c r="A30" s="19">
        <v>26</v>
      </c>
      <c r="B30" s="181" t="s">
        <v>23</v>
      </c>
      <c r="C30" s="182"/>
      <c r="D30" s="14">
        <f t="shared" si="0"/>
        <v>520172</v>
      </c>
      <c r="E30" s="17">
        <f t="shared" si="1"/>
        <v>4709350.3739664722</v>
      </c>
      <c r="F30" s="21">
        <f t="shared" si="2"/>
        <v>9.0500000000000007</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6465355</v>
      </c>
      <c r="E33" s="31">
        <f>SUM(E5:E32)</f>
        <v>43339553</v>
      </c>
      <c r="F33" s="32">
        <f t="shared" si="2"/>
        <v>6.7</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IF(F3="1",SUMIF(Data!A:A,'13'!$A$2,Data!CU:CU),0)</f>
        <v>26038</v>
      </c>
      <c r="E36" s="15">
        <f>IF(F3="1",SUMIF(Data!$A:$A,$A$2,Data!IO:IO),0)</f>
        <v>20203</v>
      </c>
      <c r="F36" s="20">
        <f t="shared" ref="F36:F64" si="3">IF(OR(D36=0,E36=0),"",ROUND(E36/D36,2))</f>
        <v>0.78</v>
      </c>
    </row>
    <row r="37" spans="1:6" x14ac:dyDescent="0.2">
      <c r="A37" s="19">
        <v>2</v>
      </c>
      <c r="B37" s="181" t="s">
        <v>1</v>
      </c>
      <c r="C37" s="182"/>
      <c r="D37" s="14">
        <f>IF(F3="1",SUMIF(Data!A:A,'13'!$A$2,Data!CV:CV),0)</f>
        <v>46442</v>
      </c>
      <c r="E37" s="17">
        <f>IF(F3="1",SUMIF(Data!$A:$A,$A$2,Data!IP:IP),0)</f>
        <v>265895</v>
      </c>
      <c r="F37" s="21">
        <f t="shared" si="3"/>
        <v>5.73</v>
      </c>
    </row>
    <row r="38" spans="1:6" ht="14.25" customHeight="1" x14ac:dyDescent="0.2">
      <c r="A38" s="19">
        <v>3</v>
      </c>
      <c r="B38" s="181" t="s">
        <v>2</v>
      </c>
      <c r="C38" s="182"/>
      <c r="D38" s="14">
        <f>IF(F3="1",SUMIF(Data!A:A,'13'!$A$2,Data!CW:CW),0)</f>
        <v>541184</v>
      </c>
      <c r="E38" s="17">
        <f>IF($F$3="1",SUMIF(Data!$A:$A,$A$2,Data!IQ:IQ),0)</f>
        <v>595075</v>
      </c>
      <c r="F38" s="21">
        <f t="shared" si="3"/>
        <v>1.1000000000000001</v>
      </c>
    </row>
    <row r="39" spans="1:6" ht="14.25" customHeight="1" x14ac:dyDescent="0.2">
      <c r="A39" s="19">
        <v>4</v>
      </c>
      <c r="B39" s="181" t="s">
        <v>3</v>
      </c>
      <c r="C39" s="182"/>
      <c r="D39" s="14">
        <f>IF(F3="1",SUMIF(Data!A:A,'13'!$A$2,Data!CX:CX),0)</f>
        <v>510594</v>
      </c>
      <c r="E39" s="17">
        <f>IF($F$3="1",SUMIF(Data!$A:$A,$A$2,Data!IR:IR),0)</f>
        <v>679016</v>
      </c>
      <c r="F39" s="21">
        <f t="shared" si="3"/>
        <v>1.33</v>
      </c>
    </row>
    <row r="40" spans="1:6" x14ac:dyDescent="0.2">
      <c r="A40" s="19">
        <v>5</v>
      </c>
      <c r="B40" s="181" t="s">
        <v>4</v>
      </c>
      <c r="C40" s="182"/>
      <c r="D40" s="14">
        <f>IF(F3="1",SUMIF(Data!A:A,'13'!$A$2,Data!CY:CY),0)</f>
        <v>2064</v>
      </c>
      <c r="E40" s="17">
        <f>IF($F$3="1",SUMIF(Data!$A:$A,$A$2,Data!IS:IS),0)</f>
        <v>7436</v>
      </c>
      <c r="F40" s="21">
        <f t="shared" si="3"/>
        <v>3.6</v>
      </c>
    </row>
    <row r="41" spans="1:6" x14ac:dyDescent="0.2">
      <c r="A41" s="19">
        <v>6</v>
      </c>
      <c r="B41" s="181" t="s">
        <v>5</v>
      </c>
      <c r="C41" s="182"/>
      <c r="D41" s="14">
        <f>IF(F3="1",SUMIF(Data!A:A,'13'!$A$2,Data!CZ:CZ),0)</f>
        <v>90273</v>
      </c>
      <c r="E41" s="17">
        <f>IF($F$3="1",SUMIF(Data!$A:$A,$A$2,Data!IT:IT),0)</f>
        <v>57783</v>
      </c>
      <c r="F41" s="21">
        <f t="shared" si="3"/>
        <v>0.64</v>
      </c>
    </row>
    <row r="42" spans="1:6" x14ac:dyDescent="0.2">
      <c r="A42" s="19">
        <v>7</v>
      </c>
      <c r="B42" s="181" t="s">
        <v>6</v>
      </c>
      <c r="C42" s="182"/>
      <c r="D42" s="14">
        <f>IF(F3="1",SUMIF(Data!A:A,'13'!$A$2,Data!DA:DA),0)</f>
        <v>440722</v>
      </c>
      <c r="E42" s="17">
        <f>IF($F$3="1",SUMIF(Data!$A:$A,$A$2,Data!IU:IU),0)</f>
        <v>409514</v>
      </c>
      <c r="F42" s="21">
        <f t="shared" si="3"/>
        <v>0.93</v>
      </c>
    </row>
    <row r="43" spans="1:6" x14ac:dyDescent="0.2">
      <c r="A43" s="19">
        <v>8</v>
      </c>
      <c r="B43" s="181" t="s">
        <v>7</v>
      </c>
      <c r="C43" s="182"/>
      <c r="D43" s="14">
        <f>IF(F3="1",SUMIF(Data!A:A,'13'!$A$2,Data!DB:DB),0)</f>
        <v>3816</v>
      </c>
      <c r="E43" s="17">
        <f>IF($F$3="1",SUMIF(Data!$A:$A,$A$2,Data!IV:IV),0)</f>
        <v>13756</v>
      </c>
      <c r="F43" s="21">
        <f t="shared" si="3"/>
        <v>3.6</v>
      </c>
    </row>
    <row r="44" spans="1:6" x14ac:dyDescent="0.2">
      <c r="A44" s="19">
        <v>9</v>
      </c>
      <c r="B44" s="181" t="s">
        <v>8</v>
      </c>
      <c r="C44" s="182"/>
      <c r="D44" s="14">
        <f>IF(F3="1",SUMIF(Data!A:A,'13'!$A$2,Data!DC:DC),0)</f>
        <v>105548</v>
      </c>
      <c r="E44" s="17">
        <f>IF($F$3="1",SUMIF(Data!$A:$A,$A$2,Data!IW:IW),0)</f>
        <v>142360</v>
      </c>
      <c r="F44" s="21">
        <f t="shared" si="3"/>
        <v>1.35</v>
      </c>
    </row>
    <row r="45" spans="1:6" x14ac:dyDescent="0.2">
      <c r="A45" s="19">
        <v>10</v>
      </c>
      <c r="B45" s="181" t="s">
        <v>9</v>
      </c>
      <c r="C45" s="182"/>
      <c r="D45" s="14">
        <f>IF(F3="1",SUMIF(Data!A:A,'13'!$A$2,Data!DD:DD),0)</f>
        <v>0</v>
      </c>
      <c r="E45" s="17">
        <f>IF($F$3="1",SUMIF(Data!$A:$A,$A$2,Data!IX:IX),0)</f>
        <v>0</v>
      </c>
      <c r="F45" s="21" t="str">
        <f t="shared" si="3"/>
        <v/>
      </c>
    </row>
    <row r="46" spans="1:6" x14ac:dyDescent="0.2">
      <c r="A46" s="19">
        <v>11</v>
      </c>
      <c r="B46" s="181" t="s">
        <v>10</v>
      </c>
      <c r="C46" s="182"/>
      <c r="D46" s="14">
        <f>IF(F3="1",SUMIF(Data!A:A,'13'!$A$2,Data!DE:DE),0)</f>
        <v>99096</v>
      </c>
      <c r="E46" s="17">
        <f>IF($F$3="1",SUMIF(Data!$A:$A,$A$2,Data!IY:IY),0)</f>
        <v>143636</v>
      </c>
      <c r="F46" s="21">
        <f t="shared" si="3"/>
        <v>1.45</v>
      </c>
    </row>
    <row r="47" spans="1:6" ht="14.25" customHeight="1" x14ac:dyDescent="0.2">
      <c r="A47" s="19">
        <v>12</v>
      </c>
      <c r="B47" s="181" t="s">
        <v>11</v>
      </c>
      <c r="C47" s="182"/>
      <c r="D47" s="14">
        <f>IF(F3="1",SUMIF(Data!A:A,'13'!$A$2,Data!DF:DF),0)</f>
        <v>1159779</v>
      </c>
      <c r="E47" s="17">
        <f>IF($F$3="1",SUMIF(Data!$A:$A,$A$2,Data!IZ:IZ),0)</f>
        <v>1032225</v>
      </c>
      <c r="F47" s="21">
        <f t="shared" si="3"/>
        <v>0.89</v>
      </c>
    </row>
    <row r="48" spans="1:6" x14ac:dyDescent="0.2">
      <c r="A48" s="19">
        <v>13</v>
      </c>
      <c r="B48" s="181" t="s">
        <v>12</v>
      </c>
      <c r="C48" s="182"/>
      <c r="D48" s="14">
        <f>IF(F3="1",SUMIF(Data!A:A,'13'!$A$2,Data!DG:DG),0)</f>
        <v>184626</v>
      </c>
      <c r="E48" s="17">
        <f>IF($F$3="1",SUMIF(Data!$A:$A,$A$2,Data!JA:JA),0)</f>
        <v>248414</v>
      </c>
      <c r="F48" s="21">
        <f t="shared" si="3"/>
        <v>1.35</v>
      </c>
    </row>
    <row r="49" spans="1:6" ht="14.25" customHeight="1" x14ac:dyDescent="0.2">
      <c r="A49" s="19">
        <v>14</v>
      </c>
      <c r="B49" s="181" t="s">
        <v>464</v>
      </c>
      <c r="C49" s="182"/>
      <c r="D49" s="14">
        <f>IF(F3="1",SUMIF(Data!A:A,'13'!$A$2,Data!DH:DH),0)</f>
        <v>68406</v>
      </c>
      <c r="E49" s="17">
        <f>IF($F$3="1",SUMIF(Data!$A:$A,$A$2,Data!JB:JB),0)</f>
        <v>99806</v>
      </c>
      <c r="F49" s="21">
        <f t="shared" si="3"/>
        <v>1.46</v>
      </c>
    </row>
    <row r="50" spans="1:6" x14ac:dyDescent="0.2">
      <c r="A50" s="19">
        <v>15</v>
      </c>
      <c r="B50" s="181" t="s">
        <v>13</v>
      </c>
      <c r="C50" s="182"/>
      <c r="D50" s="14">
        <f>IF(F3="1",SUMIF(Data!A:A,'13'!$A$2,Data!DI:DI),0)</f>
        <v>17408</v>
      </c>
      <c r="E50" s="17">
        <f>IF($F$3="1",SUMIF(Data!$A:$A,$A$2,Data!JC:JC),0)</f>
        <v>192854</v>
      </c>
      <c r="F50" s="21">
        <f t="shared" si="3"/>
        <v>11.08</v>
      </c>
    </row>
    <row r="51" spans="1:6" x14ac:dyDescent="0.2">
      <c r="A51" s="19">
        <v>16</v>
      </c>
      <c r="B51" s="181" t="s">
        <v>14</v>
      </c>
      <c r="C51" s="182"/>
      <c r="D51" s="14">
        <f>IF(F3="1",SUMIF(Data!A:A,'13'!$A$2,Data!DJ:DJ),0)</f>
        <v>107694</v>
      </c>
      <c r="E51" s="17">
        <f>IF($F$3="1",SUMIF(Data!$A:$A,$A$2,Data!JD:JD),0)</f>
        <v>177531</v>
      </c>
      <c r="F51" s="21">
        <f t="shared" si="3"/>
        <v>1.65</v>
      </c>
    </row>
    <row r="52" spans="1:6" x14ac:dyDescent="0.2">
      <c r="A52" s="19">
        <v>17</v>
      </c>
      <c r="B52" s="181" t="s">
        <v>15</v>
      </c>
      <c r="C52" s="182"/>
      <c r="D52" s="14">
        <f>IF(F3="1",SUMIF(Data!A:A,'13'!$A$2,Data!DK:DK),0)</f>
        <v>42496</v>
      </c>
      <c r="E52" s="17">
        <f>IF($F$3="1",SUMIF(Data!$A:$A,$A$2,Data!JE:JE),0)</f>
        <v>82529</v>
      </c>
      <c r="F52" s="21">
        <f t="shared" si="3"/>
        <v>1.94</v>
      </c>
    </row>
    <row r="53" spans="1:6" x14ac:dyDescent="0.2">
      <c r="A53" s="19">
        <v>18</v>
      </c>
      <c r="B53" s="181" t="s">
        <v>16</v>
      </c>
      <c r="C53" s="182"/>
      <c r="D53" s="14">
        <f>IF(F3="1",SUMIF(Data!A:A,'13'!$A$2,Data!DL:DL),0)</f>
        <v>0</v>
      </c>
      <c r="E53" s="17">
        <f>IF($F$3="1",SUMIF(Data!$A:$A,$A$2,Data!JF:JF),0)</f>
        <v>0</v>
      </c>
      <c r="F53" s="21" t="str">
        <f t="shared" si="3"/>
        <v/>
      </c>
    </row>
    <row r="54" spans="1:6" x14ac:dyDescent="0.2">
      <c r="A54" s="19">
        <v>19</v>
      </c>
      <c r="B54" s="181" t="s">
        <v>17</v>
      </c>
      <c r="C54" s="182"/>
      <c r="D54" s="14">
        <f>IF(F3="1",SUMIF(Data!A:A,'13'!$A$2,Data!DM:DM),0)</f>
        <v>887808</v>
      </c>
      <c r="E54" s="17">
        <f>IF($F$3="1",SUMIF(Data!$A:$A,$A$2,Data!JG:JG),0)</f>
        <v>617655</v>
      </c>
      <c r="F54" s="21">
        <f t="shared" si="3"/>
        <v>0.7</v>
      </c>
    </row>
    <row r="55" spans="1:6" x14ac:dyDescent="0.2">
      <c r="A55" s="19">
        <v>20</v>
      </c>
      <c r="B55" s="181" t="s">
        <v>18</v>
      </c>
      <c r="C55" s="182"/>
      <c r="D55" s="14">
        <f>IF(F3="1",SUMIF(Data!A:A,'13'!$A$2,Data!DN:DN),0)</f>
        <v>0</v>
      </c>
      <c r="E55" s="17">
        <f>IF($F$3="1",SUMIF(Data!$A:$A,$A$2,Data!JH:JH),0)</f>
        <v>0</v>
      </c>
      <c r="F55" s="21" t="str">
        <f t="shared" si="3"/>
        <v/>
      </c>
    </row>
    <row r="56" spans="1:6" ht="14.25" customHeight="1" x14ac:dyDescent="0.2">
      <c r="A56" s="19">
        <v>21</v>
      </c>
      <c r="B56" s="181" t="s">
        <v>461</v>
      </c>
      <c r="C56" s="182"/>
      <c r="D56" s="14">
        <f>IF(F3="1",SUMIF(Data!A:A,'13'!$A$2,Data!DO:DO),0)</f>
        <v>0</v>
      </c>
      <c r="E56" s="17">
        <f>IF($F$3="1",SUMIF(Data!$A:$A,$A$2,Data!JI:JI),0)</f>
        <v>0</v>
      </c>
      <c r="F56" s="21" t="str">
        <f t="shared" si="3"/>
        <v/>
      </c>
    </row>
    <row r="57" spans="1:6" x14ac:dyDescent="0.2">
      <c r="A57" s="19">
        <v>22</v>
      </c>
      <c r="B57" s="181" t="s">
        <v>19</v>
      </c>
      <c r="C57" s="182"/>
      <c r="D57" s="14">
        <f>IF(F3="1",SUMIF(Data!A:A,'13'!$A$2,Data!DP:DP),0)</f>
        <v>1008</v>
      </c>
      <c r="E57" s="17">
        <f>IF($F$3="1",SUMIF(Data!$A:$A,$A$2,Data!JJ:JJ),0)</f>
        <v>3718</v>
      </c>
      <c r="F57" s="21">
        <f t="shared" si="3"/>
        <v>3.69</v>
      </c>
    </row>
    <row r="58" spans="1:6" x14ac:dyDescent="0.2">
      <c r="A58" s="19">
        <v>23</v>
      </c>
      <c r="B58" s="181" t="s">
        <v>20</v>
      </c>
      <c r="C58" s="182"/>
      <c r="D58" s="14">
        <f>IF(F3="1",SUMIF(Data!A:A,'13'!$A$2,Data!DQ:DQ),0)</f>
        <v>180048</v>
      </c>
      <c r="E58" s="17">
        <f>IF($F$3="1",SUMIF(Data!$A:$A,$A$2,Data!JK:JK),0)</f>
        <v>372219</v>
      </c>
      <c r="F58" s="21">
        <f t="shared" si="3"/>
        <v>2.0699999999999998</v>
      </c>
    </row>
    <row r="59" spans="1:6" x14ac:dyDescent="0.2">
      <c r="A59" s="19">
        <v>24</v>
      </c>
      <c r="B59" s="181" t="s">
        <v>21</v>
      </c>
      <c r="C59" s="182"/>
      <c r="D59" s="14">
        <f>IF(F3="1",SUMIF(Data!A:A,'13'!$A$2,Data!DR:DR),0)</f>
        <v>230245</v>
      </c>
      <c r="E59" s="17">
        <f>IF($F$3="1",SUMIF(Data!$A:$A,$A$2,Data!JL:JL),0)</f>
        <v>820672</v>
      </c>
      <c r="F59" s="21">
        <f t="shared" si="3"/>
        <v>3.56</v>
      </c>
    </row>
    <row r="60" spans="1:6" x14ac:dyDescent="0.2">
      <c r="A60" s="19">
        <v>25</v>
      </c>
      <c r="B60" s="181" t="s">
        <v>22</v>
      </c>
      <c r="C60" s="182"/>
      <c r="D60" s="14">
        <f>IF(F3="1",SUMIF(Data!A:A,'13'!$A$2,Data!DS:DS),0)</f>
        <v>1199888</v>
      </c>
      <c r="E60" s="17">
        <f>IF($F$3="1",SUMIF(Data!$A:$A,$A$2,Data!JM:JM),0)</f>
        <v>437073</v>
      </c>
      <c r="F60" s="21">
        <f t="shared" si="3"/>
        <v>0.36</v>
      </c>
    </row>
    <row r="61" spans="1:6" x14ac:dyDescent="0.2">
      <c r="A61" s="19">
        <v>26</v>
      </c>
      <c r="B61" s="181" t="s">
        <v>23</v>
      </c>
      <c r="C61" s="182"/>
      <c r="D61" s="14">
        <f>IF(F3="1",SUMIF(Data!A:A,'13'!$A$2,Data!DT:DT),0)</f>
        <v>520172</v>
      </c>
      <c r="E61" s="17">
        <f>IF($F$3="1",SUMIF(Data!$A:$A,$A$2,Data!JN:JN),0)</f>
        <v>1421898</v>
      </c>
      <c r="F61" s="21">
        <f t="shared" si="3"/>
        <v>2.73</v>
      </c>
    </row>
    <row r="62" spans="1:6" x14ac:dyDescent="0.2">
      <c r="A62" s="19">
        <v>28</v>
      </c>
      <c r="B62" s="181" t="s">
        <v>24</v>
      </c>
      <c r="C62" s="182"/>
      <c r="D62" s="14">
        <f>IF(F3="1",SUMIF(Data!A:A,'13'!$A$2,Data!DV:DV),0)</f>
        <v>0</v>
      </c>
      <c r="E62" s="17">
        <f>IF($F$3="1",SUMIF(Data!$A:$A,$A$2,Data!JP:JP),0)</f>
        <v>0</v>
      </c>
      <c r="F62" s="21" t="str">
        <f t="shared" si="3"/>
        <v/>
      </c>
    </row>
    <row r="63" spans="1:6" ht="15.75" customHeight="1" thickBot="1" x14ac:dyDescent="0.25">
      <c r="A63" s="22">
        <v>29</v>
      </c>
      <c r="B63" s="183" t="s">
        <v>25</v>
      </c>
      <c r="C63" s="184"/>
      <c r="D63" s="23">
        <f>IF(F3="1",SUMIF(Data!A:A,'13'!$A$2,Data!DW:DW),0)</f>
        <v>0</v>
      </c>
      <c r="E63" s="24">
        <f>IF($F$3="1",SUMIF(Data!$A:$A,$A$2,Data!JQ:JQ),0)</f>
        <v>0</v>
      </c>
      <c r="F63" s="25" t="str">
        <f t="shared" si="3"/>
        <v/>
      </c>
    </row>
    <row r="64" spans="1:6" x14ac:dyDescent="0.2">
      <c r="B64" s="30" t="s">
        <v>35</v>
      </c>
      <c r="C64" s="30"/>
      <c r="D64" s="59">
        <f>SUM(D36:D63)</f>
        <v>6465355</v>
      </c>
      <c r="E64" s="31">
        <f>SUM(E36:E63)</f>
        <v>7841268</v>
      </c>
      <c r="F64" s="32">
        <f t="shared" si="3"/>
        <v>1.21</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26038</v>
      </c>
      <c r="E67" s="15">
        <f>IF(F3="1",SUMIF(Data!A:A,'13'!$A$2,Data!DY:DY),0)</f>
        <v>60208</v>
      </c>
      <c r="F67" s="20">
        <f t="shared" ref="F67:F95" si="4">IF(OR(D67=0,E67=0),"",ROUND(E67/D67,2))</f>
        <v>2.31</v>
      </c>
    </row>
    <row r="68" spans="1:6" x14ac:dyDescent="0.2">
      <c r="A68" s="19">
        <v>2</v>
      </c>
      <c r="B68" s="181" t="s">
        <v>1</v>
      </c>
      <c r="C68" s="182"/>
      <c r="D68" s="14">
        <f t="shared" ref="D68:D94" si="5">D37</f>
        <v>46442</v>
      </c>
      <c r="E68" s="17">
        <f>IF(F3="1",SUMIF(Data!A:A,'13'!$A$2,Data!DZ:DZ),0)</f>
        <v>156356</v>
      </c>
      <c r="F68" s="21">
        <f t="shared" si="4"/>
        <v>3.37</v>
      </c>
    </row>
    <row r="69" spans="1:6" ht="14.25" customHeight="1" x14ac:dyDescent="0.2">
      <c r="A69" s="19">
        <v>3</v>
      </c>
      <c r="B69" s="181" t="s">
        <v>2</v>
      </c>
      <c r="C69" s="182"/>
      <c r="D69" s="14">
        <f t="shared" si="5"/>
        <v>541184</v>
      </c>
      <c r="E69" s="17">
        <f>IF(F3="1",SUMIF(Data!A:A,'13'!$A$2,Data!EA:EA),0)</f>
        <v>1167050</v>
      </c>
      <c r="F69" s="21">
        <f t="shared" si="4"/>
        <v>2.16</v>
      </c>
    </row>
    <row r="70" spans="1:6" ht="14.25" customHeight="1" x14ac:dyDescent="0.2">
      <c r="A70" s="19">
        <v>4</v>
      </c>
      <c r="B70" s="181" t="s">
        <v>3</v>
      </c>
      <c r="C70" s="182"/>
      <c r="D70" s="14">
        <f t="shared" si="5"/>
        <v>510594</v>
      </c>
      <c r="E70" s="17">
        <f>IF(F3="1",SUMIF(Data!A:A,'13'!$A$2,Data!EB:EB),0)</f>
        <v>1667013</v>
      </c>
      <c r="F70" s="21">
        <f t="shared" si="4"/>
        <v>3.26</v>
      </c>
    </row>
    <row r="71" spans="1:6" x14ac:dyDescent="0.2">
      <c r="A71" s="19">
        <v>5</v>
      </c>
      <c r="B71" s="181" t="s">
        <v>4</v>
      </c>
      <c r="C71" s="182"/>
      <c r="D71" s="14">
        <f t="shared" si="5"/>
        <v>2064</v>
      </c>
      <c r="E71" s="17">
        <f>IF(F3="1",SUMIF(Data!A:A,'13'!$A$2,Data!EC:EC),0)</f>
        <v>3328</v>
      </c>
      <c r="F71" s="21">
        <f t="shared" si="4"/>
        <v>1.61</v>
      </c>
    </row>
    <row r="72" spans="1:6" x14ac:dyDescent="0.2">
      <c r="A72" s="19">
        <v>6</v>
      </c>
      <c r="B72" s="181" t="s">
        <v>5</v>
      </c>
      <c r="C72" s="182"/>
      <c r="D72" s="14">
        <f t="shared" si="5"/>
        <v>90273</v>
      </c>
      <c r="E72" s="17">
        <f>IF(F3="1",SUMIF(Data!A:A,'13'!$A$2,Data!ED:ED),0)</f>
        <v>257387</v>
      </c>
      <c r="F72" s="21">
        <f t="shared" si="4"/>
        <v>2.85</v>
      </c>
    </row>
    <row r="73" spans="1:6" x14ac:dyDescent="0.2">
      <c r="A73" s="19">
        <v>7</v>
      </c>
      <c r="B73" s="181" t="s">
        <v>6</v>
      </c>
      <c r="C73" s="182"/>
      <c r="D73" s="14">
        <f t="shared" si="5"/>
        <v>440722</v>
      </c>
      <c r="E73" s="17">
        <f>IF(F3="1",SUMIF(Data!A:A,'13'!$A$2,Data!EE:EE),0)</f>
        <v>856768</v>
      </c>
      <c r="F73" s="21">
        <f t="shared" si="4"/>
        <v>1.94</v>
      </c>
    </row>
    <row r="74" spans="1:6" x14ac:dyDescent="0.2">
      <c r="A74" s="19">
        <v>8</v>
      </c>
      <c r="B74" s="181" t="s">
        <v>7</v>
      </c>
      <c r="C74" s="182"/>
      <c r="D74" s="14">
        <f t="shared" si="5"/>
        <v>3816</v>
      </c>
      <c r="E74" s="17">
        <f>IF(F3="1",SUMIF(Data!A:A,'13'!$A$2,Data!EF:EF),0)</f>
        <v>6157</v>
      </c>
      <c r="F74" s="21">
        <f t="shared" si="4"/>
        <v>1.61</v>
      </c>
    </row>
    <row r="75" spans="1:6" x14ac:dyDescent="0.2">
      <c r="A75" s="19">
        <v>9</v>
      </c>
      <c r="B75" s="181" t="s">
        <v>8</v>
      </c>
      <c r="C75" s="182"/>
      <c r="D75" s="14">
        <f t="shared" si="5"/>
        <v>105548</v>
      </c>
      <c r="E75" s="17">
        <f>IF(F3="1",SUMIF(Data!A:A,'13'!$A$2,Data!EG:EG),0)</f>
        <v>214800</v>
      </c>
      <c r="F75" s="21">
        <f t="shared" si="4"/>
        <v>2.04</v>
      </c>
    </row>
    <row r="76" spans="1:6" x14ac:dyDescent="0.2">
      <c r="A76" s="19">
        <v>10</v>
      </c>
      <c r="B76" s="181" t="s">
        <v>9</v>
      </c>
      <c r="C76" s="182"/>
      <c r="D76" s="14">
        <f t="shared" si="5"/>
        <v>0</v>
      </c>
      <c r="E76" s="17">
        <f>IF(F3="1",SUMIF(Data!A:A,'13'!$A$2,Data!EH:EH),0)</f>
        <v>0</v>
      </c>
      <c r="F76" s="21" t="str">
        <f t="shared" si="4"/>
        <v/>
      </c>
    </row>
    <row r="77" spans="1:6" x14ac:dyDescent="0.2">
      <c r="A77" s="19">
        <v>11</v>
      </c>
      <c r="B77" s="181" t="s">
        <v>10</v>
      </c>
      <c r="C77" s="182"/>
      <c r="D77" s="14">
        <f t="shared" si="5"/>
        <v>99096</v>
      </c>
      <c r="E77" s="17">
        <f>IF(F3="1",SUMIF(Data!A:A,'13'!$A$2,Data!EI:EI),0)</f>
        <v>417261</v>
      </c>
      <c r="F77" s="21">
        <f t="shared" si="4"/>
        <v>4.21</v>
      </c>
    </row>
    <row r="78" spans="1:6" ht="14.25" customHeight="1" x14ac:dyDescent="0.2">
      <c r="A78" s="19">
        <v>12</v>
      </c>
      <c r="B78" s="181" t="s">
        <v>11</v>
      </c>
      <c r="C78" s="182"/>
      <c r="D78" s="14">
        <f t="shared" si="5"/>
        <v>1159779</v>
      </c>
      <c r="E78" s="17">
        <f>IF(F3="1",SUMIF(Data!A:A,'13'!$A$2,Data!EJ:EJ),0)</f>
        <v>2735098</v>
      </c>
      <c r="F78" s="21">
        <f t="shared" si="4"/>
        <v>2.36</v>
      </c>
    </row>
    <row r="79" spans="1:6" x14ac:dyDescent="0.2">
      <c r="A79" s="19">
        <v>13</v>
      </c>
      <c r="B79" s="181" t="s">
        <v>12</v>
      </c>
      <c r="C79" s="182"/>
      <c r="D79" s="14">
        <f t="shared" si="5"/>
        <v>184626</v>
      </c>
      <c r="E79" s="17">
        <f>IF(F3="1",SUMIF(Data!A:A,'13'!$A$2,Data!EK:EK),0)</f>
        <v>489209</v>
      </c>
      <c r="F79" s="21">
        <f t="shared" si="4"/>
        <v>2.65</v>
      </c>
    </row>
    <row r="80" spans="1:6" ht="14.25" customHeight="1" x14ac:dyDescent="0.2">
      <c r="A80" s="19">
        <v>14</v>
      </c>
      <c r="B80" s="181" t="s">
        <v>464</v>
      </c>
      <c r="C80" s="182"/>
      <c r="D80" s="14">
        <f t="shared" si="5"/>
        <v>68406</v>
      </c>
      <c r="E80" s="17">
        <f>IF(F3="1",SUMIF(Data!A:A,'13'!$A$2,Data!EL:EL),0)</f>
        <v>389534</v>
      </c>
      <c r="F80" s="21">
        <f t="shared" si="4"/>
        <v>5.69</v>
      </c>
    </row>
    <row r="81" spans="1:6" x14ac:dyDescent="0.2">
      <c r="A81" s="19">
        <v>15</v>
      </c>
      <c r="B81" s="181" t="s">
        <v>13</v>
      </c>
      <c r="C81" s="182"/>
      <c r="D81" s="14">
        <f t="shared" si="5"/>
        <v>17408</v>
      </c>
      <c r="E81" s="17">
        <f>IF(F3="1",SUMIF(Data!A:A,'13'!$A$2,Data!EM:EM),0)</f>
        <v>268108</v>
      </c>
      <c r="F81" s="21">
        <f t="shared" si="4"/>
        <v>15.4</v>
      </c>
    </row>
    <row r="82" spans="1:6" x14ac:dyDescent="0.2">
      <c r="A82" s="19">
        <v>16</v>
      </c>
      <c r="B82" s="181" t="s">
        <v>14</v>
      </c>
      <c r="C82" s="182"/>
      <c r="D82" s="14">
        <f t="shared" si="5"/>
        <v>107694</v>
      </c>
      <c r="E82" s="17">
        <f>IF(F3="1",SUMIF(Data!A:A,'13'!$A$2,Data!EN:EN),0)</f>
        <v>277020</v>
      </c>
      <c r="F82" s="21">
        <f t="shared" si="4"/>
        <v>2.57</v>
      </c>
    </row>
    <row r="83" spans="1:6" x14ac:dyDescent="0.2">
      <c r="A83" s="19">
        <v>17</v>
      </c>
      <c r="B83" s="181" t="s">
        <v>15</v>
      </c>
      <c r="C83" s="182"/>
      <c r="D83" s="14">
        <f t="shared" si="5"/>
        <v>42496</v>
      </c>
      <c r="E83" s="17">
        <f>IF(F3="1",SUMIF(Data!A:A,'13'!$A$2,Data!EO:EO),0)</f>
        <v>186202</v>
      </c>
      <c r="F83" s="21">
        <f t="shared" si="4"/>
        <v>4.38</v>
      </c>
    </row>
    <row r="84" spans="1:6" x14ac:dyDescent="0.2">
      <c r="A84" s="19">
        <v>18</v>
      </c>
      <c r="B84" s="181" t="s">
        <v>16</v>
      </c>
      <c r="C84" s="182"/>
      <c r="D84" s="14">
        <f t="shared" si="5"/>
        <v>0</v>
      </c>
      <c r="E84" s="17">
        <f>IF(F3="1",SUMIF(Data!A:A,'13'!$A$2,Data!EP:EP),0)</f>
        <v>0</v>
      </c>
      <c r="F84" s="21" t="str">
        <f t="shared" si="4"/>
        <v/>
      </c>
    </row>
    <row r="85" spans="1:6" x14ac:dyDescent="0.2">
      <c r="A85" s="19">
        <v>19</v>
      </c>
      <c r="B85" s="181" t="s">
        <v>17</v>
      </c>
      <c r="C85" s="182"/>
      <c r="D85" s="14">
        <f t="shared" si="5"/>
        <v>887808</v>
      </c>
      <c r="E85" s="17">
        <f>IF(F3="1",SUMIF(Data!A:A,'13'!$A$2,Data!EQ:EQ),0)</f>
        <v>1328763</v>
      </c>
      <c r="F85" s="21">
        <f t="shared" si="4"/>
        <v>1.5</v>
      </c>
    </row>
    <row r="86" spans="1:6" x14ac:dyDescent="0.2">
      <c r="A86" s="19">
        <v>20</v>
      </c>
      <c r="B86" s="181" t="s">
        <v>18</v>
      </c>
      <c r="C86" s="182"/>
      <c r="D86" s="14">
        <f t="shared" si="5"/>
        <v>0</v>
      </c>
      <c r="E86" s="17">
        <f>IF(F3="1",SUMIF(Data!A:A,'13'!$A$2,Data!ER:ER),0)</f>
        <v>0</v>
      </c>
      <c r="F86" s="21" t="str">
        <f t="shared" si="4"/>
        <v/>
      </c>
    </row>
    <row r="87" spans="1:6" ht="14.25" customHeight="1" x14ac:dyDescent="0.2">
      <c r="A87" s="19">
        <v>21</v>
      </c>
      <c r="B87" s="181" t="s">
        <v>461</v>
      </c>
      <c r="C87" s="182"/>
      <c r="D87" s="14">
        <f t="shared" si="5"/>
        <v>0</v>
      </c>
      <c r="E87" s="17">
        <f>IF(F3="1",SUMIF(Data!A:A,'13'!$A$2,Data!ES:ES),0)</f>
        <v>0</v>
      </c>
      <c r="F87" s="21" t="str">
        <f t="shared" si="4"/>
        <v/>
      </c>
    </row>
    <row r="88" spans="1:6" x14ac:dyDescent="0.2">
      <c r="A88" s="19">
        <v>22</v>
      </c>
      <c r="B88" s="181" t="s">
        <v>19</v>
      </c>
      <c r="C88" s="182"/>
      <c r="D88" s="14">
        <f t="shared" si="5"/>
        <v>1008</v>
      </c>
      <c r="E88" s="17">
        <f>IF(F3="1",SUMIF(Data!A:A,'13'!$A$2,Data!ET:ET),0)</f>
        <v>1664</v>
      </c>
      <c r="F88" s="21">
        <f t="shared" si="4"/>
        <v>1.65</v>
      </c>
    </row>
    <row r="89" spans="1:6" x14ac:dyDescent="0.2">
      <c r="A89" s="19">
        <v>23</v>
      </c>
      <c r="B89" s="181" t="s">
        <v>20</v>
      </c>
      <c r="C89" s="182"/>
      <c r="D89" s="14">
        <f t="shared" si="5"/>
        <v>180048</v>
      </c>
      <c r="E89" s="17">
        <f>IF(F3="1",SUMIF(Data!A:A,'13'!$A$2,Data!EU:EU),0)</f>
        <v>521568</v>
      </c>
      <c r="F89" s="21">
        <f t="shared" si="4"/>
        <v>2.9</v>
      </c>
    </row>
    <row r="90" spans="1:6" x14ac:dyDescent="0.2">
      <c r="A90" s="19">
        <v>24</v>
      </c>
      <c r="B90" s="181" t="s">
        <v>21</v>
      </c>
      <c r="C90" s="182"/>
      <c r="D90" s="14">
        <f t="shared" si="5"/>
        <v>230245</v>
      </c>
      <c r="E90" s="17">
        <f>IF(F3="1",SUMIF(Data!A:A,'13'!$A$2,Data!EV:EV),0)</f>
        <v>541137</v>
      </c>
      <c r="F90" s="21">
        <f t="shared" si="4"/>
        <v>2.35</v>
      </c>
    </row>
    <row r="91" spans="1:6" x14ac:dyDescent="0.2">
      <c r="A91" s="19">
        <v>25</v>
      </c>
      <c r="B91" s="181" t="s">
        <v>22</v>
      </c>
      <c r="C91" s="182"/>
      <c r="D91" s="14">
        <f t="shared" si="5"/>
        <v>1199888</v>
      </c>
      <c r="E91" s="17">
        <f>IF(F3="1",SUMIF(Data!A:A,'13'!$A$2,Data!EW:EW),0)</f>
        <v>2362620</v>
      </c>
      <c r="F91" s="21">
        <f t="shared" si="4"/>
        <v>1.97</v>
      </c>
    </row>
    <row r="92" spans="1:6" x14ac:dyDescent="0.2">
      <c r="A92" s="19">
        <v>26</v>
      </c>
      <c r="B92" s="181" t="s">
        <v>23</v>
      </c>
      <c r="C92" s="182"/>
      <c r="D92" s="14">
        <f t="shared" si="5"/>
        <v>520172</v>
      </c>
      <c r="E92" s="17">
        <f>IF(F3="1",SUMIF(Data!A:A,'13'!$A$2,Data!EX:EX),0)</f>
        <v>1685986</v>
      </c>
      <c r="F92" s="21">
        <f t="shared" si="4"/>
        <v>3.24</v>
      </c>
    </row>
    <row r="93" spans="1:6" x14ac:dyDescent="0.2">
      <c r="A93" s="19">
        <v>28</v>
      </c>
      <c r="B93" s="181" t="s">
        <v>24</v>
      </c>
      <c r="C93" s="182"/>
      <c r="D93" s="14">
        <f t="shared" si="5"/>
        <v>0</v>
      </c>
      <c r="E93" s="17">
        <f>IF(F3="1",SUMIF(Data!A:A,'13'!$A$2,Data!EZ:EZ),0)</f>
        <v>0</v>
      </c>
      <c r="F93" s="21" t="str">
        <f t="shared" si="4"/>
        <v/>
      </c>
    </row>
    <row r="94" spans="1:6" ht="15.75" customHeight="1" thickBot="1" x14ac:dyDescent="0.25">
      <c r="A94" s="22">
        <v>29</v>
      </c>
      <c r="B94" s="183" t="s">
        <v>25</v>
      </c>
      <c r="C94" s="184"/>
      <c r="D94" s="23">
        <f t="shared" si="5"/>
        <v>0</v>
      </c>
      <c r="E94" s="24">
        <f>IF(F3="1",SUMIF(Data!A:A,'13'!$A$2,Data!FA:FA),0)</f>
        <v>0</v>
      </c>
      <c r="F94" s="25" t="str">
        <f t="shared" si="4"/>
        <v/>
      </c>
    </row>
    <row r="95" spans="1:6" x14ac:dyDescent="0.2">
      <c r="B95" s="30" t="s">
        <v>35</v>
      </c>
      <c r="C95" s="30"/>
      <c r="D95" s="59">
        <f>SUM(D67:D94)</f>
        <v>6465355</v>
      </c>
      <c r="E95" s="31">
        <f>SUM(E67:E94)</f>
        <v>15593237</v>
      </c>
      <c r="F95" s="32">
        <f t="shared" si="4"/>
        <v>2.41</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IF(F3="1",SUMIF(Data!A:A,'13'!$A$2,Data!AH:AH),0)</f>
        <v>8813273</v>
      </c>
      <c r="F98" s="20">
        <f>IF(OR(E98=0,E98=0),"",ROUND(E98/$D$105,2))</f>
        <v>1.36</v>
      </c>
    </row>
    <row r="99" spans="2:6" x14ac:dyDescent="0.2">
      <c r="B99" s="187" t="s">
        <v>31</v>
      </c>
      <c r="C99" s="188"/>
      <c r="D99" s="36"/>
      <c r="E99" s="17">
        <f>IF(F3="1",SUMIF(Data!A:A,'13'!$A$2,Data!AI:AI),0)</f>
        <v>4305935</v>
      </c>
      <c r="F99" s="21">
        <f t="shared" ref="F99:F104" si="6">IF(OR(E99=0,E99=0),"",ROUND(E99/$D$105,2))</f>
        <v>0.67</v>
      </c>
    </row>
    <row r="100" spans="2:6" x14ac:dyDescent="0.2">
      <c r="B100" s="187" t="s">
        <v>1078</v>
      </c>
      <c r="C100" s="188"/>
      <c r="D100" s="36"/>
      <c r="E100" s="17">
        <f>IF(F3="1",SUMIF(Data!A:A,'13'!$A$2,Data!AJ:AJ),0)</f>
        <v>2898436</v>
      </c>
      <c r="F100" s="21">
        <f t="shared" si="6"/>
        <v>0.45</v>
      </c>
    </row>
    <row r="101" spans="2:6" x14ac:dyDescent="0.2">
      <c r="B101" s="187" t="s">
        <v>1079</v>
      </c>
      <c r="C101" s="188"/>
      <c r="D101" s="36"/>
      <c r="E101" s="17">
        <f>IF(F3="1",SUMIF(Data!A:A,'13'!$A$2,Data!AK:AK),0)</f>
        <v>2635117</v>
      </c>
      <c r="F101" s="21">
        <f t="shared" si="6"/>
        <v>0.41</v>
      </c>
    </row>
    <row r="102" spans="2:6" x14ac:dyDescent="0.2">
      <c r="B102" s="187" t="s">
        <v>1080</v>
      </c>
      <c r="C102" s="188"/>
      <c r="D102" s="36"/>
      <c r="E102" s="17">
        <f>IF(F3="1",SUMIF(Data!A:A,'13'!$A$2,Data!AL:AL),0)</f>
        <v>0</v>
      </c>
      <c r="F102" s="21" t="str">
        <f t="shared" si="6"/>
        <v/>
      </c>
    </row>
    <row r="103" spans="2:6" x14ac:dyDescent="0.2">
      <c r="B103" s="189" t="s">
        <v>34</v>
      </c>
      <c r="C103" s="190"/>
      <c r="D103" s="36"/>
      <c r="E103" s="17">
        <f>IF(F3="1",SUMIF(Data!A:A,'13'!$A$2,Data!AM:AM),0)</f>
        <v>0</v>
      </c>
      <c r="F103" s="21" t="str">
        <f t="shared" si="6"/>
        <v/>
      </c>
    </row>
    <row r="104" spans="2:6" ht="15.75" customHeight="1" thickBot="1" x14ac:dyDescent="0.25">
      <c r="B104" s="179" t="s">
        <v>29</v>
      </c>
      <c r="C104" s="180"/>
      <c r="D104" s="37"/>
      <c r="E104" s="24">
        <f>IF(F3="1",SUMIF(Data!A:A,'13'!$A$2,Data!Q:Q),0)</f>
        <v>1252287</v>
      </c>
      <c r="F104" s="25">
        <f t="shared" si="6"/>
        <v>0.19</v>
      </c>
    </row>
    <row r="105" spans="2:6" x14ac:dyDescent="0.2">
      <c r="B105" s="30" t="s">
        <v>35</v>
      </c>
      <c r="C105" s="30"/>
      <c r="D105" s="34">
        <f>D95</f>
        <v>6465355</v>
      </c>
      <c r="E105" s="31">
        <f>SUM(E98:E104)</f>
        <v>19905048</v>
      </c>
      <c r="F105" s="32">
        <f>IF($D$105=0,"",ROUND(E105/$D$105,2))</f>
        <v>3.08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15593237</v>
      </c>
      <c r="D109" s="15">
        <f>IF(F3="1",SUMIF(Data!$A:$A,$A$2,Data!HJ:HJ),0)</f>
        <v>0</v>
      </c>
      <c r="E109" s="15">
        <f>IF(F3="1",SUMIF(Data!$A:$A,$A$2,Data!IN:IN),0)</f>
        <v>0</v>
      </c>
      <c r="F109" s="47">
        <f>SUM(C109:E109)</f>
        <v>15593237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1252287</v>
      </c>
      <c r="E117" s="52"/>
      <c r="F117" s="49">
        <f>SUM(C117:E117)</f>
        <v>1252287</v>
      </c>
    </row>
    <row r="118" spans="1:6" x14ac:dyDescent="0.2">
      <c r="B118" s="13" t="s">
        <v>35</v>
      </c>
      <c r="C118" s="4">
        <f>SUM(C109:C116)</f>
        <v>15593237</v>
      </c>
      <c r="D118" s="4">
        <f>SUM(D109:D116)</f>
        <v>0</v>
      </c>
      <c r="E118" s="4">
        <f>SUM(E109:E116)</f>
        <v>0</v>
      </c>
      <c r="F118" s="4">
        <f>SUM(F109:F116)</f>
        <v>15593237</v>
      </c>
    </row>
    <row r="119" spans="1:6" ht="15" thickBot="1" x14ac:dyDescent="0.25"/>
    <row r="120" spans="1:6" ht="15" thickBot="1" x14ac:dyDescent="0.25">
      <c r="B120" s="55" t="s">
        <v>934</v>
      </c>
      <c r="C120" s="53"/>
      <c r="D120" s="53"/>
      <c r="E120" s="53">
        <f>IF(F3="1",SUMIF(Data!A:A,'13'!$A$2,Data!AM:AM),0)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454</v>
      </c>
      <c r="B2" s="58" t="str">
        <f>VLOOKUP(A2,Data!A:G,7,0)</f>
        <v>Dallas County Community College District</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88780</v>
      </c>
      <c r="E5" s="15">
        <f>E36+E67+IFERROR($E$105/$D$105*D5,0)</f>
        <v>1459648.3599864733</v>
      </c>
      <c r="F5" s="20">
        <f>IF(OR(D5=0,E5=0),"",ROUND(E5/D5,2))</f>
        <v>16.440000000000001</v>
      </c>
    </row>
    <row r="6" spans="1:6" x14ac:dyDescent="0.2">
      <c r="A6" s="19">
        <v>2</v>
      </c>
      <c r="B6" s="181" t="s">
        <v>1</v>
      </c>
      <c r="C6" s="182"/>
      <c r="D6" s="14">
        <f t="shared" ref="D6:D32" si="0">D37</f>
        <v>319227</v>
      </c>
      <c r="E6" s="17">
        <f t="shared" ref="E6:E32" si="1">E37+E68+IFERROR($E$105/$D$105*D6,0)</f>
        <v>1885144.0961185172</v>
      </c>
      <c r="F6" s="21">
        <f t="shared" ref="F6:F33" si="2">IF(OR(D6=0,E6=0),"",ROUND(E6/D6,2))</f>
        <v>5.91</v>
      </c>
    </row>
    <row r="7" spans="1:6" ht="14.25" customHeight="1" x14ac:dyDescent="0.2">
      <c r="A7" s="19">
        <v>3</v>
      </c>
      <c r="B7" s="181" t="s">
        <v>2</v>
      </c>
      <c r="C7" s="182"/>
      <c r="D7" s="14">
        <f t="shared" si="0"/>
        <v>2234528</v>
      </c>
      <c r="E7" s="17">
        <f t="shared" si="1"/>
        <v>16094737.053433821</v>
      </c>
      <c r="F7" s="21">
        <f t="shared" si="2"/>
        <v>7.2</v>
      </c>
    </row>
    <row r="8" spans="1:6" ht="14.25" customHeight="1" x14ac:dyDescent="0.2">
      <c r="A8" s="19">
        <v>4</v>
      </c>
      <c r="B8" s="181" t="s">
        <v>3</v>
      </c>
      <c r="C8" s="182"/>
      <c r="D8" s="14">
        <f t="shared" si="0"/>
        <v>2546994</v>
      </c>
      <c r="E8" s="17">
        <f t="shared" si="1"/>
        <v>19002952.252257131</v>
      </c>
      <c r="F8" s="21">
        <f t="shared" si="2"/>
        <v>7.46</v>
      </c>
    </row>
    <row r="9" spans="1:6" x14ac:dyDescent="0.2">
      <c r="A9" s="19">
        <v>5</v>
      </c>
      <c r="B9" s="181" t="s">
        <v>4</v>
      </c>
      <c r="C9" s="182"/>
      <c r="D9" s="14">
        <f t="shared" si="0"/>
        <v>25872</v>
      </c>
      <c r="E9" s="17">
        <f t="shared" si="1"/>
        <v>241161.50833036768</v>
      </c>
      <c r="F9" s="21">
        <f t="shared" si="2"/>
        <v>9.32</v>
      </c>
    </row>
    <row r="10" spans="1:6" x14ac:dyDescent="0.2">
      <c r="A10" s="19">
        <v>6</v>
      </c>
      <c r="B10" s="181" t="s">
        <v>5</v>
      </c>
      <c r="C10" s="182"/>
      <c r="D10" s="14">
        <f t="shared" si="0"/>
        <v>341822</v>
      </c>
      <c r="E10" s="17">
        <f t="shared" si="1"/>
        <v>4395259.4116613688</v>
      </c>
      <c r="F10" s="21">
        <f t="shared" si="2"/>
        <v>12.86</v>
      </c>
    </row>
    <row r="11" spans="1:6" x14ac:dyDescent="0.2">
      <c r="A11" s="19">
        <v>7</v>
      </c>
      <c r="B11" s="181" t="s">
        <v>6</v>
      </c>
      <c r="C11" s="182"/>
      <c r="D11" s="14">
        <f t="shared" si="0"/>
        <v>2063057</v>
      </c>
      <c r="E11" s="17">
        <f t="shared" si="1"/>
        <v>17807106.931838408</v>
      </c>
      <c r="F11" s="21">
        <f t="shared" si="2"/>
        <v>8.6300000000000008</v>
      </c>
    </row>
    <row r="12" spans="1:6" x14ac:dyDescent="0.2">
      <c r="A12" s="19">
        <v>8</v>
      </c>
      <c r="B12" s="181" t="s">
        <v>7</v>
      </c>
      <c r="C12" s="182"/>
      <c r="D12" s="14">
        <f t="shared" si="0"/>
        <v>186540</v>
      </c>
      <c r="E12" s="17">
        <f t="shared" si="1"/>
        <v>2576576.0834858837</v>
      </c>
      <c r="F12" s="21">
        <f t="shared" si="2"/>
        <v>13.81</v>
      </c>
    </row>
    <row r="13" spans="1:6" x14ac:dyDescent="0.2">
      <c r="A13" s="19">
        <v>9</v>
      </c>
      <c r="B13" s="181" t="s">
        <v>8</v>
      </c>
      <c r="C13" s="182"/>
      <c r="D13" s="14">
        <f t="shared" si="0"/>
        <v>581011</v>
      </c>
      <c r="E13" s="17">
        <f t="shared" si="1"/>
        <v>3414574.9471063409</v>
      </c>
      <c r="F13" s="21">
        <f t="shared" si="2"/>
        <v>5.88</v>
      </c>
    </row>
    <row r="14" spans="1:6" x14ac:dyDescent="0.2">
      <c r="A14" s="19">
        <v>10</v>
      </c>
      <c r="B14" s="181" t="s">
        <v>9</v>
      </c>
      <c r="C14" s="182"/>
      <c r="D14" s="14">
        <f t="shared" si="0"/>
        <v>4528</v>
      </c>
      <c r="E14" s="17">
        <f t="shared" si="1"/>
        <v>27999.633183360573</v>
      </c>
      <c r="F14" s="21">
        <f t="shared" si="2"/>
        <v>6.18</v>
      </c>
    </row>
    <row r="15" spans="1:6" x14ac:dyDescent="0.2">
      <c r="A15" s="19">
        <v>11</v>
      </c>
      <c r="B15" s="181" t="s">
        <v>10</v>
      </c>
      <c r="C15" s="182"/>
      <c r="D15" s="14">
        <f t="shared" si="0"/>
        <v>634508</v>
      </c>
      <c r="E15" s="17">
        <f t="shared" si="1"/>
        <v>3796568.157223443</v>
      </c>
      <c r="F15" s="21">
        <f t="shared" si="2"/>
        <v>5.98</v>
      </c>
    </row>
    <row r="16" spans="1:6" ht="14.25" customHeight="1" x14ac:dyDescent="0.2">
      <c r="A16" s="19">
        <v>12</v>
      </c>
      <c r="B16" s="181" t="s">
        <v>11</v>
      </c>
      <c r="C16" s="182"/>
      <c r="D16" s="14">
        <f t="shared" si="0"/>
        <v>5294213</v>
      </c>
      <c r="E16" s="17">
        <f t="shared" si="1"/>
        <v>38546224.529500648</v>
      </c>
      <c r="F16" s="21">
        <f t="shared" si="2"/>
        <v>7.28</v>
      </c>
    </row>
    <row r="17" spans="1:6" x14ac:dyDescent="0.2">
      <c r="A17" s="19">
        <v>13</v>
      </c>
      <c r="B17" s="181" t="s">
        <v>12</v>
      </c>
      <c r="C17" s="182"/>
      <c r="D17" s="14">
        <f t="shared" si="0"/>
        <v>508626</v>
      </c>
      <c r="E17" s="17">
        <f t="shared" si="1"/>
        <v>3616286.406696103</v>
      </c>
      <c r="F17" s="21">
        <f t="shared" si="2"/>
        <v>7.11</v>
      </c>
    </row>
    <row r="18" spans="1:6" ht="14.25" customHeight="1" x14ac:dyDescent="0.2">
      <c r="A18" s="19">
        <v>14</v>
      </c>
      <c r="B18" s="181" t="s">
        <v>464</v>
      </c>
      <c r="C18" s="182"/>
      <c r="D18" s="14">
        <f t="shared" si="0"/>
        <v>272900</v>
      </c>
      <c r="E18" s="17">
        <f t="shared" si="1"/>
        <v>3206252.3789176457</v>
      </c>
      <c r="F18" s="21">
        <f t="shared" si="2"/>
        <v>11.75</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551317</v>
      </c>
      <c r="E20" s="17">
        <f t="shared" si="1"/>
        <v>4597705.6136817141</v>
      </c>
      <c r="F20" s="21">
        <f t="shared" si="2"/>
        <v>8.34</v>
      </c>
    </row>
    <row r="21" spans="1:6" x14ac:dyDescent="0.2">
      <c r="A21" s="19">
        <v>17</v>
      </c>
      <c r="B21" s="181" t="s">
        <v>15</v>
      </c>
      <c r="C21" s="182"/>
      <c r="D21" s="14">
        <f t="shared" si="0"/>
        <v>52240</v>
      </c>
      <c r="E21" s="17">
        <f t="shared" si="1"/>
        <v>413999.85633806454</v>
      </c>
      <c r="F21" s="21">
        <f t="shared" si="2"/>
        <v>7.92</v>
      </c>
    </row>
    <row r="22" spans="1:6" x14ac:dyDescent="0.2">
      <c r="A22" s="19">
        <v>18</v>
      </c>
      <c r="B22" s="181" t="s">
        <v>16</v>
      </c>
      <c r="C22" s="182"/>
      <c r="D22" s="14">
        <f t="shared" si="0"/>
        <v>23264</v>
      </c>
      <c r="E22" s="17">
        <f t="shared" si="1"/>
        <v>337611.15776892676</v>
      </c>
      <c r="F22" s="21">
        <f t="shared" si="2"/>
        <v>14.51</v>
      </c>
    </row>
    <row r="23" spans="1:6" x14ac:dyDescent="0.2">
      <c r="A23" s="19">
        <v>19</v>
      </c>
      <c r="B23" s="181" t="s">
        <v>17</v>
      </c>
      <c r="C23" s="182"/>
      <c r="D23" s="14">
        <f t="shared" si="0"/>
        <v>2616440</v>
      </c>
      <c r="E23" s="17">
        <f t="shared" si="1"/>
        <v>16871184.72046642</v>
      </c>
      <c r="F23" s="21">
        <f t="shared" si="2"/>
        <v>6.45</v>
      </c>
    </row>
    <row r="24" spans="1:6" x14ac:dyDescent="0.2">
      <c r="A24" s="19">
        <v>20</v>
      </c>
      <c r="B24" s="181" t="s">
        <v>18</v>
      </c>
      <c r="C24" s="182"/>
      <c r="D24" s="14">
        <f t="shared" si="0"/>
        <v>383834</v>
      </c>
      <c r="E24" s="17">
        <f t="shared" si="1"/>
        <v>3695322.9207822485</v>
      </c>
      <c r="F24" s="21">
        <f t="shared" si="2"/>
        <v>9.6300000000000008</v>
      </c>
    </row>
    <row r="25" spans="1:6" ht="14.25" customHeight="1" x14ac:dyDescent="0.2">
      <c r="A25" s="19">
        <v>21</v>
      </c>
      <c r="B25" s="181" t="s">
        <v>461</v>
      </c>
      <c r="C25" s="182"/>
      <c r="D25" s="14">
        <f t="shared" si="0"/>
        <v>164732</v>
      </c>
      <c r="E25" s="17">
        <f t="shared" si="1"/>
        <v>963507.90670524607</v>
      </c>
      <c r="F25" s="21">
        <f t="shared" si="2"/>
        <v>5.85</v>
      </c>
    </row>
    <row r="26" spans="1:6" x14ac:dyDescent="0.2">
      <c r="A26" s="19">
        <v>22</v>
      </c>
      <c r="B26" s="181" t="s">
        <v>19</v>
      </c>
      <c r="C26" s="182"/>
      <c r="D26" s="14">
        <f t="shared" si="0"/>
        <v>45282</v>
      </c>
      <c r="E26" s="17">
        <f t="shared" si="1"/>
        <v>987128.30296133691</v>
      </c>
      <c r="F26" s="21">
        <f t="shared" si="2"/>
        <v>21.8</v>
      </c>
    </row>
    <row r="27" spans="1:6" x14ac:dyDescent="0.2">
      <c r="A27" s="19">
        <v>23</v>
      </c>
      <c r="B27" s="181" t="s">
        <v>20</v>
      </c>
      <c r="C27" s="182"/>
      <c r="D27" s="14">
        <f t="shared" si="0"/>
        <v>551496</v>
      </c>
      <c r="E27" s="17">
        <f t="shared" si="1"/>
        <v>4787842.5296136532</v>
      </c>
      <c r="F27" s="21">
        <f t="shared" si="2"/>
        <v>8.68</v>
      </c>
    </row>
    <row r="28" spans="1:6" x14ac:dyDescent="0.2">
      <c r="A28" s="19">
        <v>24</v>
      </c>
      <c r="B28" s="181" t="s">
        <v>21</v>
      </c>
      <c r="C28" s="182"/>
      <c r="D28" s="14">
        <f t="shared" si="0"/>
        <v>671361</v>
      </c>
      <c r="E28" s="17">
        <f t="shared" si="1"/>
        <v>4134787.6423617797</v>
      </c>
      <c r="F28" s="21">
        <f t="shared" si="2"/>
        <v>6.16</v>
      </c>
    </row>
    <row r="29" spans="1:6" x14ac:dyDescent="0.2">
      <c r="A29" s="19">
        <v>25</v>
      </c>
      <c r="B29" s="181" t="s">
        <v>22</v>
      </c>
      <c r="C29" s="182"/>
      <c r="D29" s="14">
        <f t="shared" si="0"/>
        <v>3322520</v>
      </c>
      <c r="E29" s="17">
        <f t="shared" si="1"/>
        <v>21245385.65467738</v>
      </c>
      <c r="F29" s="21">
        <f t="shared" si="2"/>
        <v>6.39</v>
      </c>
    </row>
    <row r="30" spans="1:6" x14ac:dyDescent="0.2">
      <c r="A30" s="19">
        <v>26</v>
      </c>
      <c r="B30" s="181" t="s">
        <v>23</v>
      </c>
      <c r="C30" s="182"/>
      <c r="D30" s="14">
        <f t="shared" si="0"/>
        <v>1124266</v>
      </c>
      <c r="E30" s="17">
        <f t="shared" si="1"/>
        <v>10372065.944903724</v>
      </c>
      <c r="F30" s="21">
        <f t="shared" si="2"/>
        <v>9.23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24609358</v>
      </c>
      <c r="E33" s="31">
        <f>SUM(E5:E32)</f>
        <v>184477034.00000003</v>
      </c>
      <c r="F33" s="32">
        <f t="shared" si="2"/>
        <v>7.5</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IF(F3="1",SUMIF(Data!A:A,'14'!$A$2,Data!CU:CU),0)</f>
        <v>88780</v>
      </c>
      <c r="E36" s="15">
        <f>IF(F3="1",SUMIF(Data!$A:$A,$A$2,Data!IO:IO),0)</f>
        <v>601319</v>
      </c>
      <c r="F36" s="20">
        <f t="shared" ref="F36:F64" si="3">IF(OR(D36=0,E36=0),"",ROUND(E36/D36,2))</f>
        <v>6.77</v>
      </c>
    </row>
    <row r="37" spans="1:6" x14ac:dyDescent="0.2">
      <c r="A37" s="19">
        <v>2</v>
      </c>
      <c r="B37" s="181" t="s">
        <v>1</v>
      </c>
      <c r="C37" s="182"/>
      <c r="D37" s="14">
        <f>IF(F3="1",SUMIF(Data!A:A,'14'!$A$2,Data!CV:CV),0)</f>
        <v>319227</v>
      </c>
      <c r="E37" s="17">
        <f>IF(F3="1",SUMIF(Data!$A:$A,$A$2,Data!IP:IP),0)</f>
        <v>335282</v>
      </c>
      <c r="F37" s="21">
        <f t="shared" si="3"/>
        <v>1.05</v>
      </c>
    </row>
    <row r="38" spans="1:6" ht="14.25" customHeight="1" x14ac:dyDescent="0.2">
      <c r="A38" s="19">
        <v>3</v>
      </c>
      <c r="B38" s="181" t="s">
        <v>2</v>
      </c>
      <c r="C38" s="182"/>
      <c r="D38" s="14">
        <f>IF(F3="1",SUMIF(Data!A:A,'14'!$A$2,Data!CW:CW),0)</f>
        <v>2234528</v>
      </c>
      <c r="E38" s="17">
        <f>IF($F$3="1",SUMIF(Data!$A:$A,$A$2,Data!IQ:IQ),0)</f>
        <v>3393092</v>
      </c>
      <c r="F38" s="21">
        <f t="shared" si="3"/>
        <v>1.52</v>
      </c>
    </row>
    <row r="39" spans="1:6" ht="14.25" customHeight="1" x14ac:dyDescent="0.2">
      <c r="A39" s="19">
        <v>4</v>
      </c>
      <c r="B39" s="181" t="s">
        <v>3</v>
      </c>
      <c r="C39" s="182"/>
      <c r="D39" s="14">
        <f>IF(F3="1",SUMIF(Data!A:A,'14'!$A$2,Data!CX:CX),0)</f>
        <v>2546994</v>
      </c>
      <c r="E39" s="17">
        <f>IF($F$3="1",SUMIF(Data!$A:$A,$A$2,Data!IR:IR),0)</f>
        <v>3855301</v>
      </c>
      <c r="F39" s="21">
        <f t="shared" si="3"/>
        <v>1.51</v>
      </c>
    </row>
    <row r="40" spans="1:6" x14ac:dyDescent="0.2">
      <c r="A40" s="19">
        <v>5</v>
      </c>
      <c r="B40" s="181" t="s">
        <v>4</v>
      </c>
      <c r="C40" s="182"/>
      <c r="D40" s="14">
        <f>IF(F3="1",SUMIF(Data!A:A,'14'!$A$2,Data!CY:CY),0)</f>
        <v>25872</v>
      </c>
      <c r="E40" s="17">
        <f>IF($F$3="1",SUMIF(Data!$A:$A,$A$2,Data!IS:IS),0)</f>
        <v>32405</v>
      </c>
      <c r="F40" s="21">
        <f t="shared" si="3"/>
        <v>1.25</v>
      </c>
    </row>
    <row r="41" spans="1:6" x14ac:dyDescent="0.2">
      <c r="A41" s="19">
        <v>6</v>
      </c>
      <c r="B41" s="181" t="s">
        <v>5</v>
      </c>
      <c r="C41" s="182"/>
      <c r="D41" s="14">
        <f>IF(F3="1",SUMIF(Data!A:A,'14'!$A$2,Data!CZ:CZ),0)</f>
        <v>341822</v>
      </c>
      <c r="E41" s="17">
        <f>IF($F$3="1",SUMIF(Data!$A:$A,$A$2,Data!IT:IT),0)</f>
        <v>2573004</v>
      </c>
      <c r="F41" s="21">
        <f t="shared" si="3"/>
        <v>7.53</v>
      </c>
    </row>
    <row r="42" spans="1:6" x14ac:dyDescent="0.2">
      <c r="A42" s="19">
        <v>7</v>
      </c>
      <c r="B42" s="181" t="s">
        <v>6</v>
      </c>
      <c r="C42" s="182"/>
      <c r="D42" s="14">
        <f>IF(F3="1",SUMIF(Data!A:A,'14'!$A$2,Data!DA:DA),0)</f>
        <v>2063057</v>
      </c>
      <c r="E42" s="17">
        <f>IF($F$3="1",SUMIF(Data!$A:$A,$A$2,Data!IU:IU),0)</f>
        <v>3367948</v>
      </c>
      <c r="F42" s="21">
        <f t="shared" si="3"/>
        <v>1.63</v>
      </c>
    </row>
    <row r="43" spans="1:6" x14ac:dyDescent="0.2">
      <c r="A43" s="19">
        <v>8</v>
      </c>
      <c r="B43" s="181" t="s">
        <v>7</v>
      </c>
      <c r="C43" s="182"/>
      <c r="D43" s="14">
        <f>IF(F3="1",SUMIF(Data!A:A,'14'!$A$2,Data!DB:DB),0)</f>
        <v>186540</v>
      </c>
      <c r="E43" s="17">
        <f>IF($F$3="1",SUMIF(Data!$A:$A,$A$2,Data!IV:IV),0)</f>
        <v>1187712</v>
      </c>
      <c r="F43" s="21">
        <f t="shared" si="3"/>
        <v>6.37</v>
      </c>
    </row>
    <row r="44" spans="1:6" x14ac:dyDescent="0.2">
      <c r="A44" s="19">
        <v>9</v>
      </c>
      <c r="B44" s="181" t="s">
        <v>8</v>
      </c>
      <c r="C44" s="182"/>
      <c r="D44" s="14">
        <f>IF(F3="1",SUMIF(Data!A:A,'14'!$A$2,Data!DC:DC),0)</f>
        <v>581011</v>
      </c>
      <c r="E44" s="17">
        <f>IF($F$3="1",SUMIF(Data!$A:$A,$A$2,Data!IW:IW),0)</f>
        <v>395997</v>
      </c>
      <c r="F44" s="21">
        <f t="shared" si="3"/>
        <v>0.68</v>
      </c>
    </row>
    <row r="45" spans="1:6" x14ac:dyDescent="0.2">
      <c r="A45" s="19">
        <v>10</v>
      </c>
      <c r="B45" s="181" t="s">
        <v>9</v>
      </c>
      <c r="C45" s="182"/>
      <c r="D45" s="14">
        <f>IF(F3="1",SUMIF(Data!A:A,'14'!$A$2,Data!DD:DD),0)</f>
        <v>4528</v>
      </c>
      <c r="E45" s="17">
        <f>IF($F$3="1",SUMIF(Data!$A:$A,$A$2,Data!IX:IX),0)</f>
        <v>912</v>
      </c>
      <c r="F45" s="21">
        <f t="shared" si="3"/>
        <v>0.2</v>
      </c>
    </row>
    <row r="46" spans="1:6" x14ac:dyDescent="0.2">
      <c r="A46" s="19">
        <v>11</v>
      </c>
      <c r="B46" s="181" t="s">
        <v>10</v>
      </c>
      <c r="C46" s="182"/>
      <c r="D46" s="14">
        <f>IF(F3="1",SUMIF(Data!A:A,'14'!$A$2,Data!DE:DE),0)</f>
        <v>634508</v>
      </c>
      <c r="E46" s="17">
        <f>IF($F$3="1",SUMIF(Data!$A:$A,$A$2,Data!IY:IY),0)</f>
        <v>710368</v>
      </c>
      <c r="F46" s="21">
        <f t="shared" si="3"/>
        <v>1.1200000000000001</v>
      </c>
    </row>
    <row r="47" spans="1:6" ht="14.25" customHeight="1" x14ac:dyDescent="0.2">
      <c r="A47" s="19">
        <v>12</v>
      </c>
      <c r="B47" s="181" t="s">
        <v>11</v>
      </c>
      <c r="C47" s="182"/>
      <c r="D47" s="14">
        <f>IF(F3="1",SUMIF(Data!A:A,'14'!$A$2,Data!DF:DF),0)</f>
        <v>5294213</v>
      </c>
      <c r="E47" s="17">
        <f>IF($F$3="1",SUMIF(Data!$A:$A,$A$2,Data!IZ:IZ),0)</f>
        <v>5891381</v>
      </c>
      <c r="F47" s="21">
        <f t="shared" si="3"/>
        <v>1.1100000000000001</v>
      </c>
    </row>
    <row r="48" spans="1:6" x14ac:dyDescent="0.2">
      <c r="A48" s="19">
        <v>13</v>
      </c>
      <c r="B48" s="181" t="s">
        <v>12</v>
      </c>
      <c r="C48" s="182"/>
      <c r="D48" s="14">
        <f>IF(F3="1",SUMIF(Data!A:A,'14'!$A$2,Data!DG:DG),0)</f>
        <v>508626</v>
      </c>
      <c r="E48" s="17">
        <f>IF($F$3="1",SUMIF(Data!$A:$A,$A$2,Data!JA:JA),0)</f>
        <v>400864</v>
      </c>
      <c r="F48" s="21">
        <f t="shared" si="3"/>
        <v>0.79</v>
      </c>
    </row>
    <row r="49" spans="1:6" ht="14.25" customHeight="1" x14ac:dyDescent="0.2">
      <c r="A49" s="19">
        <v>14</v>
      </c>
      <c r="B49" s="181" t="s">
        <v>464</v>
      </c>
      <c r="C49" s="182"/>
      <c r="D49" s="14">
        <f>IF(F3="1",SUMIF(Data!A:A,'14'!$A$2,Data!DH:DH),0)</f>
        <v>272900</v>
      </c>
      <c r="E49" s="17">
        <f>IF($F$3="1",SUMIF(Data!$A:$A,$A$2,Data!JB:JB),0)</f>
        <v>643596</v>
      </c>
      <c r="F49" s="21">
        <f t="shared" si="3"/>
        <v>2.36</v>
      </c>
    </row>
    <row r="50" spans="1:6" x14ac:dyDescent="0.2">
      <c r="A50" s="19">
        <v>15</v>
      </c>
      <c r="B50" s="181" t="s">
        <v>13</v>
      </c>
      <c r="C50" s="182"/>
      <c r="D50" s="14">
        <f>IF(F3="1",SUMIF(Data!A:A,'14'!$A$2,Data!DI:DI),0)</f>
        <v>0</v>
      </c>
      <c r="E50" s="17">
        <f>IF($F$3="1",SUMIF(Data!$A:$A,$A$2,Data!JC:JC),0)</f>
        <v>0</v>
      </c>
      <c r="F50" s="21" t="str">
        <f t="shared" si="3"/>
        <v/>
      </c>
    </row>
    <row r="51" spans="1:6" x14ac:dyDescent="0.2">
      <c r="A51" s="19">
        <v>16</v>
      </c>
      <c r="B51" s="181" t="s">
        <v>14</v>
      </c>
      <c r="C51" s="182"/>
      <c r="D51" s="14">
        <f>IF(F3="1",SUMIF(Data!A:A,'14'!$A$2,Data!DJ:DJ),0)</f>
        <v>551317</v>
      </c>
      <c r="E51" s="17">
        <f>IF($F$3="1",SUMIF(Data!$A:$A,$A$2,Data!JD:JD),0)</f>
        <v>1533186</v>
      </c>
      <c r="F51" s="21">
        <f t="shared" si="3"/>
        <v>2.78</v>
      </c>
    </row>
    <row r="52" spans="1:6" x14ac:dyDescent="0.2">
      <c r="A52" s="19">
        <v>17</v>
      </c>
      <c r="B52" s="181" t="s">
        <v>15</v>
      </c>
      <c r="C52" s="182"/>
      <c r="D52" s="14">
        <f>IF(F3="1",SUMIF(Data!A:A,'14'!$A$2,Data!DK:DK),0)</f>
        <v>52240</v>
      </c>
      <c r="E52" s="17">
        <f>IF($F$3="1",SUMIF(Data!$A:$A,$A$2,Data!JE:JE),0)</f>
        <v>62472</v>
      </c>
      <c r="F52" s="21">
        <f t="shared" si="3"/>
        <v>1.2</v>
      </c>
    </row>
    <row r="53" spans="1:6" x14ac:dyDescent="0.2">
      <c r="A53" s="19">
        <v>18</v>
      </c>
      <c r="B53" s="181" t="s">
        <v>16</v>
      </c>
      <c r="C53" s="182"/>
      <c r="D53" s="14">
        <f>IF(F3="1",SUMIF(Data!A:A,'14'!$A$2,Data!DL:DL),0)</f>
        <v>23264</v>
      </c>
      <c r="E53" s="17">
        <f>IF($F$3="1",SUMIF(Data!$A:$A,$A$2,Data!JF:JF),0)</f>
        <v>39861</v>
      </c>
      <c r="F53" s="21">
        <f t="shared" si="3"/>
        <v>1.71</v>
      </c>
    </row>
    <row r="54" spans="1:6" x14ac:dyDescent="0.2">
      <c r="A54" s="19">
        <v>19</v>
      </c>
      <c r="B54" s="181" t="s">
        <v>17</v>
      </c>
      <c r="C54" s="182"/>
      <c r="D54" s="14">
        <f>IF(F3="1",SUMIF(Data!A:A,'14'!$A$2,Data!DM:DM),0)</f>
        <v>2616440</v>
      </c>
      <c r="E54" s="17">
        <f>IF($F$3="1",SUMIF(Data!$A:$A,$A$2,Data!JG:JG),0)</f>
        <v>1545903</v>
      </c>
      <c r="F54" s="21">
        <f t="shared" si="3"/>
        <v>0.59</v>
      </c>
    </row>
    <row r="55" spans="1:6" x14ac:dyDescent="0.2">
      <c r="A55" s="19">
        <v>20</v>
      </c>
      <c r="B55" s="181" t="s">
        <v>18</v>
      </c>
      <c r="C55" s="182"/>
      <c r="D55" s="14">
        <f>IF(F3="1",SUMIF(Data!A:A,'14'!$A$2,Data!DN:DN),0)</f>
        <v>383834</v>
      </c>
      <c r="E55" s="17">
        <f>IF($F$3="1",SUMIF(Data!$A:$A,$A$2,Data!JH:JH),0)</f>
        <v>728954</v>
      </c>
      <c r="F55" s="21">
        <f t="shared" si="3"/>
        <v>1.9</v>
      </c>
    </row>
    <row r="56" spans="1:6" ht="14.25" customHeight="1" x14ac:dyDescent="0.2">
      <c r="A56" s="19">
        <v>21</v>
      </c>
      <c r="B56" s="181" t="s">
        <v>461</v>
      </c>
      <c r="C56" s="182"/>
      <c r="D56" s="14">
        <f>IF(F3="1",SUMIF(Data!A:A,'14'!$A$2,Data!DO:DO),0)</f>
        <v>164732</v>
      </c>
      <c r="E56" s="17">
        <f>IF($F$3="1",SUMIF(Data!$A:$A,$A$2,Data!JI:JI),0)</f>
        <v>182763</v>
      </c>
      <c r="F56" s="21">
        <f t="shared" si="3"/>
        <v>1.1100000000000001</v>
      </c>
    </row>
    <row r="57" spans="1:6" x14ac:dyDescent="0.2">
      <c r="A57" s="19">
        <v>22</v>
      </c>
      <c r="B57" s="181" t="s">
        <v>19</v>
      </c>
      <c r="C57" s="182"/>
      <c r="D57" s="14">
        <f>IF(F3="1",SUMIF(Data!A:A,'14'!$A$2,Data!DP:DP),0)</f>
        <v>45282</v>
      </c>
      <c r="E57" s="17">
        <f>IF($F$3="1",SUMIF(Data!$A:$A,$A$2,Data!JJ:JJ),0)</f>
        <v>214080</v>
      </c>
      <c r="F57" s="21">
        <f t="shared" si="3"/>
        <v>4.7300000000000004</v>
      </c>
    </row>
    <row r="58" spans="1:6" x14ac:dyDescent="0.2">
      <c r="A58" s="19">
        <v>23</v>
      </c>
      <c r="B58" s="181" t="s">
        <v>20</v>
      </c>
      <c r="C58" s="182"/>
      <c r="D58" s="14">
        <f>IF(F3="1",SUMIF(Data!A:A,'14'!$A$2,Data!DQ:DQ),0)</f>
        <v>551496</v>
      </c>
      <c r="E58" s="17">
        <f>IF($F$3="1",SUMIF(Data!$A:$A,$A$2,Data!JK:JK),0)</f>
        <v>1001397</v>
      </c>
      <c r="F58" s="21">
        <f t="shared" si="3"/>
        <v>1.82</v>
      </c>
    </row>
    <row r="59" spans="1:6" x14ac:dyDescent="0.2">
      <c r="A59" s="19">
        <v>24</v>
      </c>
      <c r="B59" s="181" t="s">
        <v>21</v>
      </c>
      <c r="C59" s="182"/>
      <c r="D59" s="14">
        <f>IF(F3="1",SUMIF(Data!A:A,'14'!$A$2,Data!DR:DR),0)</f>
        <v>671361</v>
      </c>
      <c r="E59" s="17">
        <f>IF($F$3="1",SUMIF(Data!$A:$A,$A$2,Data!JL:JL),0)</f>
        <v>922778</v>
      </c>
      <c r="F59" s="21">
        <f t="shared" si="3"/>
        <v>1.37</v>
      </c>
    </row>
    <row r="60" spans="1:6" x14ac:dyDescent="0.2">
      <c r="A60" s="19">
        <v>25</v>
      </c>
      <c r="B60" s="181" t="s">
        <v>22</v>
      </c>
      <c r="C60" s="182"/>
      <c r="D60" s="14">
        <f>IF(F3="1",SUMIF(Data!A:A,'14'!$A$2,Data!DS:DS),0)</f>
        <v>3322520</v>
      </c>
      <c r="E60" s="17">
        <f>IF($F$3="1",SUMIF(Data!$A:$A,$A$2,Data!JM:JM),0)</f>
        <v>2049886</v>
      </c>
      <c r="F60" s="21">
        <f t="shared" si="3"/>
        <v>0.62</v>
      </c>
    </row>
    <row r="61" spans="1:6" x14ac:dyDescent="0.2">
      <c r="A61" s="19">
        <v>26</v>
      </c>
      <c r="B61" s="181" t="s">
        <v>23</v>
      </c>
      <c r="C61" s="182"/>
      <c r="D61" s="14">
        <f>IF(F3="1",SUMIF(Data!A:A,'14'!$A$2,Data!DT:DT),0)</f>
        <v>1124266</v>
      </c>
      <c r="E61" s="17">
        <f>IF($F$3="1",SUMIF(Data!$A:$A,$A$2,Data!JN:JN),0)</f>
        <v>1775440</v>
      </c>
      <c r="F61" s="21">
        <f t="shared" si="3"/>
        <v>1.58</v>
      </c>
    </row>
    <row r="62" spans="1:6" x14ac:dyDescent="0.2">
      <c r="A62" s="19">
        <v>28</v>
      </c>
      <c r="B62" s="181" t="s">
        <v>24</v>
      </c>
      <c r="C62" s="182"/>
      <c r="D62" s="14">
        <f>IF(F3="1",SUMIF(Data!A:A,'14'!$A$2,Data!DV:DV),0)</f>
        <v>0</v>
      </c>
      <c r="E62" s="17">
        <f>IF($F$3="1",SUMIF(Data!$A:$A,$A$2,Data!JP:JP),0)</f>
        <v>0</v>
      </c>
      <c r="F62" s="21" t="str">
        <f t="shared" si="3"/>
        <v/>
      </c>
    </row>
    <row r="63" spans="1:6" ht="15.75" customHeight="1" thickBot="1" x14ac:dyDescent="0.25">
      <c r="A63" s="22">
        <v>29</v>
      </c>
      <c r="B63" s="183" t="s">
        <v>25</v>
      </c>
      <c r="C63" s="184"/>
      <c r="D63" s="23">
        <f>IF(F3="1",SUMIF(Data!A:A,'14'!$A$2,Data!DW:DW),0)</f>
        <v>0</v>
      </c>
      <c r="E63" s="24">
        <f>IF($F$3="1",SUMIF(Data!$A:$A,$A$2,Data!JQ:JQ),0)</f>
        <v>0</v>
      </c>
      <c r="F63" s="25" t="str">
        <f t="shared" si="3"/>
        <v/>
      </c>
    </row>
    <row r="64" spans="1:6" x14ac:dyDescent="0.2">
      <c r="B64" s="30" t="s">
        <v>35</v>
      </c>
      <c r="C64" s="30"/>
      <c r="D64" s="59">
        <f>SUM(D36:D63)</f>
        <v>24609358</v>
      </c>
      <c r="E64" s="31">
        <f>SUM(E36:E63)</f>
        <v>33445901</v>
      </c>
      <c r="F64" s="32">
        <f t="shared" si="3"/>
        <v>1.36</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88780</v>
      </c>
      <c r="E67" s="15">
        <f>IF(F3="1",SUMIF(Data!A:A,'14'!$A$2,Data!DY:DY),0)</f>
        <v>548881</v>
      </c>
      <c r="F67" s="20">
        <f t="shared" ref="F67:F95" si="4">IF(OR(D67=0,E67=0),"",ROUND(E67/D67,2))</f>
        <v>6.18</v>
      </c>
    </row>
    <row r="68" spans="1:6" x14ac:dyDescent="0.2">
      <c r="A68" s="19">
        <v>2</v>
      </c>
      <c r="B68" s="181" t="s">
        <v>1</v>
      </c>
      <c r="C68" s="182"/>
      <c r="D68" s="14">
        <f t="shared" ref="D68:D94" si="5">D37</f>
        <v>319227</v>
      </c>
      <c r="E68" s="17">
        <f>IF(F3="1",SUMIF(Data!A:A,'14'!$A$2,Data!DZ:DZ),0)</f>
        <v>437176</v>
      </c>
      <c r="F68" s="21">
        <f t="shared" si="4"/>
        <v>1.37</v>
      </c>
    </row>
    <row r="69" spans="1:6" ht="14.25" customHeight="1" x14ac:dyDescent="0.2">
      <c r="A69" s="19">
        <v>3</v>
      </c>
      <c r="B69" s="181" t="s">
        <v>2</v>
      </c>
      <c r="C69" s="182"/>
      <c r="D69" s="14">
        <f t="shared" si="5"/>
        <v>2234528</v>
      </c>
      <c r="E69" s="17">
        <f>IF(F3="1",SUMIF(Data!A:A,'14'!$A$2,Data!EA:EA),0)</f>
        <v>4913055</v>
      </c>
      <c r="F69" s="21">
        <f t="shared" si="4"/>
        <v>2.2000000000000002</v>
      </c>
    </row>
    <row r="70" spans="1:6" ht="14.25" customHeight="1" x14ac:dyDescent="0.2">
      <c r="A70" s="19">
        <v>4</v>
      </c>
      <c r="B70" s="181" t="s">
        <v>3</v>
      </c>
      <c r="C70" s="182"/>
      <c r="D70" s="14">
        <f t="shared" si="5"/>
        <v>2546994</v>
      </c>
      <c r="E70" s="17">
        <f>IF(F3="1",SUMIF(Data!A:A,'14'!$A$2,Data!EB:EB),0)</f>
        <v>6269941</v>
      </c>
      <c r="F70" s="21">
        <f t="shared" si="4"/>
        <v>2.46</v>
      </c>
    </row>
    <row r="71" spans="1:6" x14ac:dyDescent="0.2">
      <c r="A71" s="19">
        <v>5</v>
      </c>
      <c r="B71" s="181" t="s">
        <v>4</v>
      </c>
      <c r="C71" s="182"/>
      <c r="D71" s="14">
        <f t="shared" si="5"/>
        <v>25872</v>
      </c>
      <c r="E71" s="17">
        <f>IF(F3="1",SUMIF(Data!A:A,'14'!$A$2,Data!EC:EC),0)</f>
        <v>118578</v>
      </c>
      <c r="F71" s="21">
        <f t="shared" si="4"/>
        <v>4.58</v>
      </c>
    </row>
    <row r="72" spans="1:6" x14ac:dyDescent="0.2">
      <c r="A72" s="19">
        <v>6</v>
      </c>
      <c r="B72" s="181" t="s">
        <v>5</v>
      </c>
      <c r="C72" s="182"/>
      <c r="D72" s="14">
        <f t="shared" si="5"/>
        <v>341822</v>
      </c>
      <c r="E72" s="17">
        <f>IF(F3="1",SUMIF(Data!A:A,'14'!$A$2,Data!ED:ED),0)</f>
        <v>630813</v>
      </c>
      <c r="F72" s="21">
        <f t="shared" si="4"/>
        <v>1.85</v>
      </c>
    </row>
    <row r="73" spans="1:6" x14ac:dyDescent="0.2">
      <c r="A73" s="19">
        <v>7</v>
      </c>
      <c r="B73" s="181" t="s">
        <v>6</v>
      </c>
      <c r="C73" s="182"/>
      <c r="D73" s="14">
        <f t="shared" si="5"/>
        <v>2063057</v>
      </c>
      <c r="E73" s="17">
        <f>IF(F3="1",SUMIF(Data!A:A,'14'!$A$2,Data!EE:EE),0)</f>
        <v>7248242</v>
      </c>
      <c r="F73" s="21">
        <f t="shared" si="4"/>
        <v>3.51</v>
      </c>
    </row>
    <row r="74" spans="1:6" x14ac:dyDescent="0.2">
      <c r="A74" s="19">
        <v>8</v>
      </c>
      <c r="B74" s="181" t="s">
        <v>7</v>
      </c>
      <c r="C74" s="182"/>
      <c r="D74" s="14">
        <f t="shared" si="5"/>
        <v>186540</v>
      </c>
      <c r="E74" s="17">
        <f>IF(F3="1",SUMIF(Data!A:A,'14'!$A$2,Data!EF:EF),0)</f>
        <v>738667</v>
      </c>
      <c r="F74" s="21">
        <f t="shared" si="4"/>
        <v>3.96</v>
      </c>
    </row>
    <row r="75" spans="1:6" x14ac:dyDescent="0.2">
      <c r="A75" s="19">
        <v>9</v>
      </c>
      <c r="B75" s="181" t="s">
        <v>8</v>
      </c>
      <c r="C75" s="182"/>
      <c r="D75" s="14">
        <f t="shared" si="5"/>
        <v>581011</v>
      </c>
      <c r="E75" s="17">
        <f>IF(F3="1",SUMIF(Data!A:A,'14'!$A$2,Data!EG:EG),0)</f>
        <v>993427</v>
      </c>
      <c r="F75" s="21">
        <f t="shared" si="4"/>
        <v>1.71</v>
      </c>
    </row>
    <row r="76" spans="1:6" x14ac:dyDescent="0.2">
      <c r="A76" s="19">
        <v>10</v>
      </c>
      <c r="B76" s="181" t="s">
        <v>9</v>
      </c>
      <c r="C76" s="182"/>
      <c r="D76" s="14">
        <f t="shared" si="5"/>
        <v>4528</v>
      </c>
      <c r="E76" s="17">
        <f>IF(F3="1",SUMIF(Data!A:A,'14'!$A$2,Data!EH:EH),0)</f>
        <v>11305</v>
      </c>
      <c r="F76" s="21">
        <f t="shared" si="4"/>
        <v>2.5</v>
      </c>
    </row>
    <row r="77" spans="1:6" x14ac:dyDescent="0.2">
      <c r="A77" s="19">
        <v>11</v>
      </c>
      <c r="B77" s="181" t="s">
        <v>10</v>
      </c>
      <c r="C77" s="182"/>
      <c r="D77" s="14">
        <f t="shared" si="5"/>
        <v>634508</v>
      </c>
      <c r="E77" s="17">
        <f>IF(F3="1",SUMIF(Data!A:A,'14'!$A$2,Data!EI:EI),0)</f>
        <v>874582</v>
      </c>
      <c r="F77" s="21">
        <f t="shared" si="4"/>
        <v>1.38</v>
      </c>
    </row>
    <row r="78" spans="1:6" ht="14.25" customHeight="1" x14ac:dyDescent="0.2">
      <c r="A78" s="19">
        <v>12</v>
      </c>
      <c r="B78" s="181" t="s">
        <v>11</v>
      </c>
      <c r="C78" s="182"/>
      <c r="D78" s="14">
        <f t="shared" si="5"/>
        <v>5294213</v>
      </c>
      <c r="E78" s="17">
        <f>IF(F3="1",SUMIF(Data!A:A,'14'!$A$2,Data!EJ:EJ),0)</f>
        <v>14201526</v>
      </c>
      <c r="F78" s="21">
        <f t="shared" si="4"/>
        <v>2.68</v>
      </c>
    </row>
    <row r="79" spans="1:6" x14ac:dyDescent="0.2">
      <c r="A79" s="19">
        <v>13</v>
      </c>
      <c r="B79" s="181" t="s">
        <v>12</v>
      </c>
      <c r="C79" s="182"/>
      <c r="D79" s="14">
        <f t="shared" si="5"/>
        <v>508626</v>
      </c>
      <c r="E79" s="17">
        <f>IF(F3="1",SUMIF(Data!A:A,'14'!$A$2,Data!EK:EK),0)</f>
        <v>1442574</v>
      </c>
      <c r="F79" s="21">
        <f t="shared" si="4"/>
        <v>2.84</v>
      </c>
    </row>
    <row r="80" spans="1:6" ht="14.25" customHeight="1" x14ac:dyDescent="0.2">
      <c r="A80" s="19">
        <v>14</v>
      </c>
      <c r="B80" s="181" t="s">
        <v>464</v>
      </c>
      <c r="C80" s="182"/>
      <c r="D80" s="14">
        <f t="shared" si="5"/>
        <v>272900</v>
      </c>
      <c r="E80" s="17">
        <f>IF(F3="1",SUMIF(Data!A:A,'14'!$A$2,Data!EL:EL),0)</f>
        <v>1611446</v>
      </c>
      <c r="F80" s="21">
        <f t="shared" si="4"/>
        <v>5.9</v>
      </c>
    </row>
    <row r="81" spans="1:6" x14ac:dyDescent="0.2">
      <c r="A81" s="19">
        <v>15</v>
      </c>
      <c r="B81" s="181" t="s">
        <v>13</v>
      </c>
      <c r="C81" s="182"/>
      <c r="D81" s="14">
        <f t="shared" si="5"/>
        <v>0</v>
      </c>
      <c r="E81" s="17">
        <f>IF(F3="1",SUMIF(Data!A:A,'14'!$A$2,Data!EM:EM),0)</f>
        <v>0</v>
      </c>
      <c r="F81" s="21" t="str">
        <f t="shared" si="4"/>
        <v/>
      </c>
    </row>
    <row r="82" spans="1:6" x14ac:dyDescent="0.2">
      <c r="A82" s="19">
        <v>16</v>
      </c>
      <c r="B82" s="181" t="s">
        <v>14</v>
      </c>
      <c r="C82" s="182"/>
      <c r="D82" s="14">
        <f t="shared" si="5"/>
        <v>551317</v>
      </c>
      <c r="E82" s="17">
        <f>IF(F3="1",SUMIF(Data!A:A,'14'!$A$2,Data!EN:EN),0)</f>
        <v>1142869</v>
      </c>
      <c r="F82" s="21">
        <f t="shared" si="4"/>
        <v>2.0699999999999998</v>
      </c>
    </row>
    <row r="83" spans="1:6" x14ac:dyDescent="0.2">
      <c r="A83" s="19">
        <v>17</v>
      </c>
      <c r="B83" s="181" t="s">
        <v>15</v>
      </c>
      <c r="C83" s="182"/>
      <c r="D83" s="14">
        <f t="shared" si="5"/>
        <v>52240</v>
      </c>
      <c r="E83" s="17">
        <f>IF(F3="1",SUMIF(Data!A:A,'14'!$A$2,Data!EO:EO),0)</f>
        <v>169442</v>
      </c>
      <c r="F83" s="21">
        <f t="shared" si="4"/>
        <v>3.24</v>
      </c>
    </row>
    <row r="84" spans="1:6" x14ac:dyDescent="0.2">
      <c r="A84" s="19">
        <v>18</v>
      </c>
      <c r="B84" s="181" t="s">
        <v>16</v>
      </c>
      <c r="C84" s="182"/>
      <c r="D84" s="14">
        <f t="shared" si="5"/>
        <v>23264</v>
      </c>
      <c r="E84" s="17">
        <f>IF(F3="1",SUMIF(Data!A:A,'14'!$A$2,Data!EP:EP),0)</f>
        <v>216662</v>
      </c>
      <c r="F84" s="21">
        <f t="shared" si="4"/>
        <v>9.31</v>
      </c>
    </row>
    <row r="85" spans="1:6" x14ac:dyDescent="0.2">
      <c r="A85" s="19">
        <v>19</v>
      </c>
      <c r="B85" s="181" t="s">
        <v>17</v>
      </c>
      <c r="C85" s="182"/>
      <c r="D85" s="14">
        <f t="shared" si="5"/>
        <v>2616440</v>
      </c>
      <c r="E85" s="17">
        <f>IF(F3="1",SUMIF(Data!A:A,'14'!$A$2,Data!EQ:EQ),0)</f>
        <v>6205513</v>
      </c>
      <c r="F85" s="21">
        <f t="shared" si="4"/>
        <v>2.37</v>
      </c>
    </row>
    <row r="86" spans="1:6" x14ac:dyDescent="0.2">
      <c r="A86" s="19">
        <v>20</v>
      </c>
      <c r="B86" s="181" t="s">
        <v>18</v>
      </c>
      <c r="C86" s="182"/>
      <c r="D86" s="14">
        <f t="shared" si="5"/>
        <v>383834</v>
      </c>
      <c r="E86" s="17">
        <f>IF(F3="1",SUMIF(Data!A:A,'14'!$A$2,Data!ER:ER),0)</f>
        <v>1628491</v>
      </c>
      <c r="F86" s="21">
        <f t="shared" si="4"/>
        <v>4.24</v>
      </c>
    </row>
    <row r="87" spans="1:6" ht="14.25" customHeight="1" x14ac:dyDescent="0.2">
      <c r="A87" s="19">
        <v>21</v>
      </c>
      <c r="B87" s="181" t="s">
        <v>461</v>
      </c>
      <c r="C87" s="182"/>
      <c r="D87" s="14">
        <f t="shared" si="5"/>
        <v>164732</v>
      </c>
      <c r="E87" s="17">
        <f>IF(F3="1",SUMIF(Data!A:A,'14'!$A$2,Data!ES:ES),0)</f>
        <v>206561</v>
      </c>
      <c r="F87" s="21">
        <f t="shared" si="4"/>
        <v>1.25</v>
      </c>
    </row>
    <row r="88" spans="1:6" x14ac:dyDescent="0.2">
      <c r="A88" s="19">
        <v>22</v>
      </c>
      <c r="B88" s="181" t="s">
        <v>19</v>
      </c>
      <c r="C88" s="182"/>
      <c r="D88" s="14">
        <f t="shared" si="5"/>
        <v>45282</v>
      </c>
      <c r="E88" s="17">
        <f>IF(F3="1",SUMIF(Data!A:A,'14'!$A$2,Data!ET:ET),0)</f>
        <v>615215</v>
      </c>
      <c r="F88" s="21">
        <f t="shared" si="4"/>
        <v>13.59</v>
      </c>
    </row>
    <row r="89" spans="1:6" x14ac:dyDescent="0.2">
      <c r="A89" s="19">
        <v>23</v>
      </c>
      <c r="B89" s="181" t="s">
        <v>20</v>
      </c>
      <c r="C89" s="182"/>
      <c r="D89" s="14">
        <f t="shared" si="5"/>
        <v>551496</v>
      </c>
      <c r="E89" s="17">
        <f>IF(F3="1",SUMIF(Data!A:A,'14'!$A$2,Data!EU:EU),0)</f>
        <v>1864171</v>
      </c>
      <c r="F89" s="21">
        <f t="shared" si="4"/>
        <v>3.38</v>
      </c>
    </row>
    <row r="90" spans="1:6" x14ac:dyDescent="0.2">
      <c r="A90" s="19">
        <v>24</v>
      </c>
      <c r="B90" s="181" t="s">
        <v>21</v>
      </c>
      <c r="C90" s="182"/>
      <c r="D90" s="14">
        <f t="shared" si="5"/>
        <v>671361</v>
      </c>
      <c r="E90" s="17">
        <f>IF(F3="1",SUMIF(Data!A:A,'14'!$A$2,Data!EV:EV),0)</f>
        <v>871938</v>
      </c>
      <c r="F90" s="21">
        <f t="shared" si="4"/>
        <v>1.3</v>
      </c>
    </row>
    <row r="91" spans="1:6" x14ac:dyDescent="0.2">
      <c r="A91" s="19">
        <v>25</v>
      </c>
      <c r="B91" s="181" t="s">
        <v>22</v>
      </c>
      <c r="C91" s="182"/>
      <c r="D91" s="14">
        <f t="shared" si="5"/>
        <v>3322520</v>
      </c>
      <c r="E91" s="17">
        <f>IF(F3="1",SUMIF(Data!A:A,'14'!$A$2,Data!EW:EW),0)</f>
        <v>7614644</v>
      </c>
      <c r="F91" s="21">
        <f t="shared" si="4"/>
        <v>2.29</v>
      </c>
    </row>
    <row r="92" spans="1:6" x14ac:dyDescent="0.2">
      <c r="A92" s="19">
        <v>26</v>
      </c>
      <c r="B92" s="181" t="s">
        <v>23</v>
      </c>
      <c r="C92" s="182"/>
      <c r="D92" s="14">
        <f t="shared" si="5"/>
        <v>1124266</v>
      </c>
      <c r="E92" s="17">
        <f>IF(F3="1",SUMIF(Data!A:A,'14'!$A$2,Data!EX:EX),0)</f>
        <v>4677925</v>
      </c>
      <c r="F92" s="21">
        <f t="shared" si="4"/>
        <v>4.16</v>
      </c>
    </row>
    <row r="93" spans="1:6" x14ac:dyDescent="0.2">
      <c r="A93" s="19">
        <v>28</v>
      </c>
      <c r="B93" s="181" t="s">
        <v>24</v>
      </c>
      <c r="C93" s="182"/>
      <c r="D93" s="14">
        <f t="shared" si="5"/>
        <v>0</v>
      </c>
      <c r="E93" s="17">
        <f>IF(F3="1",SUMIF(Data!A:A,'14'!$A$2,Data!EZ:EZ),0)</f>
        <v>0</v>
      </c>
      <c r="F93" s="21" t="str">
        <f t="shared" si="4"/>
        <v/>
      </c>
    </row>
    <row r="94" spans="1:6" ht="15.75" customHeight="1" thickBot="1" x14ac:dyDescent="0.25">
      <c r="A94" s="22">
        <v>29</v>
      </c>
      <c r="B94" s="183" t="s">
        <v>25</v>
      </c>
      <c r="C94" s="184"/>
      <c r="D94" s="23">
        <f t="shared" si="5"/>
        <v>0</v>
      </c>
      <c r="E94" s="24">
        <f>IF(F3="1",SUMIF(Data!A:A,'14'!$A$2,Data!FA:FA),0)</f>
        <v>0</v>
      </c>
      <c r="F94" s="25" t="str">
        <f t="shared" si="4"/>
        <v/>
      </c>
    </row>
    <row r="95" spans="1:6" x14ac:dyDescent="0.2">
      <c r="B95" s="30" t="s">
        <v>35</v>
      </c>
      <c r="C95" s="30"/>
      <c r="D95" s="59">
        <f>SUM(D67:D94)</f>
        <v>24609358</v>
      </c>
      <c r="E95" s="31">
        <f>SUM(E67:E94)</f>
        <v>65253644</v>
      </c>
      <c r="F95" s="32">
        <f t="shared" si="4"/>
        <v>2.65</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IF(F3="1",SUMIF(Data!A:A,'14'!$A$2,Data!AH:AH),0)</f>
        <v>46514521</v>
      </c>
      <c r="F98" s="20">
        <f>IF(OR(E98=0,E98=0),"",ROUND(E98/$D$105,2))</f>
        <v>1.89</v>
      </c>
    </row>
    <row r="99" spans="2:6" x14ac:dyDescent="0.2">
      <c r="B99" s="187" t="s">
        <v>31</v>
      </c>
      <c r="C99" s="188"/>
      <c r="D99" s="36"/>
      <c r="E99" s="17">
        <f>IF(F3="1",SUMIF(Data!A:A,'14'!$A$2,Data!AI:AI),0)</f>
        <v>17743112</v>
      </c>
      <c r="F99" s="21">
        <f t="shared" ref="F99:F104" si="6">IF(OR(E99=0,E99=0),"",ROUND(E99/$D$105,2))</f>
        <v>0.72</v>
      </c>
    </row>
    <row r="100" spans="2:6" x14ac:dyDescent="0.2">
      <c r="B100" s="187" t="s">
        <v>1078</v>
      </c>
      <c r="C100" s="188"/>
      <c r="D100" s="36"/>
      <c r="E100" s="17">
        <f>IF(F3="1",SUMIF(Data!A:A,'14'!$A$2,Data!AJ:AJ),0)</f>
        <v>7320440</v>
      </c>
      <c r="F100" s="21">
        <f t="shared" si="6"/>
        <v>0.3</v>
      </c>
    </row>
    <row r="101" spans="2:6" x14ac:dyDescent="0.2">
      <c r="B101" s="187" t="s">
        <v>1079</v>
      </c>
      <c r="C101" s="188"/>
      <c r="D101" s="36"/>
      <c r="E101" s="17">
        <f>IF(F3="1",SUMIF(Data!A:A,'14'!$A$2,Data!AK:AK),0)</f>
        <v>6227024</v>
      </c>
      <c r="F101" s="21">
        <f t="shared" si="6"/>
        <v>0.25</v>
      </c>
    </row>
    <row r="102" spans="2:6" x14ac:dyDescent="0.2">
      <c r="B102" s="187" t="s">
        <v>1080</v>
      </c>
      <c r="C102" s="188"/>
      <c r="D102" s="36"/>
      <c r="E102" s="17">
        <f>IF(F3="1",SUMIF(Data!A:A,'14'!$A$2,Data!AL:AL),0)</f>
        <v>633145</v>
      </c>
      <c r="F102" s="21">
        <f t="shared" si="6"/>
        <v>0.03</v>
      </c>
    </row>
    <row r="103" spans="2:6" x14ac:dyDescent="0.2">
      <c r="B103" s="189" t="s">
        <v>34</v>
      </c>
      <c r="C103" s="190"/>
      <c r="D103" s="36"/>
      <c r="E103" s="17">
        <f>IF(F3="1",SUMIF(Data!A:A,'14'!$A$2,Data!AM:AM),0)</f>
        <v>0</v>
      </c>
      <c r="F103" s="21" t="str">
        <f t="shared" si="6"/>
        <v/>
      </c>
    </row>
    <row r="104" spans="2:6" ht="15.75" customHeight="1" thickBot="1" x14ac:dyDescent="0.25">
      <c r="B104" s="179" t="s">
        <v>29</v>
      </c>
      <c r="C104" s="180"/>
      <c r="D104" s="37"/>
      <c r="E104" s="24">
        <f>IF(F3="1",SUMIF(Data!A:A,'14'!$A$2,Data!Q:Q),0)</f>
        <v>7339247</v>
      </c>
      <c r="F104" s="25">
        <f t="shared" si="6"/>
        <v>0.3</v>
      </c>
    </row>
    <row r="105" spans="2:6" x14ac:dyDescent="0.2">
      <c r="B105" s="30" t="s">
        <v>35</v>
      </c>
      <c r="C105" s="30"/>
      <c r="D105" s="34">
        <f>D95</f>
        <v>24609358</v>
      </c>
      <c r="E105" s="31">
        <f>SUM(E98:E104)</f>
        <v>85777489</v>
      </c>
      <c r="F105" s="32">
        <f>IF($D$105=0,"",ROUND(E105/$D$105,2))</f>
        <v>3.49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65253644</v>
      </c>
      <c r="D109" s="15">
        <f>IF(F3="1",SUMIF(Data!$A:$A,$A$2,Data!HJ:HJ),0)</f>
        <v>0</v>
      </c>
      <c r="E109" s="15">
        <f>IF(F3="1",SUMIF(Data!$A:$A,$A$2,Data!IN:IN),0)</f>
        <v>0</v>
      </c>
      <c r="F109" s="47">
        <f>SUM(C109:E109)</f>
        <v>65253644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633145</v>
      </c>
      <c r="F116" s="48">
        <f t="shared" si="7"/>
        <v>633145</v>
      </c>
    </row>
    <row r="117" spans="1:6" ht="15" thickBot="1" x14ac:dyDescent="0.25">
      <c r="B117" s="43" t="s">
        <v>933</v>
      </c>
      <c r="C117" s="52"/>
      <c r="D117" s="52">
        <f>IF(F3="1",SUMIF(Data!A:A,$A$2,Data!Q:Q),0)</f>
        <v>7339247</v>
      </c>
      <c r="E117" s="52"/>
      <c r="F117" s="49">
        <f>SUM(C117:E117)</f>
        <v>7339247</v>
      </c>
    </row>
    <row r="118" spans="1:6" x14ac:dyDescent="0.2">
      <c r="B118" s="13" t="s">
        <v>35</v>
      </c>
      <c r="C118" s="4">
        <f>SUM(C109:C116)</f>
        <v>65253644</v>
      </c>
      <c r="D118" s="4">
        <f>SUM(D109:D116)</f>
        <v>0</v>
      </c>
      <c r="E118" s="4">
        <f>SUM(E109:E116)</f>
        <v>633145</v>
      </c>
      <c r="F118" s="4">
        <f>SUM(F109:F116)</f>
        <v>65886789</v>
      </c>
    </row>
    <row r="119" spans="1:6" ht="15" thickBot="1" x14ac:dyDescent="0.25"/>
    <row r="120" spans="1:6" ht="15" thickBot="1" x14ac:dyDescent="0.25">
      <c r="B120" s="55" t="s">
        <v>934</v>
      </c>
      <c r="C120" s="53"/>
      <c r="D120" s="53"/>
      <c r="E120" s="53">
        <f>IF(F3="1",SUMIF(Data!A:A,'14'!$A$2,Data!AM:AM),0)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364</v>
      </c>
      <c r="B2" s="58" t="str">
        <f>VLOOKUP(A2,Data!A:G,7,0)</f>
        <v>Del Mar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182242</v>
      </c>
      <c r="E6" s="17">
        <f t="shared" ref="E6:E32" si="1">E37+E68+IFERROR($E$105/$D$105*D6,0)</f>
        <v>1481535.5225625117</v>
      </c>
      <c r="F6" s="21">
        <f t="shared" ref="F6:F33" si="2">IF(OR(D6=0,E6=0),"",ROUND(E6/D6,2))</f>
        <v>8.1300000000000008</v>
      </c>
    </row>
    <row r="7" spans="1:6" ht="14.25" customHeight="1" x14ac:dyDescent="0.2">
      <c r="A7" s="19">
        <v>3</v>
      </c>
      <c r="B7" s="181" t="s">
        <v>2</v>
      </c>
      <c r="C7" s="182"/>
      <c r="D7" s="14">
        <f t="shared" si="0"/>
        <v>407744</v>
      </c>
      <c r="E7" s="17">
        <f t="shared" si="1"/>
        <v>3043610.2946836008</v>
      </c>
      <c r="F7" s="21">
        <f t="shared" si="2"/>
        <v>7.46</v>
      </c>
    </row>
    <row r="8" spans="1:6" ht="14.25" customHeight="1" x14ac:dyDescent="0.2">
      <c r="A8" s="19">
        <v>4</v>
      </c>
      <c r="B8" s="181" t="s">
        <v>3</v>
      </c>
      <c r="C8" s="182"/>
      <c r="D8" s="14">
        <f t="shared" si="0"/>
        <v>426416</v>
      </c>
      <c r="E8" s="17">
        <f t="shared" si="1"/>
        <v>3633744.3657829477</v>
      </c>
      <c r="F8" s="21">
        <f t="shared" si="2"/>
        <v>8.52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35792</v>
      </c>
      <c r="E10" s="17">
        <f t="shared" si="1"/>
        <v>416410.3256634443</v>
      </c>
      <c r="F10" s="21">
        <f t="shared" si="2"/>
        <v>11.63</v>
      </c>
    </row>
    <row r="11" spans="1:6" x14ac:dyDescent="0.2">
      <c r="A11" s="19">
        <v>7</v>
      </c>
      <c r="B11" s="181" t="s">
        <v>6</v>
      </c>
      <c r="C11" s="182"/>
      <c r="D11" s="14">
        <f t="shared" si="0"/>
        <v>303366</v>
      </c>
      <c r="E11" s="17">
        <f t="shared" si="1"/>
        <v>2331084.0986034991</v>
      </c>
      <c r="F11" s="21">
        <f t="shared" si="2"/>
        <v>7.68</v>
      </c>
    </row>
    <row r="12" spans="1:6" x14ac:dyDescent="0.2">
      <c r="A12" s="19">
        <v>8</v>
      </c>
      <c r="B12" s="181" t="s">
        <v>7</v>
      </c>
      <c r="C12" s="182"/>
      <c r="D12" s="14">
        <f t="shared" si="0"/>
        <v>47737</v>
      </c>
      <c r="E12" s="17">
        <f t="shared" si="1"/>
        <v>325716.30730877962</v>
      </c>
      <c r="F12" s="21">
        <f t="shared" si="2"/>
        <v>6.82</v>
      </c>
    </row>
    <row r="13" spans="1:6" x14ac:dyDescent="0.2">
      <c r="A13" s="19">
        <v>9</v>
      </c>
      <c r="B13" s="181" t="s">
        <v>8</v>
      </c>
      <c r="C13" s="182"/>
      <c r="D13" s="14">
        <f t="shared" si="0"/>
        <v>254468</v>
      </c>
      <c r="E13" s="17">
        <f t="shared" si="1"/>
        <v>2004033.0709355539</v>
      </c>
      <c r="F13" s="21">
        <f t="shared" si="2"/>
        <v>7.88</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143747</v>
      </c>
      <c r="E15" s="17">
        <f t="shared" si="1"/>
        <v>1261021.9668122241</v>
      </c>
      <c r="F15" s="21">
        <f t="shared" si="2"/>
        <v>8.77</v>
      </c>
    </row>
    <row r="16" spans="1:6" ht="14.25" customHeight="1" x14ac:dyDescent="0.2">
      <c r="A16" s="19">
        <v>12</v>
      </c>
      <c r="B16" s="181" t="s">
        <v>11</v>
      </c>
      <c r="C16" s="182"/>
      <c r="D16" s="14">
        <f t="shared" si="0"/>
        <v>758986</v>
      </c>
      <c r="E16" s="17">
        <f t="shared" si="1"/>
        <v>6471951.8652211372</v>
      </c>
      <c r="F16" s="21">
        <f t="shared" si="2"/>
        <v>8.5299999999999994</v>
      </c>
    </row>
    <row r="17" spans="1:6" x14ac:dyDescent="0.2">
      <c r="A17" s="19">
        <v>13</v>
      </c>
      <c r="B17" s="181" t="s">
        <v>12</v>
      </c>
      <c r="C17" s="182"/>
      <c r="D17" s="14">
        <f t="shared" si="0"/>
        <v>58706</v>
      </c>
      <c r="E17" s="17">
        <f t="shared" si="1"/>
        <v>488976.74453504023</v>
      </c>
      <c r="F17" s="21">
        <f t="shared" si="2"/>
        <v>8.33</v>
      </c>
    </row>
    <row r="18" spans="1:6" ht="14.25" customHeight="1" x14ac:dyDescent="0.2">
      <c r="A18" s="19">
        <v>14</v>
      </c>
      <c r="B18" s="181" t="s">
        <v>464</v>
      </c>
      <c r="C18" s="182"/>
      <c r="D18" s="14">
        <f t="shared" si="0"/>
        <v>256960</v>
      </c>
      <c r="E18" s="17">
        <f t="shared" si="1"/>
        <v>2781096.7273826175</v>
      </c>
      <c r="F18" s="21">
        <f t="shared" si="2"/>
        <v>10.82</v>
      </c>
    </row>
    <row r="19" spans="1:6" x14ac:dyDescent="0.2">
      <c r="A19" s="19">
        <v>15</v>
      </c>
      <c r="B19" s="181" t="s">
        <v>13</v>
      </c>
      <c r="C19" s="182"/>
      <c r="D19" s="14">
        <f t="shared" si="0"/>
        <v>26081</v>
      </c>
      <c r="E19" s="17">
        <f t="shared" si="1"/>
        <v>391227.28482980246</v>
      </c>
      <c r="F19" s="21">
        <f t="shared" si="2"/>
        <v>15</v>
      </c>
    </row>
    <row r="20" spans="1:6" x14ac:dyDescent="0.2">
      <c r="A20" s="19">
        <v>16</v>
      </c>
      <c r="B20" s="181" t="s">
        <v>14</v>
      </c>
      <c r="C20" s="182"/>
      <c r="D20" s="14">
        <f t="shared" si="0"/>
        <v>402647</v>
      </c>
      <c r="E20" s="17">
        <f t="shared" si="1"/>
        <v>3431020.2148639038</v>
      </c>
      <c r="F20" s="21">
        <f t="shared" si="2"/>
        <v>8.52</v>
      </c>
    </row>
    <row r="21" spans="1:6" x14ac:dyDescent="0.2">
      <c r="A21" s="19">
        <v>17</v>
      </c>
      <c r="B21" s="181" t="s">
        <v>15</v>
      </c>
      <c r="C21" s="182"/>
      <c r="D21" s="14">
        <f t="shared" si="0"/>
        <v>16464</v>
      </c>
      <c r="E21" s="17">
        <f t="shared" si="1"/>
        <v>267835.52798734204</v>
      </c>
      <c r="F21" s="21">
        <f t="shared" si="2"/>
        <v>16.27</v>
      </c>
    </row>
    <row r="22" spans="1:6" x14ac:dyDescent="0.2">
      <c r="A22" s="19">
        <v>18</v>
      </c>
      <c r="B22" s="181" t="s">
        <v>16</v>
      </c>
      <c r="C22" s="182"/>
      <c r="D22" s="14">
        <f t="shared" si="0"/>
        <v>97888</v>
      </c>
      <c r="E22" s="17">
        <f t="shared" si="1"/>
        <v>907203.07796555758</v>
      </c>
      <c r="F22" s="21">
        <f t="shared" si="2"/>
        <v>9.27</v>
      </c>
    </row>
    <row r="23" spans="1:6" x14ac:dyDescent="0.2">
      <c r="A23" s="19">
        <v>19</v>
      </c>
      <c r="B23" s="181" t="s">
        <v>17</v>
      </c>
      <c r="C23" s="182"/>
      <c r="D23" s="14">
        <f t="shared" si="0"/>
        <v>485893</v>
      </c>
      <c r="E23" s="17">
        <f t="shared" si="1"/>
        <v>3939848.865181827</v>
      </c>
      <c r="F23" s="21">
        <f t="shared" si="2"/>
        <v>8.11</v>
      </c>
    </row>
    <row r="24" spans="1:6" x14ac:dyDescent="0.2">
      <c r="A24" s="19">
        <v>20</v>
      </c>
      <c r="B24" s="181" t="s">
        <v>18</v>
      </c>
      <c r="C24" s="182"/>
      <c r="D24" s="14">
        <f t="shared" si="0"/>
        <v>89116</v>
      </c>
      <c r="E24" s="17">
        <f t="shared" si="1"/>
        <v>766664.74636297231</v>
      </c>
      <c r="F24" s="21">
        <f t="shared" si="2"/>
        <v>8.6</v>
      </c>
    </row>
    <row r="25" spans="1:6" ht="14.25" customHeight="1" x14ac:dyDescent="0.2">
      <c r="A25" s="19">
        <v>21</v>
      </c>
      <c r="B25" s="181" t="s">
        <v>461</v>
      </c>
      <c r="C25" s="182"/>
      <c r="D25" s="14">
        <f t="shared" si="0"/>
        <v>96732</v>
      </c>
      <c r="E25" s="17">
        <f t="shared" si="1"/>
        <v>883858.01101017813</v>
      </c>
      <c r="F25" s="21">
        <f t="shared" si="2"/>
        <v>9.14</v>
      </c>
    </row>
    <row r="26" spans="1:6" x14ac:dyDescent="0.2">
      <c r="A26" s="19">
        <v>22</v>
      </c>
      <c r="B26" s="181" t="s">
        <v>19</v>
      </c>
      <c r="C26" s="182"/>
      <c r="D26" s="14">
        <f t="shared" si="0"/>
        <v>23496</v>
      </c>
      <c r="E26" s="17">
        <f t="shared" si="1"/>
        <v>185422.47507231467</v>
      </c>
      <c r="F26" s="21">
        <f t="shared" si="2"/>
        <v>7.89</v>
      </c>
    </row>
    <row r="27" spans="1:6" x14ac:dyDescent="0.2">
      <c r="A27" s="19">
        <v>23</v>
      </c>
      <c r="B27" s="181" t="s">
        <v>20</v>
      </c>
      <c r="C27" s="182"/>
      <c r="D27" s="14">
        <f t="shared" si="0"/>
        <v>123072</v>
      </c>
      <c r="E27" s="17">
        <f t="shared" si="1"/>
        <v>990348.14215610805</v>
      </c>
      <c r="F27" s="21">
        <f t="shared" si="2"/>
        <v>8.0500000000000007</v>
      </c>
    </row>
    <row r="28" spans="1:6" x14ac:dyDescent="0.2">
      <c r="A28" s="19">
        <v>24</v>
      </c>
      <c r="B28" s="181" t="s">
        <v>21</v>
      </c>
      <c r="C28" s="182"/>
      <c r="D28" s="14">
        <f t="shared" si="0"/>
        <v>221784</v>
      </c>
      <c r="E28" s="17">
        <f t="shared" si="1"/>
        <v>1725496.9010656383</v>
      </c>
      <c r="F28" s="21">
        <f t="shared" si="2"/>
        <v>7.78</v>
      </c>
    </row>
    <row r="29" spans="1:6" x14ac:dyDescent="0.2">
      <c r="A29" s="19">
        <v>25</v>
      </c>
      <c r="B29" s="181" t="s">
        <v>22</v>
      </c>
      <c r="C29" s="182"/>
      <c r="D29" s="14">
        <f t="shared" si="0"/>
        <v>520656</v>
      </c>
      <c r="E29" s="17">
        <f t="shared" si="1"/>
        <v>3858368.720346062</v>
      </c>
      <c r="F29" s="21">
        <f t="shared" si="2"/>
        <v>7.41</v>
      </c>
    </row>
    <row r="30" spans="1:6" x14ac:dyDescent="0.2">
      <c r="A30" s="19">
        <v>26</v>
      </c>
      <c r="B30" s="181" t="s">
        <v>23</v>
      </c>
      <c r="C30" s="182"/>
      <c r="D30" s="14">
        <f t="shared" si="0"/>
        <v>209478</v>
      </c>
      <c r="E30" s="17">
        <f t="shared" si="1"/>
        <v>2480842.7436669362</v>
      </c>
      <c r="F30" s="21">
        <f t="shared" si="2"/>
        <v>11.84</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5189471</v>
      </c>
      <c r="E33" s="31">
        <f>SUM(E5:E32)</f>
        <v>44067318.000000007</v>
      </c>
      <c r="F33" s="32">
        <f t="shared" si="2"/>
        <v>8.49</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IF(F3="1",SUMIF(Data!A:A,'15'!$A$2,Data!CU:CU),0)</f>
        <v>0</v>
      </c>
      <c r="E36" s="15">
        <f>IF(F3="1",SUMIF(Data!$A:$A,$A$2,Data!IO:IO),0)</f>
        <v>0</v>
      </c>
      <c r="F36" s="20" t="str">
        <f t="shared" ref="F36:F64" si="3">IF(OR(D36=0,E36=0),"",ROUND(E36/D36,2))</f>
        <v/>
      </c>
    </row>
    <row r="37" spans="1:6" x14ac:dyDescent="0.2">
      <c r="A37" s="19">
        <v>2</v>
      </c>
      <c r="B37" s="181" t="s">
        <v>1</v>
      </c>
      <c r="C37" s="182"/>
      <c r="D37" s="14">
        <f>IF(F3="1",SUMIF(Data!A:A,'15'!$A$2,Data!CV:CV),0)</f>
        <v>182242</v>
      </c>
      <c r="E37" s="17">
        <f>IF(F3="1",SUMIF(Data!$A:$A,$A$2,Data!IP:IP),0)</f>
        <v>231947</v>
      </c>
      <c r="F37" s="21">
        <f t="shared" si="3"/>
        <v>1.27</v>
      </c>
    </row>
    <row r="38" spans="1:6" ht="14.25" customHeight="1" x14ac:dyDescent="0.2">
      <c r="A38" s="19">
        <v>3</v>
      </c>
      <c r="B38" s="181" t="s">
        <v>2</v>
      </c>
      <c r="C38" s="182"/>
      <c r="D38" s="14">
        <f>IF(F3="1",SUMIF(Data!A:A,'15'!$A$2,Data!CW:CW),0)</f>
        <v>407744</v>
      </c>
      <c r="E38" s="17">
        <f>IF($F$3="1",SUMIF(Data!$A:$A,$A$2,Data!IQ:IQ),0)</f>
        <v>167859</v>
      </c>
      <c r="F38" s="21">
        <f t="shared" si="3"/>
        <v>0.41</v>
      </c>
    </row>
    <row r="39" spans="1:6" ht="14.25" customHeight="1" x14ac:dyDescent="0.2">
      <c r="A39" s="19">
        <v>4</v>
      </c>
      <c r="B39" s="181" t="s">
        <v>3</v>
      </c>
      <c r="C39" s="182"/>
      <c r="D39" s="14">
        <f>IF(F3="1",SUMIF(Data!A:A,'15'!$A$2,Data!CX:CX),0)</f>
        <v>426416</v>
      </c>
      <c r="E39" s="17">
        <f>IF($F$3="1",SUMIF(Data!$A:$A,$A$2,Data!IR:IR),0)</f>
        <v>266956</v>
      </c>
      <c r="F39" s="21">
        <f t="shared" si="3"/>
        <v>0.63</v>
      </c>
    </row>
    <row r="40" spans="1:6" x14ac:dyDescent="0.2">
      <c r="A40" s="19">
        <v>5</v>
      </c>
      <c r="B40" s="181" t="s">
        <v>4</v>
      </c>
      <c r="C40" s="182"/>
      <c r="D40" s="14">
        <f>IF(F3="1",SUMIF(Data!A:A,'15'!$A$2,Data!CY:CY),0)</f>
        <v>0</v>
      </c>
      <c r="E40" s="17">
        <f>IF($F$3="1",SUMIF(Data!$A:$A,$A$2,Data!IS:IS),0)</f>
        <v>0</v>
      </c>
      <c r="F40" s="21" t="str">
        <f t="shared" si="3"/>
        <v/>
      </c>
    </row>
    <row r="41" spans="1:6" x14ac:dyDescent="0.2">
      <c r="A41" s="19">
        <v>6</v>
      </c>
      <c r="B41" s="181" t="s">
        <v>5</v>
      </c>
      <c r="C41" s="182"/>
      <c r="D41" s="14">
        <f>IF(F3="1",SUMIF(Data!A:A,'15'!$A$2,Data!CZ:CZ),0)</f>
        <v>35792</v>
      </c>
      <c r="E41" s="17">
        <f>IF($F$3="1",SUMIF(Data!$A:$A,$A$2,Data!IT:IT),0)</f>
        <v>28217</v>
      </c>
      <c r="F41" s="21">
        <f t="shared" si="3"/>
        <v>0.79</v>
      </c>
    </row>
    <row r="42" spans="1:6" x14ac:dyDescent="0.2">
      <c r="A42" s="19">
        <v>7</v>
      </c>
      <c r="B42" s="181" t="s">
        <v>6</v>
      </c>
      <c r="C42" s="182"/>
      <c r="D42" s="14">
        <f>IF(F3="1",SUMIF(Data!A:A,'15'!$A$2,Data!DA:DA),0)</f>
        <v>303366</v>
      </c>
      <c r="E42" s="17">
        <f>IF($F$3="1",SUMIF(Data!$A:$A,$A$2,Data!IU:IU),0)</f>
        <v>119858</v>
      </c>
      <c r="F42" s="21">
        <f t="shared" si="3"/>
        <v>0.4</v>
      </c>
    </row>
    <row r="43" spans="1:6" x14ac:dyDescent="0.2">
      <c r="A43" s="19">
        <v>8</v>
      </c>
      <c r="B43" s="181" t="s">
        <v>7</v>
      </c>
      <c r="C43" s="182"/>
      <c r="D43" s="14">
        <f>IF(F3="1",SUMIF(Data!A:A,'15'!$A$2,Data!DB:DB),0)</f>
        <v>47737</v>
      </c>
      <c r="E43" s="17">
        <f>IF($F$3="1",SUMIF(Data!$A:$A,$A$2,Data!IV:IV),0)</f>
        <v>63297</v>
      </c>
      <c r="F43" s="21">
        <f t="shared" si="3"/>
        <v>1.33</v>
      </c>
    </row>
    <row r="44" spans="1:6" x14ac:dyDescent="0.2">
      <c r="A44" s="19">
        <v>9</v>
      </c>
      <c r="B44" s="181" t="s">
        <v>8</v>
      </c>
      <c r="C44" s="182"/>
      <c r="D44" s="14">
        <f>IF(F3="1",SUMIF(Data!A:A,'15'!$A$2,Data!DC:DC),0)</f>
        <v>254468</v>
      </c>
      <c r="E44" s="17">
        <f>IF($F$3="1",SUMIF(Data!$A:$A,$A$2,Data!IW:IW),0)</f>
        <v>193279</v>
      </c>
      <c r="F44" s="21">
        <f t="shared" si="3"/>
        <v>0.76</v>
      </c>
    </row>
    <row r="45" spans="1:6" x14ac:dyDescent="0.2">
      <c r="A45" s="19">
        <v>10</v>
      </c>
      <c r="B45" s="181" t="s">
        <v>9</v>
      </c>
      <c r="C45" s="182"/>
      <c r="D45" s="14">
        <f>IF(F3="1",SUMIF(Data!A:A,'15'!$A$2,Data!DD:DD),0)</f>
        <v>0</v>
      </c>
      <c r="E45" s="17">
        <f>IF($F$3="1",SUMIF(Data!$A:$A,$A$2,Data!IX:IX),0)</f>
        <v>0</v>
      </c>
      <c r="F45" s="21" t="str">
        <f t="shared" si="3"/>
        <v/>
      </c>
    </row>
    <row r="46" spans="1:6" x14ac:dyDescent="0.2">
      <c r="A46" s="19">
        <v>11</v>
      </c>
      <c r="B46" s="181" t="s">
        <v>10</v>
      </c>
      <c r="C46" s="182"/>
      <c r="D46" s="14">
        <f>IF(F3="1",SUMIF(Data!A:A,'15'!$A$2,Data!DE:DE),0)</f>
        <v>143747</v>
      </c>
      <c r="E46" s="17">
        <f>IF($F$3="1",SUMIF(Data!$A:$A,$A$2,Data!IY:IY),0)</f>
        <v>85655</v>
      </c>
      <c r="F46" s="21">
        <f t="shared" si="3"/>
        <v>0.6</v>
      </c>
    </row>
    <row r="47" spans="1:6" ht="14.25" customHeight="1" x14ac:dyDescent="0.2">
      <c r="A47" s="19">
        <v>12</v>
      </c>
      <c r="B47" s="181" t="s">
        <v>11</v>
      </c>
      <c r="C47" s="182"/>
      <c r="D47" s="14">
        <f>IF(F3="1",SUMIF(Data!A:A,'15'!$A$2,Data!DF:DF),0)</f>
        <v>758986</v>
      </c>
      <c r="E47" s="17">
        <f>IF($F$3="1",SUMIF(Data!$A:$A,$A$2,Data!IZ:IZ),0)</f>
        <v>247006</v>
      </c>
      <c r="F47" s="21">
        <f t="shared" si="3"/>
        <v>0.33</v>
      </c>
    </row>
    <row r="48" spans="1:6" x14ac:dyDescent="0.2">
      <c r="A48" s="19">
        <v>13</v>
      </c>
      <c r="B48" s="181" t="s">
        <v>12</v>
      </c>
      <c r="C48" s="182"/>
      <c r="D48" s="14">
        <f>IF(F3="1",SUMIF(Data!A:A,'15'!$A$2,Data!DG:DG),0)</f>
        <v>58706</v>
      </c>
      <c r="E48" s="17">
        <f>IF($F$3="1",SUMIF(Data!$A:$A,$A$2,Data!JA:JA),0)</f>
        <v>103703</v>
      </c>
      <c r="F48" s="21">
        <f t="shared" si="3"/>
        <v>1.77</v>
      </c>
    </row>
    <row r="49" spans="1:6" ht="14.25" customHeight="1" x14ac:dyDescent="0.2">
      <c r="A49" s="19">
        <v>14</v>
      </c>
      <c r="B49" s="181" t="s">
        <v>464</v>
      </c>
      <c r="C49" s="182"/>
      <c r="D49" s="14">
        <f>IF(F3="1",SUMIF(Data!A:A,'15'!$A$2,Data!DH:DH),0)</f>
        <v>256960</v>
      </c>
      <c r="E49" s="17">
        <f>IF($F$3="1",SUMIF(Data!$A:$A,$A$2,Data!JB:JB),0)</f>
        <v>110255</v>
      </c>
      <c r="F49" s="21">
        <f t="shared" si="3"/>
        <v>0.43</v>
      </c>
    </row>
    <row r="50" spans="1:6" x14ac:dyDescent="0.2">
      <c r="A50" s="19">
        <v>15</v>
      </c>
      <c r="B50" s="181" t="s">
        <v>13</v>
      </c>
      <c r="C50" s="182"/>
      <c r="D50" s="14">
        <f>IF(F3="1",SUMIF(Data!A:A,'15'!$A$2,Data!DI:DI),0)</f>
        <v>26081</v>
      </c>
      <c r="E50" s="17">
        <f>IF($F$3="1",SUMIF(Data!$A:$A,$A$2,Data!JC:JC),0)</f>
        <v>38666</v>
      </c>
      <c r="F50" s="21">
        <f t="shared" si="3"/>
        <v>1.48</v>
      </c>
    </row>
    <row r="51" spans="1:6" x14ac:dyDescent="0.2">
      <c r="A51" s="19">
        <v>16</v>
      </c>
      <c r="B51" s="181" t="s">
        <v>14</v>
      </c>
      <c r="C51" s="182"/>
      <c r="D51" s="14">
        <f>IF(F3="1",SUMIF(Data!A:A,'15'!$A$2,Data!DJ:DJ),0)</f>
        <v>402647</v>
      </c>
      <c r="E51" s="17">
        <f>IF($F$3="1",SUMIF(Data!$A:$A,$A$2,Data!JD:JD),0)</f>
        <v>236423</v>
      </c>
      <c r="F51" s="21">
        <f t="shared" si="3"/>
        <v>0.59</v>
      </c>
    </row>
    <row r="52" spans="1:6" x14ac:dyDescent="0.2">
      <c r="A52" s="19">
        <v>17</v>
      </c>
      <c r="B52" s="181" t="s">
        <v>15</v>
      </c>
      <c r="C52" s="182"/>
      <c r="D52" s="14">
        <f>IF(F3="1",SUMIF(Data!A:A,'15'!$A$2,Data!DK:DK),0)</f>
        <v>16464</v>
      </c>
      <c r="E52" s="17">
        <f>IF($F$3="1",SUMIF(Data!$A:$A,$A$2,Data!JE:JE),0)</f>
        <v>9893</v>
      </c>
      <c r="F52" s="21">
        <f t="shared" si="3"/>
        <v>0.6</v>
      </c>
    </row>
    <row r="53" spans="1:6" x14ac:dyDescent="0.2">
      <c r="A53" s="19">
        <v>18</v>
      </c>
      <c r="B53" s="181" t="s">
        <v>16</v>
      </c>
      <c r="C53" s="182"/>
      <c r="D53" s="14">
        <f>IF(F3="1",SUMIF(Data!A:A,'15'!$A$2,Data!DL:DL),0)</f>
        <v>97888</v>
      </c>
      <c r="E53" s="17">
        <f>IF($F$3="1",SUMIF(Data!$A:$A,$A$2,Data!JF:JF),0)</f>
        <v>7014</v>
      </c>
      <c r="F53" s="21">
        <f t="shared" si="3"/>
        <v>7.0000000000000007E-2</v>
      </c>
    </row>
    <row r="54" spans="1:6" x14ac:dyDescent="0.2">
      <c r="A54" s="19">
        <v>19</v>
      </c>
      <c r="B54" s="181" t="s">
        <v>17</v>
      </c>
      <c r="C54" s="182"/>
      <c r="D54" s="14">
        <f>IF(F3="1",SUMIF(Data!A:A,'15'!$A$2,Data!DM:DM),0)</f>
        <v>485893</v>
      </c>
      <c r="E54" s="17">
        <f>IF($F$3="1",SUMIF(Data!$A:$A,$A$2,Data!JG:JG),0)</f>
        <v>182750</v>
      </c>
      <c r="F54" s="21">
        <f t="shared" si="3"/>
        <v>0.38</v>
      </c>
    </row>
    <row r="55" spans="1:6" x14ac:dyDescent="0.2">
      <c r="A55" s="19">
        <v>20</v>
      </c>
      <c r="B55" s="181" t="s">
        <v>18</v>
      </c>
      <c r="C55" s="182"/>
      <c r="D55" s="14">
        <f>IF(F3="1",SUMIF(Data!A:A,'15'!$A$2,Data!DN:DN),0)</f>
        <v>89116</v>
      </c>
      <c r="E55" s="17">
        <f>IF($F$3="1",SUMIF(Data!$A:$A,$A$2,Data!JH:JH),0)</f>
        <v>45421</v>
      </c>
      <c r="F55" s="21">
        <f t="shared" si="3"/>
        <v>0.51</v>
      </c>
    </row>
    <row r="56" spans="1:6" ht="14.25" customHeight="1" x14ac:dyDescent="0.2">
      <c r="A56" s="19">
        <v>21</v>
      </c>
      <c r="B56" s="181" t="s">
        <v>461</v>
      </c>
      <c r="C56" s="182"/>
      <c r="D56" s="14">
        <f>IF(F3="1",SUMIF(Data!A:A,'15'!$A$2,Data!DO:DO),0)</f>
        <v>96732</v>
      </c>
      <c r="E56" s="17">
        <f>IF($F$3="1",SUMIF(Data!$A:$A,$A$2,Data!JI:JI),0)</f>
        <v>228211</v>
      </c>
      <c r="F56" s="21">
        <f t="shared" si="3"/>
        <v>2.36</v>
      </c>
    </row>
    <row r="57" spans="1:6" x14ac:dyDescent="0.2">
      <c r="A57" s="19">
        <v>22</v>
      </c>
      <c r="B57" s="181" t="s">
        <v>19</v>
      </c>
      <c r="C57" s="182"/>
      <c r="D57" s="14">
        <f>IF(F3="1",SUMIF(Data!A:A,'15'!$A$2,Data!DP:DP),0)</f>
        <v>23496</v>
      </c>
      <c r="E57" s="17">
        <f>IF($F$3="1",SUMIF(Data!$A:$A,$A$2,Data!JJ:JJ),0)</f>
        <v>20019</v>
      </c>
      <c r="F57" s="21">
        <f t="shared" si="3"/>
        <v>0.85</v>
      </c>
    </row>
    <row r="58" spans="1:6" x14ac:dyDescent="0.2">
      <c r="A58" s="19">
        <v>23</v>
      </c>
      <c r="B58" s="181" t="s">
        <v>20</v>
      </c>
      <c r="C58" s="182"/>
      <c r="D58" s="14">
        <f>IF(F3="1",SUMIF(Data!A:A,'15'!$A$2,Data!DQ:DQ),0)</f>
        <v>123072</v>
      </c>
      <c r="E58" s="17">
        <f>IF($F$3="1",SUMIF(Data!$A:$A,$A$2,Data!JK:JK),0)</f>
        <v>41427</v>
      </c>
      <c r="F58" s="21">
        <f t="shared" si="3"/>
        <v>0.34</v>
      </c>
    </row>
    <row r="59" spans="1:6" x14ac:dyDescent="0.2">
      <c r="A59" s="19">
        <v>24</v>
      </c>
      <c r="B59" s="181" t="s">
        <v>21</v>
      </c>
      <c r="C59" s="182"/>
      <c r="D59" s="14">
        <f>IF(F3="1",SUMIF(Data!A:A,'15'!$A$2,Data!DR:DR),0)</f>
        <v>221784</v>
      </c>
      <c r="E59" s="17">
        <f>IF($F$3="1",SUMIF(Data!$A:$A,$A$2,Data!JL:JL),0)</f>
        <v>128953</v>
      </c>
      <c r="F59" s="21">
        <f t="shared" si="3"/>
        <v>0.57999999999999996</v>
      </c>
    </row>
    <row r="60" spans="1:6" x14ac:dyDescent="0.2">
      <c r="A60" s="19">
        <v>25</v>
      </c>
      <c r="B60" s="181" t="s">
        <v>22</v>
      </c>
      <c r="C60" s="182"/>
      <c r="D60" s="14">
        <f>IF(F3="1",SUMIF(Data!A:A,'15'!$A$2,Data!DS:DS),0)</f>
        <v>520656</v>
      </c>
      <c r="E60" s="17">
        <f>IF($F$3="1",SUMIF(Data!$A:$A,$A$2,Data!JM:JM),0)</f>
        <v>53537</v>
      </c>
      <c r="F60" s="21">
        <f t="shared" si="3"/>
        <v>0.1</v>
      </c>
    </row>
    <row r="61" spans="1:6" x14ac:dyDescent="0.2">
      <c r="A61" s="19">
        <v>26</v>
      </c>
      <c r="B61" s="181" t="s">
        <v>23</v>
      </c>
      <c r="C61" s="182"/>
      <c r="D61" s="14">
        <f>IF(F3="1",SUMIF(Data!A:A,'15'!$A$2,Data!DT:DT),0)</f>
        <v>209478</v>
      </c>
      <c r="E61" s="17">
        <f>IF($F$3="1",SUMIF(Data!$A:$A,$A$2,Data!JN:JN),0)</f>
        <v>224140</v>
      </c>
      <c r="F61" s="21">
        <f t="shared" si="3"/>
        <v>1.07</v>
      </c>
    </row>
    <row r="62" spans="1:6" x14ac:dyDescent="0.2">
      <c r="A62" s="19">
        <v>28</v>
      </c>
      <c r="B62" s="181" t="s">
        <v>24</v>
      </c>
      <c r="C62" s="182"/>
      <c r="D62" s="14">
        <f>IF(F3="1",SUMIF(Data!A:A,'15'!$A$2,Data!DV:DV),0)</f>
        <v>0</v>
      </c>
      <c r="E62" s="17">
        <f>IF($F$3="1",SUMIF(Data!$A:$A,$A$2,Data!JP:JP),0)</f>
        <v>0</v>
      </c>
      <c r="F62" s="21" t="str">
        <f t="shared" si="3"/>
        <v/>
      </c>
    </row>
    <row r="63" spans="1:6" ht="15.75" customHeight="1" thickBot="1" x14ac:dyDescent="0.25">
      <c r="A63" s="22">
        <v>29</v>
      </c>
      <c r="B63" s="183" t="s">
        <v>25</v>
      </c>
      <c r="C63" s="184"/>
      <c r="D63" s="23">
        <f>IF(F3="1",SUMIF(Data!A:A,'15'!$A$2,Data!DW:DW),0)</f>
        <v>0</v>
      </c>
      <c r="E63" s="24">
        <f>IF($F$3="1",SUMIF(Data!$A:$A,$A$2,Data!JQ:JQ),0)</f>
        <v>0</v>
      </c>
      <c r="F63" s="25" t="str">
        <f t="shared" si="3"/>
        <v/>
      </c>
    </row>
    <row r="64" spans="1:6" x14ac:dyDescent="0.2">
      <c r="B64" s="30" t="s">
        <v>35</v>
      </c>
      <c r="C64" s="30"/>
      <c r="D64" s="59">
        <f>SUM(D36:D63)</f>
        <v>5189471</v>
      </c>
      <c r="E64" s="31">
        <f>SUM(E36:E63)</f>
        <v>2834486</v>
      </c>
      <c r="F64" s="32">
        <f t="shared" si="3"/>
        <v>0.55000000000000004</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IF(F3="1",SUMIF(Data!A:A,'15'!$A$2,Data!DY:DY),0)</f>
        <v>0</v>
      </c>
      <c r="F67" s="20" t="str">
        <f t="shared" ref="F67:F95" si="4">IF(OR(D67=0,E67=0),"",ROUND(E67/D67,2))</f>
        <v/>
      </c>
    </row>
    <row r="68" spans="1:6" x14ac:dyDescent="0.2">
      <c r="A68" s="19">
        <v>2</v>
      </c>
      <c r="B68" s="181" t="s">
        <v>1</v>
      </c>
      <c r="C68" s="182"/>
      <c r="D68" s="14">
        <f t="shared" ref="D68:D94" si="5">D37</f>
        <v>182242</v>
      </c>
      <c r="E68" s="17">
        <f>IF(F3="1",SUMIF(Data!A:A,'15'!$A$2,Data!DZ:DZ),0)</f>
        <v>496805</v>
      </c>
      <c r="F68" s="21">
        <f t="shared" si="4"/>
        <v>2.73</v>
      </c>
    </row>
    <row r="69" spans="1:6" ht="14.25" customHeight="1" x14ac:dyDescent="0.2">
      <c r="A69" s="19">
        <v>3</v>
      </c>
      <c r="B69" s="181" t="s">
        <v>2</v>
      </c>
      <c r="C69" s="182"/>
      <c r="D69" s="14">
        <f t="shared" si="5"/>
        <v>407744</v>
      </c>
      <c r="E69" s="17">
        <f>IF(F3="1",SUMIF(Data!A:A,'15'!$A$2,Data!EA:EA),0)</f>
        <v>1191491</v>
      </c>
      <c r="F69" s="21">
        <f t="shared" si="4"/>
        <v>2.92</v>
      </c>
    </row>
    <row r="70" spans="1:6" ht="14.25" customHeight="1" x14ac:dyDescent="0.2">
      <c r="A70" s="19">
        <v>4</v>
      </c>
      <c r="B70" s="181" t="s">
        <v>3</v>
      </c>
      <c r="C70" s="182"/>
      <c r="D70" s="14">
        <f t="shared" si="5"/>
        <v>426416</v>
      </c>
      <c r="E70" s="17">
        <f>IF(F3="1",SUMIF(Data!A:A,'15'!$A$2,Data!EB:EB),0)</f>
        <v>1605400</v>
      </c>
      <c r="F70" s="21">
        <f t="shared" si="4"/>
        <v>3.76</v>
      </c>
    </row>
    <row r="71" spans="1:6" x14ac:dyDescent="0.2">
      <c r="A71" s="19">
        <v>5</v>
      </c>
      <c r="B71" s="181" t="s">
        <v>4</v>
      </c>
      <c r="C71" s="182"/>
      <c r="D71" s="14">
        <f t="shared" si="5"/>
        <v>0</v>
      </c>
      <c r="E71" s="17">
        <f>IF(F3="1",SUMIF(Data!A:A,'15'!$A$2,Data!EC:EC),0)</f>
        <v>0</v>
      </c>
      <c r="F71" s="21" t="str">
        <f t="shared" si="4"/>
        <v/>
      </c>
    </row>
    <row r="72" spans="1:6" x14ac:dyDescent="0.2">
      <c r="A72" s="19">
        <v>6</v>
      </c>
      <c r="B72" s="181" t="s">
        <v>5</v>
      </c>
      <c r="C72" s="182"/>
      <c r="D72" s="14">
        <f t="shared" si="5"/>
        <v>35792</v>
      </c>
      <c r="E72" s="17">
        <f>IF(F3="1",SUMIF(Data!A:A,'15'!$A$2,Data!ED:ED),0)</f>
        <v>240348</v>
      </c>
      <c r="F72" s="21">
        <f t="shared" si="4"/>
        <v>6.72</v>
      </c>
    </row>
    <row r="73" spans="1:6" x14ac:dyDescent="0.2">
      <c r="A73" s="19">
        <v>7</v>
      </c>
      <c r="B73" s="181" t="s">
        <v>6</v>
      </c>
      <c r="C73" s="182"/>
      <c r="D73" s="14">
        <f t="shared" si="5"/>
        <v>303366</v>
      </c>
      <c r="E73" s="17">
        <f>IF(F3="1",SUMIF(Data!A:A,'15'!$A$2,Data!EE:EE),0)</f>
        <v>958118</v>
      </c>
      <c r="F73" s="21">
        <f t="shared" si="4"/>
        <v>3.16</v>
      </c>
    </row>
    <row r="74" spans="1:6" x14ac:dyDescent="0.2">
      <c r="A74" s="19">
        <v>8</v>
      </c>
      <c r="B74" s="181" t="s">
        <v>7</v>
      </c>
      <c r="C74" s="182"/>
      <c r="D74" s="14">
        <f t="shared" si="5"/>
        <v>47737</v>
      </c>
      <c r="E74" s="17">
        <f>IF(F3="1",SUMIF(Data!A:A,'15'!$A$2,Data!EF:EF),0)</f>
        <v>65233</v>
      </c>
      <c r="F74" s="21">
        <f t="shared" si="4"/>
        <v>1.37</v>
      </c>
    </row>
    <row r="75" spans="1:6" x14ac:dyDescent="0.2">
      <c r="A75" s="19">
        <v>9</v>
      </c>
      <c r="B75" s="181" t="s">
        <v>8</v>
      </c>
      <c r="C75" s="182"/>
      <c r="D75" s="14">
        <f t="shared" si="5"/>
        <v>254468</v>
      </c>
      <c r="E75" s="17">
        <f>IF(F3="1",SUMIF(Data!A:A,'15'!$A$2,Data!EG:EG),0)</f>
        <v>759628</v>
      </c>
      <c r="F75" s="21">
        <f t="shared" si="4"/>
        <v>2.99</v>
      </c>
    </row>
    <row r="76" spans="1:6" x14ac:dyDescent="0.2">
      <c r="A76" s="19">
        <v>10</v>
      </c>
      <c r="B76" s="181" t="s">
        <v>9</v>
      </c>
      <c r="C76" s="182"/>
      <c r="D76" s="14">
        <f t="shared" si="5"/>
        <v>0</v>
      </c>
      <c r="E76" s="17">
        <f>IF(F3="1",SUMIF(Data!A:A,'15'!$A$2,Data!EH:EH),0)</f>
        <v>0</v>
      </c>
      <c r="F76" s="21" t="str">
        <f t="shared" si="4"/>
        <v/>
      </c>
    </row>
    <row r="77" spans="1:6" x14ac:dyDescent="0.2">
      <c r="A77" s="19">
        <v>11</v>
      </c>
      <c r="B77" s="181" t="s">
        <v>10</v>
      </c>
      <c r="C77" s="182"/>
      <c r="D77" s="14">
        <f t="shared" si="5"/>
        <v>143747</v>
      </c>
      <c r="E77" s="17">
        <f>IF(F3="1",SUMIF(Data!A:A,'15'!$A$2,Data!EI:EI),0)</f>
        <v>581594</v>
      </c>
      <c r="F77" s="21">
        <f t="shared" si="4"/>
        <v>4.05</v>
      </c>
    </row>
    <row r="78" spans="1:6" ht="14.25" customHeight="1" x14ac:dyDescent="0.2">
      <c r="A78" s="19">
        <v>12</v>
      </c>
      <c r="B78" s="181" t="s">
        <v>11</v>
      </c>
      <c r="C78" s="182"/>
      <c r="D78" s="14">
        <f t="shared" si="5"/>
        <v>758986</v>
      </c>
      <c r="E78" s="17">
        <f>IF(F3="1",SUMIF(Data!A:A,'15'!$A$2,Data!EJ:EJ),0)</f>
        <v>3089817</v>
      </c>
      <c r="F78" s="21">
        <f t="shared" si="4"/>
        <v>4.07</v>
      </c>
    </row>
    <row r="79" spans="1:6" x14ac:dyDescent="0.2">
      <c r="A79" s="19">
        <v>13</v>
      </c>
      <c r="B79" s="181" t="s">
        <v>12</v>
      </c>
      <c r="C79" s="182"/>
      <c r="D79" s="14">
        <f t="shared" si="5"/>
        <v>58706</v>
      </c>
      <c r="E79" s="17">
        <f>IF(F3="1",SUMIF(Data!A:A,'15'!$A$2,Data!EK:EK),0)</f>
        <v>142778</v>
      </c>
      <c r="F79" s="21">
        <f t="shared" si="4"/>
        <v>2.4300000000000002</v>
      </c>
    </row>
    <row r="80" spans="1:6" ht="14.25" customHeight="1" x14ac:dyDescent="0.2">
      <c r="A80" s="19">
        <v>14</v>
      </c>
      <c r="B80" s="181" t="s">
        <v>464</v>
      </c>
      <c r="C80" s="182"/>
      <c r="D80" s="14">
        <f t="shared" si="5"/>
        <v>256960</v>
      </c>
      <c r="E80" s="17">
        <f>IF(F3="1",SUMIF(Data!A:A,'15'!$A$2,Data!EL:EL),0)</f>
        <v>1609422</v>
      </c>
      <c r="F80" s="21">
        <f t="shared" si="4"/>
        <v>6.26</v>
      </c>
    </row>
    <row r="81" spans="1:6" x14ac:dyDescent="0.2">
      <c r="A81" s="19">
        <v>15</v>
      </c>
      <c r="B81" s="181" t="s">
        <v>13</v>
      </c>
      <c r="C81" s="182"/>
      <c r="D81" s="14">
        <f t="shared" si="5"/>
        <v>26081</v>
      </c>
      <c r="E81" s="17">
        <f>IF(F3="1",SUMIF(Data!A:A,'15'!$A$2,Data!EM:EM),0)</f>
        <v>244829</v>
      </c>
      <c r="F81" s="21">
        <f t="shared" si="4"/>
        <v>9.39</v>
      </c>
    </row>
    <row r="82" spans="1:6" x14ac:dyDescent="0.2">
      <c r="A82" s="19">
        <v>16</v>
      </c>
      <c r="B82" s="181" t="s">
        <v>14</v>
      </c>
      <c r="C82" s="182"/>
      <c r="D82" s="14">
        <f t="shared" si="5"/>
        <v>402647</v>
      </c>
      <c r="E82" s="17">
        <f>IF(F3="1",SUMIF(Data!A:A,'15'!$A$2,Data!EN:EN),0)</f>
        <v>1531391</v>
      </c>
      <c r="F82" s="21">
        <f t="shared" si="4"/>
        <v>3.8</v>
      </c>
    </row>
    <row r="83" spans="1:6" x14ac:dyDescent="0.2">
      <c r="A83" s="19">
        <v>17</v>
      </c>
      <c r="B83" s="181" t="s">
        <v>15</v>
      </c>
      <c r="C83" s="182"/>
      <c r="D83" s="14">
        <f t="shared" si="5"/>
        <v>16464</v>
      </c>
      <c r="E83" s="17">
        <f>IF(F3="1",SUMIF(Data!A:A,'15'!$A$2,Data!EO:EO),0)</f>
        <v>189935</v>
      </c>
      <c r="F83" s="21">
        <f t="shared" si="4"/>
        <v>11.54</v>
      </c>
    </row>
    <row r="84" spans="1:6" x14ac:dyDescent="0.2">
      <c r="A84" s="19">
        <v>18</v>
      </c>
      <c r="B84" s="181" t="s">
        <v>16</v>
      </c>
      <c r="C84" s="182"/>
      <c r="D84" s="14">
        <f t="shared" si="5"/>
        <v>97888</v>
      </c>
      <c r="E84" s="17">
        <f>IF(F3="1",SUMIF(Data!A:A,'15'!$A$2,Data!EP:EP),0)</f>
        <v>495845</v>
      </c>
      <c r="F84" s="21">
        <f t="shared" si="4"/>
        <v>5.07</v>
      </c>
    </row>
    <row r="85" spans="1:6" x14ac:dyDescent="0.2">
      <c r="A85" s="19">
        <v>19</v>
      </c>
      <c r="B85" s="181" t="s">
        <v>17</v>
      </c>
      <c r="C85" s="182"/>
      <c r="D85" s="14">
        <f t="shared" si="5"/>
        <v>485893</v>
      </c>
      <c r="E85" s="17">
        <f>IF(F3="1",SUMIF(Data!A:A,'15'!$A$2,Data!EQ:EQ),0)</f>
        <v>1750030</v>
      </c>
      <c r="F85" s="21">
        <f t="shared" si="4"/>
        <v>3.6</v>
      </c>
    </row>
    <row r="86" spans="1:6" x14ac:dyDescent="0.2">
      <c r="A86" s="19">
        <v>20</v>
      </c>
      <c r="B86" s="181" t="s">
        <v>18</v>
      </c>
      <c r="C86" s="182"/>
      <c r="D86" s="14">
        <f t="shared" si="5"/>
        <v>89116</v>
      </c>
      <c r="E86" s="17">
        <f>IF(F3="1",SUMIF(Data!A:A,'15'!$A$2,Data!ER:ER),0)</f>
        <v>353134</v>
      </c>
      <c r="F86" s="21">
        <f t="shared" si="4"/>
        <v>3.96</v>
      </c>
    </row>
    <row r="87" spans="1:6" ht="14.25" customHeight="1" x14ac:dyDescent="0.2">
      <c r="A87" s="19">
        <v>21</v>
      </c>
      <c r="B87" s="181" t="s">
        <v>461</v>
      </c>
      <c r="C87" s="182"/>
      <c r="D87" s="14">
        <f t="shared" si="5"/>
        <v>96732</v>
      </c>
      <c r="E87" s="17">
        <f>IF(F3="1",SUMIF(Data!A:A,'15'!$A$2,Data!ES:ES),0)</f>
        <v>256078</v>
      </c>
      <c r="F87" s="21">
        <f t="shared" si="4"/>
        <v>2.65</v>
      </c>
    </row>
    <row r="88" spans="1:6" x14ac:dyDescent="0.2">
      <c r="A88" s="19">
        <v>22</v>
      </c>
      <c r="B88" s="181" t="s">
        <v>19</v>
      </c>
      <c r="C88" s="182"/>
      <c r="D88" s="14">
        <f t="shared" si="5"/>
        <v>23496</v>
      </c>
      <c r="E88" s="17">
        <f>IF(F3="1",SUMIF(Data!A:A,'15'!$A$2,Data!ET:ET),0)</f>
        <v>68349</v>
      </c>
      <c r="F88" s="21">
        <f t="shared" si="4"/>
        <v>2.91</v>
      </c>
    </row>
    <row r="89" spans="1:6" x14ac:dyDescent="0.2">
      <c r="A89" s="19">
        <v>23</v>
      </c>
      <c r="B89" s="181" t="s">
        <v>20</v>
      </c>
      <c r="C89" s="182"/>
      <c r="D89" s="14">
        <f t="shared" si="5"/>
        <v>123072</v>
      </c>
      <c r="E89" s="17">
        <f>IF(F3="1",SUMIF(Data!A:A,'15'!$A$2,Data!EU:EU),0)</f>
        <v>440550</v>
      </c>
      <c r="F89" s="21">
        <f t="shared" si="4"/>
        <v>3.58</v>
      </c>
    </row>
    <row r="90" spans="1:6" x14ac:dyDescent="0.2">
      <c r="A90" s="19">
        <v>24</v>
      </c>
      <c r="B90" s="181" t="s">
        <v>21</v>
      </c>
      <c r="C90" s="182"/>
      <c r="D90" s="14">
        <f t="shared" si="5"/>
        <v>221784</v>
      </c>
      <c r="E90" s="17">
        <f>IF(F3="1",SUMIF(Data!A:A,'15'!$A$2,Data!EV:EV),0)</f>
        <v>680425</v>
      </c>
      <c r="F90" s="21">
        <f t="shared" si="4"/>
        <v>3.07</v>
      </c>
    </row>
    <row r="91" spans="1:6" x14ac:dyDescent="0.2">
      <c r="A91" s="19">
        <v>25</v>
      </c>
      <c r="B91" s="181" t="s">
        <v>22</v>
      </c>
      <c r="C91" s="182"/>
      <c r="D91" s="14">
        <f t="shared" si="5"/>
        <v>520656</v>
      </c>
      <c r="E91" s="17">
        <f>IF(F3="1",SUMIF(Data!A:A,'15'!$A$2,Data!EW:EW),0)</f>
        <v>1654168</v>
      </c>
      <c r="F91" s="21">
        <f t="shared" si="4"/>
        <v>3.18</v>
      </c>
    </row>
    <row r="92" spans="1:6" x14ac:dyDescent="0.2">
      <c r="A92" s="19">
        <v>26</v>
      </c>
      <c r="B92" s="181" t="s">
        <v>23</v>
      </c>
      <c r="C92" s="182"/>
      <c r="D92" s="14">
        <f t="shared" si="5"/>
        <v>209478</v>
      </c>
      <c r="E92" s="17">
        <f>IF(F3="1",SUMIF(Data!A:A,'15'!$A$2,Data!EX:EX),0)</f>
        <v>1391416</v>
      </c>
      <c r="F92" s="21">
        <f t="shared" si="4"/>
        <v>6.64</v>
      </c>
    </row>
    <row r="93" spans="1:6" x14ac:dyDescent="0.2">
      <c r="A93" s="19">
        <v>28</v>
      </c>
      <c r="B93" s="181" t="s">
        <v>24</v>
      </c>
      <c r="C93" s="182"/>
      <c r="D93" s="14">
        <f t="shared" si="5"/>
        <v>0</v>
      </c>
      <c r="E93" s="17">
        <f>IF(F3="1",SUMIF(Data!A:A,'15'!$A$2,Data!EZ:EZ),0)</f>
        <v>0</v>
      </c>
      <c r="F93" s="21" t="str">
        <f t="shared" si="4"/>
        <v/>
      </c>
    </row>
    <row r="94" spans="1:6" ht="15.75" customHeight="1" thickBot="1" x14ac:dyDescent="0.25">
      <c r="A94" s="22">
        <v>29</v>
      </c>
      <c r="B94" s="183" t="s">
        <v>25</v>
      </c>
      <c r="C94" s="184"/>
      <c r="D94" s="23">
        <f t="shared" si="5"/>
        <v>0</v>
      </c>
      <c r="E94" s="24">
        <f>IF(F3="1",SUMIF(Data!A:A,'15'!$A$2,Data!FA:FA),0)</f>
        <v>0</v>
      </c>
      <c r="F94" s="25" t="str">
        <f t="shared" si="4"/>
        <v/>
      </c>
    </row>
    <row r="95" spans="1:6" x14ac:dyDescent="0.2">
      <c r="B95" s="30" t="s">
        <v>35</v>
      </c>
      <c r="C95" s="30"/>
      <c r="D95" s="59">
        <f>SUM(D67:D94)</f>
        <v>5189471</v>
      </c>
      <c r="E95" s="31">
        <f>SUM(E67:E94)</f>
        <v>19796784</v>
      </c>
      <c r="F95" s="32">
        <f t="shared" si="4"/>
        <v>3.81</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IF(F3="1",SUMIF(Data!A:A,'15'!$A$2,Data!AH:AH),0)</f>
        <v>7716692</v>
      </c>
      <c r="F98" s="20">
        <f>IF(OR(E98=0,E98=0),"",ROUND(E98/$D$105,2))</f>
        <v>1.49</v>
      </c>
    </row>
    <row r="99" spans="2:6" x14ac:dyDescent="0.2">
      <c r="B99" s="187" t="s">
        <v>31</v>
      </c>
      <c r="C99" s="188"/>
      <c r="D99" s="36"/>
      <c r="E99" s="17">
        <f>IF(F3="1",SUMIF(Data!A:A,'15'!$A$2,Data!AI:AI),0)</f>
        <v>4072415</v>
      </c>
      <c r="F99" s="21">
        <f t="shared" ref="F99:F104" si="6">IF(OR(E99=0,E99=0),"",ROUND(E99/$D$105,2))</f>
        <v>0.78</v>
      </c>
    </row>
    <row r="100" spans="2:6" x14ac:dyDescent="0.2">
      <c r="B100" s="187" t="s">
        <v>1078</v>
      </c>
      <c r="C100" s="188"/>
      <c r="D100" s="36"/>
      <c r="E100" s="17">
        <f>IF(F3="1",SUMIF(Data!A:A,'15'!$A$2,Data!AJ:AJ),0)</f>
        <v>2523707</v>
      </c>
      <c r="F100" s="21">
        <f t="shared" si="6"/>
        <v>0.49</v>
      </c>
    </row>
    <row r="101" spans="2:6" x14ac:dyDescent="0.2">
      <c r="B101" s="187" t="s">
        <v>1079</v>
      </c>
      <c r="C101" s="188"/>
      <c r="D101" s="36"/>
      <c r="E101" s="17">
        <f>IF(F3="1",SUMIF(Data!A:A,'15'!$A$2,Data!AK:AK),0)</f>
        <v>2785237</v>
      </c>
      <c r="F101" s="21">
        <f t="shared" si="6"/>
        <v>0.54</v>
      </c>
    </row>
    <row r="102" spans="2:6" x14ac:dyDescent="0.2">
      <c r="B102" s="187" t="s">
        <v>1080</v>
      </c>
      <c r="C102" s="188"/>
      <c r="D102" s="36"/>
      <c r="E102" s="17">
        <f>IF(F3="1",SUMIF(Data!A:A,'15'!$A$2,Data!AL:AL),0)</f>
        <v>0</v>
      </c>
      <c r="F102" s="21" t="str">
        <f t="shared" si="6"/>
        <v/>
      </c>
    </row>
    <row r="103" spans="2:6" x14ac:dyDescent="0.2">
      <c r="B103" s="189" t="s">
        <v>34</v>
      </c>
      <c r="C103" s="190"/>
      <c r="D103" s="36"/>
      <c r="E103" s="17">
        <f>IF(F3="1",SUMIF(Data!A:A,'15'!$A$2,Data!AM:AM),0)</f>
        <v>0</v>
      </c>
      <c r="F103" s="21" t="str">
        <f t="shared" si="6"/>
        <v/>
      </c>
    </row>
    <row r="104" spans="2:6" ht="15.75" customHeight="1" thickBot="1" x14ac:dyDescent="0.25">
      <c r="B104" s="179" t="s">
        <v>29</v>
      </c>
      <c r="C104" s="180"/>
      <c r="D104" s="37"/>
      <c r="E104" s="24">
        <f>IF(F3="1",SUMIF(Data!A:A,'15'!$A$2,Data!Q:Q),0)</f>
        <v>4337997</v>
      </c>
      <c r="F104" s="25">
        <f t="shared" si="6"/>
        <v>0.84</v>
      </c>
    </row>
    <row r="105" spans="2:6" x14ac:dyDescent="0.2">
      <c r="B105" s="30" t="s">
        <v>35</v>
      </c>
      <c r="C105" s="30"/>
      <c r="D105" s="34">
        <f>D95</f>
        <v>5189471</v>
      </c>
      <c r="E105" s="31">
        <f>SUM(E98:E104)</f>
        <v>21436048</v>
      </c>
      <c r="F105" s="32">
        <f>IF($D$105=0,"",ROUND(E105/$D$105,2))</f>
        <v>4.13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19796784</v>
      </c>
      <c r="D109" s="15">
        <f>IF(F3="1",SUMIF(Data!$A:$A,$A$2,Data!HJ:HJ),0)</f>
        <v>0</v>
      </c>
      <c r="E109" s="15">
        <f>IF(F3="1",SUMIF(Data!$A:$A,$A$2,Data!IN:IN),0)</f>
        <v>0</v>
      </c>
      <c r="F109" s="47">
        <f>SUM(C109:E109)</f>
        <v>19796784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4337997</v>
      </c>
      <c r="E117" s="52"/>
      <c r="F117" s="49">
        <f>SUM(C117:E117)</f>
        <v>4337997</v>
      </c>
    </row>
    <row r="118" spans="1:6" x14ac:dyDescent="0.2">
      <c r="B118" s="13" t="s">
        <v>35</v>
      </c>
      <c r="C118" s="4">
        <f>SUM(C109:C116)</f>
        <v>19796784</v>
      </c>
      <c r="D118" s="4">
        <f>SUM(D109:D116)</f>
        <v>0</v>
      </c>
      <c r="E118" s="4">
        <f>SUM(E109:E116)</f>
        <v>0</v>
      </c>
      <c r="F118" s="4">
        <f>SUM(F109:F116)</f>
        <v>19796784</v>
      </c>
    </row>
    <row r="119" spans="1:6" ht="15" thickBot="1" x14ac:dyDescent="0.25"/>
    <row r="120" spans="1:6" ht="15" thickBot="1" x14ac:dyDescent="0.25">
      <c r="B120" s="55" t="s">
        <v>934</v>
      </c>
      <c r="C120" s="53"/>
      <c r="D120" s="53"/>
      <c r="E120" s="53">
        <f>IF(F3="1",SUMIF(Data!A:A,'15'!$A$2,Data!AM:AM),0)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1406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439</v>
      </c>
      <c r="B2" s="58" t="str">
        <f>VLOOKUP(A2,Data!A:G,7,0)</f>
        <v>El Paso Community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92849</v>
      </c>
      <c r="E6" s="17">
        <f t="shared" ref="E6:E32" si="1">E37+E68+IFERROR($E$105/$D$105*D6,0)</f>
        <v>1659222.1557356208</v>
      </c>
      <c r="F6" s="21">
        <f t="shared" ref="F6:F33" si="2">IF(OR(D6=0,E6=0),"",ROUND(E6/D6,2))</f>
        <v>17.87</v>
      </c>
    </row>
    <row r="7" spans="1:6" ht="14.25" customHeight="1" x14ac:dyDescent="0.2">
      <c r="A7" s="19">
        <v>3</v>
      </c>
      <c r="B7" s="181" t="s">
        <v>2</v>
      </c>
      <c r="C7" s="182"/>
      <c r="D7" s="14">
        <f t="shared" si="0"/>
        <v>753456</v>
      </c>
      <c r="E7" s="17">
        <f t="shared" si="1"/>
        <v>4645148.4564070459</v>
      </c>
      <c r="F7" s="21">
        <f t="shared" si="2"/>
        <v>6.17</v>
      </c>
    </row>
    <row r="8" spans="1:6" ht="14.25" customHeight="1" x14ac:dyDescent="0.2">
      <c r="A8" s="19">
        <v>4</v>
      </c>
      <c r="B8" s="181" t="s">
        <v>3</v>
      </c>
      <c r="C8" s="182"/>
      <c r="D8" s="14">
        <f t="shared" si="0"/>
        <v>472614</v>
      </c>
      <c r="E8" s="17">
        <f t="shared" si="1"/>
        <v>3128623.9140737611</v>
      </c>
      <c r="F8" s="21">
        <f t="shared" si="2"/>
        <v>6.62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14700</v>
      </c>
      <c r="E10" s="17">
        <f t="shared" si="1"/>
        <v>332939.1086529055</v>
      </c>
      <c r="F10" s="21">
        <f t="shared" si="2"/>
        <v>22.65</v>
      </c>
    </row>
    <row r="11" spans="1:6" x14ac:dyDescent="0.2">
      <c r="A11" s="19">
        <v>7</v>
      </c>
      <c r="B11" s="181" t="s">
        <v>6</v>
      </c>
      <c r="C11" s="182"/>
      <c r="D11" s="14">
        <f t="shared" si="0"/>
        <v>446907</v>
      </c>
      <c r="E11" s="17">
        <f t="shared" si="1"/>
        <v>3394799.115696874</v>
      </c>
      <c r="F11" s="21">
        <f t="shared" si="2"/>
        <v>7.6</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285703</v>
      </c>
      <c r="E13" s="17">
        <f t="shared" si="1"/>
        <v>1397521.6047252426</v>
      </c>
      <c r="F13" s="21">
        <f t="shared" si="2"/>
        <v>4.8899999999999997</v>
      </c>
    </row>
    <row r="14" spans="1:6" x14ac:dyDescent="0.2">
      <c r="A14" s="19">
        <v>10</v>
      </c>
      <c r="B14" s="181" t="s">
        <v>9</v>
      </c>
      <c r="C14" s="182"/>
      <c r="D14" s="14">
        <f t="shared" si="0"/>
        <v>217668</v>
      </c>
      <c r="E14" s="17">
        <f t="shared" si="1"/>
        <v>837519.65865718632</v>
      </c>
      <c r="F14" s="21">
        <f t="shared" si="2"/>
        <v>3.85</v>
      </c>
    </row>
    <row r="15" spans="1:6" x14ac:dyDescent="0.2">
      <c r="A15" s="19">
        <v>11</v>
      </c>
      <c r="B15" s="181" t="s">
        <v>10</v>
      </c>
      <c r="C15" s="182"/>
      <c r="D15" s="14">
        <f t="shared" si="0"/>
        <v>0</v>
      </c>
      <c r="E15" s="17">
        <f t="shared" si="1"/>
        <v>0</v>
      </c>
      <c r="F15" s="21" t="str">
        <f t="shared" si="2"/>
        <v/>
      </c>
    </row>
    <row r="16" spans="1:6" ht="14.25" customHeight="1" x14ac:dyDescent="0.2">
      <c r="A16" s="19">
        <v>12</v>
      </c>
      <c r="B16" s="181" t="s">
        <v>11</v>
      </c>
      <c r="C16" s="182"/>
      <c r="D16" s="14">
        <f t="shared" si="0"/>
        <v>2642382</v>
      </c>
      <c r="E16" s="17">
        <f t="shared" si="1"/>
        <v>17824147.062617809</v>
      </c>
      <c r="F16" s="21">
        <f t="shared" si="2"/>
        <v>6.75</v>
      </c>
    </row>
    <row r="17" spans="1:6" x14ac:dyDescent="0.2">
      <c r="A17" s="19">
        <v>13</v>
      </c>
      <c r="B17" s="181" t="s">
        <v>12</v>
      </c>
      <c r="C17" s="182"/>
      <c r="D17" s="14">
        <f t="shared" si="0"/>
        <v>73796</v>
      </c>
      <c r="E17" s="17">
        <f t="shared" si="1"/>
        <v>591256.09674488544</v>
      </c>
      <c r="F17" s="21">
        <f t="shared" si="2"/>
        <v>8.01</v>
      </c>
    </row>
    <row r="18" spans="1:6" ht="14.25" customHeight="1" x14ac:dyDescent="0.2">
      <c r="A18" s="19">
        <v>14</v>
      </c>
      <c r="B18" s="181" t="s">
        <v>464</v>
      </c>
      <c r="C18" s="182"/>
      <c r="D18" s="14">
        <f t="shared" si="0"/>
        <v>161426</v>
      </c>
      <c r="E18" s="17">
        <f t="shared" si="1"/>
        <v>2122136.9260818996</v>
      </c>
      <c r="F18" s="21">
        <f t="shared" si="2"/>
        <v>13.15</v>
      </c>
    </row>
    <row r="19" spans="1:6" x14ac:dyDescent="0.2">
      <c r="A19" s="19">
        <v>15</v>
      </c>
      <c r="B19" s="181" t="s">
        <v>13</v>
      </c>
      <c r="C19" s="182"/>
      <c r="D19" s="14">
        <f t="shared" si="0"/>
        <v>24976</v>
      </c>
      <c r="E19" s="17">
        <f t="shared" si="1"/>
        <v>373240.48555884138</v>
      </c>
      <c r="F19" s="21">
        <f t="shared" si="2"/>
        <v>14.94</v>
      </c>
    </row>
    <row r="20" spans="1:6" x14ac:dyDescent="0.2">
      <c r="A20" s="19">
        <v>16</v>
      </c>
      <c r="B20" s="181" t="s">
        <v>14</v>
      </c>
      <c r="C20" s="182"/>
      <c r="D20" s="14">
        <f t="shared" si="0"/>
        <v>296710</v>
      </c>
      <c r="E20" s="17">
        <f t="shared" si="1"/>
        <v>2983869.2944492241</v>
      </c>
      <c r="F20" s="21">
        <f t="shared" si="2"/>
        <v>10.06</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35952</v>
      </c>
      <c r="E22" s="17">
        <f t="shared" si="1"/>
        <v>138321.82001967751</v>
      </c>
      <c r="F22" s="21">
        <f t="shared" si="2"/>
        <v>3.85</v>
      </c>
    </row>
    <row r="23" spans="1:6" x14ac:dyDescent="0.2">
      <c r="A23" s="19">
        <v>19</v>
      </c>
      <c r="B23" s="181" t="s">
        <v>17</v>
      </c>
      <c r="C23" s="182"/>
      <c r="D23" s="14">
        <f t="shared" si="0"/>
        <v>1065176</v>
      </c>
      <c r="E23" s="17">
        <f t="shared" si="1"/>
        <v>6677310.412140632</v>
      </c>
      <c r="F23" s="21">
        <f t="shared" si="2"/>
        <v>6.27</v>
      </c>
    </row>
    <row r="24" spans="1:6" x14ac:dyDescent="0.2">
      <c r="A24" s="19">
        <v>20</v>
      </c>
      <c r="B24" s="181" t="s">
        <v>18</v>
      </c>
      <c r="C24" s="182"/>
      <c r="D24" s="14">
        <f t="shared" si="0"/>
        <v>89037</v>
      </c>
      <c r="E24" s="17">
        <f t="shared" si="1"/>
        <v>660860.2440223638</v>
      </c>
      <c r="F24" s="21">
        <f t="shared" si="2"/>
        <v>7.42</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127590</v>
      </c>
      <c r="E26" s="17">
        <f t="shared" si="1"/>
        <v>767244.54918532073</v>
      </c>
      <c r="F26" s="21">
        <f t="shared" si="2"/>
        <v>6.01</v>
      </c>
    </row>
    <row r="27" spans="1:6" x14ac:dyDescent="0.2">
      <c r="A27" s="19">
        <v>23</v>
      </c>
      <c r="B27" s="181" t="s">
        <v>20</v>
      </c>
      <c r="C27" s="182"/>
      <c r="D27" s="14">
        <f t="shared" si="0"/>
        <v>48512</v>
      </c>
      <c r="E27" s="17">
        <f t="shared" si="1"/>
        <v>752642.62986188789</v>
      </c>
      <c r="F27" s="21">
        <f t="shared" si="2"/>
        <v>15.51</v>
      </c>
    </row>
    <row r="28" spans="1:6" x14ac:dyDescent="0.2">
      <c r="A28" s="19">
        <v>24</v>
      </c>
      <c r="B28" s="181" t="s">
        <v>21</v>
      </c>
      <c r="C28" s="182"/>
      <c r="D28" s="14">
        <f t="shared" si="0"/>
        <v>204842</v>
      </c>
      <c r="E28" s="17">
        <f t="shared" si="1"/>
        <v>1457022.8649441139</v>
      </c>
      <c r="F28" s="21">
        <f t="shared" si="2"/>
        <v>7.11</v>
      </c>
    </row>
    <row r="29" spans="1:6" x14ac:dyDescent="0.2">
      <c r="A29" s="19">
        <v>25</v>
      </c>
      <c r="B29" s="181" t="s">
        <v>22</v>
      </c>
      <c r="C29" s="182"/>
      <c r="D29" s="14">
        <f t="shared" si="0"/>
        <v>1196592</v>
      </c>
      <c r="E29" s="17">
        <f t="shared" si="1"/>
        <v>7694955.8721903078</v>
      </c>
      <c r="F29" s="21">
        <f t="shared" si="2"/>
        <v>6.43</v>
      </c>
    </row>
    <row r="30" spans="1:6" x14ac:dyDescent="0.2">
      <c r="A30" s="19">
        <v>26</v>
      </c>
      <c r="B30" s="181" t="s">
        <v>23</v>
      </c>
      <c r="C30" s="182"/>
      <c r="D30" s="14">
        <f t="shared" si="0"/>
        <v>298980</v>
      </c>
      <c r="E30" s="17">
        <f t="shared" si="1"/>
        <v>1955011.7282344007</v>
      </c>
      <c r="F30" s="21">
        <f t="shared" si="2"/>
        <v>6.54</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8549868</v>
      </c>
      <c r="E33" s="31">
        <f>SUM(E5:E32)</f>
        <v>59393794.000000007</v>
      </c>
      <c r="F33" s="32">
        <f t="shared" si="2"/>
        <v>6.95</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IF(F3="1",SUMIF(Data!A:A,'16'!$A$2,Data!CU:CU),0)</f>
        <v>0</v>
      </c>
      <c r="E36" s="15">
        <f>IF(F3="1",SUMIF(Data!$A:$A,$A$2,Data!IO:IO),0)</f>
        <v>0</v>
      </c>
      <c r="F36" s="20" t="str">
        <f t="shared" ref="F36:F64" si="3">IF(OR(D36=0,E36=0),"",ROUND(E36/D36,2))</f>
        <v/>
      </c>
    </row>
    <row r="37" spans="1:6" x14ac:dyDescent="0.2">
      <c r="A37" s="19">
        <v>2</v>
      </c>
      <c r="B37" s="181" t="s">
        <v>1</v>
      </c>
      <c r="C37" s="182"/>
      <c r="D37" s="14">
        <f>IF(F3="1",SUMIF(Data!A:A,'16'!$A$2,Data!CV:CV),0)</f>
        <v>92849</v>
      </c>
      <c r="E37" s="17">
        <f>IF(F3="1",SUMIF(Data!$A:$A,$A$2,Data!IP:IP),0)</f>
        <v>437454</v>
      </c>
      <c r="F37" s="21">
        <f t="shared" si="3"/>
        <v>4.71</v>
      </c>
    </row>
    <row r="38" spans="1:6" ht="14.25" customHeight="1" x14ac:dyDescent="0.2">
      <c r="A38" s="19">
        <v>3</v>
      </c>
      <c r="B38" s="181" t="s">
        <v>2</v>
      </c>
      <c r="C38" s="182"/>
      <c r="D38" s="14">
        <f>IF(F3="1",SUMIF(Data!A:A,'16'!$A$2,Data!CW:CW),0)</f>
        <v>753456</v>
      </c>
      <c r="E38" s="17">
        <f>IF($F$3="1",SUMIF(Data!$A:$A,$A$2,Data!IQ:IQ),0)</f>
        <v>255566</v>
      </c>
      <c r="F38" s="21">
        <f t="shared" si="3"/>
        <v>0.34</v>
      </c>
    </row>
    <row r="39" spans="1:6" ht="14.25" customHeight="1" x14ac:dyDescent="0.2">
      <c r="A39" s="19">
        <v>4</v>
      </c>
      <c r="B39" s="181" t="s">
        <v>3</v>
      </c>
      <c r="C39" s="182"/>
      <c r="D39" s="14">
        <f>IF(F3="1",SUMIF(Data!A:A,'16'!$A$2,Data!CX:CX),0)</f>
        <v>472614</v>
      </c>
      <c r="E39" s="17">
        <f>IF($F$3="1",SUMIF(Data!$A:$A,$A$2,Data!IR:IR),0)</f>
        <v>302862</v>
      </c>
      <c r="F39" s="21">
        <f t="shared" si="3"/>
        <v>0.64</v>
      </c>
    </row>
    <row r="40" spans="1:6" x14ac:dyDescent="0.2">
      <c r="A40" s="19">
        <v>5</v>
      </c>
      <c r="B40" s="181" t="s">
        <v>4</v>
      </c>
      <c r="C40" s="182"/>
      <c r="D40" s="14">
        <f>IF(F3="1",SUMIF(Data!A:A,'16'!$A$2,Data!CY:CY),0)</f>
        <v>0</v>
      </c>
      <c r="E40" s="17">
        <f>IF($F$3="1",SUMIF(Data!$A:$A,$A$2,Data!IS:IS),0)</f>
        <v>0</v>
      </c>
      <c r="F40" s="21" t="str">
        <f t="shared" si="3"/>
        <v/>
      </c>
    </row>
    <row r="41" spans="1:6" x14ac:dyDescent="0.2">
      <c r="A41" s="19">
        <v>6</v>
      </c>
      <c r="B41" s="181" t="s">
        <v>5</v>
      </c>
      <c r="C41" s="182"/>
      <c r="D41" s="14">
        <f>IF(F3="1",SUMIF(Data!A:A,'16'!$A$2,Data!CZ:CZ),0)</f>
        <v>14700</v>
      </c>
      <c r="E41" s="17">
        <f>IF($F$3="1",SUMIF(Data!$A:$A,$A$2,Data!IT:IT),0)</f>
        <v>83187</v>
      </c>
      <c r="F41" s="21">
        <f t="shared" si="3"/>
        <v>5.66</v>
      </c>
    </row>
    <row r="42" spans="1:6" x14ac:dyDescent="0.2">
      <c r="A42" s="19">
        <v>7</v>
      </c>
      <c r="B42" s="181" t="s">
        <v>6</v>
      </c>
      <c r="C42" s="182"/>
      <c r="D42" s="14">
        <f>IF(F3="1",SUMIF(Data!A:A,'16'!$A$2,Data!DA:DA),0)</f>
        <v>446907</v>
      </c>
      <c r="E42" s="17">
        <f>IF($F$3="1",SUMIF(Data!$A:$A,$A$2,Data!IU:IU),0)</f>
        <v>286524</v>
      </c>
      <c r="F42" s="21">
        <f t="shared" si="3"/>
        <v>0.64</v>
      </c>
    </row>
    <row r="43" spans="1:6" x14ac:dyDescent="0.2">
      <c r="A43" s="19">
        <v>8</v>
      </c>
      <c r="B43" s="181" t="s">
        <v>7</v>
      </c>
      <c r="C43" s="182"/>
      <c r="D43" s="14">
        <f>IF(F3="1",SUMIF(Data!A:A,'16'!$A$2,Data!DB:DB),0)</f>
        <v>0</v>
      </c>
      <c r="E43" s="17">
        <f>IF($F$3="1",SUMIF(Data!$A:$A,$A$2,Data!IV:IV),0)</f>
        <v>0</v>
      </c>
      <c r="F43" s="21" t="str">
        <f t="shared" si="3"/>
        <v/>
      </c>
    </row>
    <row r="44" spans="1:6" x14ac:dyDescent="0.2">
      <c r="A44" s="19">
        <v>9</v>
      </c>
      <c r="B44" s="181" t="s">
        <v>8</v>
      </c>
      <c r="C44" s="182"/>
      <c r="D44" s="14">
        <f>IF(F3="1",SUMIF(Data!A:A,'16'!$A$2,Data!DC:DC),0)</f>
        <v>285703</v>
      </c>
      <c r="E44" s="17">
        <f>IF($F$3="1",SUMIF(Data!$A:$A,$A$2,Data!IW:IW),0)</f>
        <v>82054</v>
      </c>
      <c r="F44" s="21">
        <f t="shared" si="3"/>
        <v>0.28999999999999998</v>
      </c>
    </row>
    <row r="45" spans="1:6" x14ac:dyDescent="0.2">
      <c r="A45" s="19">
        <v>10</v>
      </c>
      <c r="B45" s="181" t="s">
        <v>9</v>
      </c>
      <c r="C45" s="182"/>
      <c r="D45" s="14">
        <f>IF(F3="1",SUMIF(Data!A:A,'16'!$A$2,Data!DD:DD),0)</f>
        <v>217668</v>
      </c>
      <c r="E45" s="17">
        <f>IF($F$3="1",SUMIF(Data!$A:$A,$A$2,Data!IX:IX),0)</f>
        <v>3561</v>
      </c>
      <c r="F45" s="21">
        <f t="shared" si="3"/>
        <v>0.02</v>
      </c>
    </row>
    <row r="46" spans="1:6" x14ac:dyDescent="0.2">
      <c r="A46" s="19">
        <v>11</v>
      </c>
      <c r="B46" s="181" t="s">
        <v>10</v>
      </c>
      <c r="C46" s="182"/>
      <c r="D46" s="14">
        <f>IF(F3="1",SUMIF(Data!A:A,'16'!$A$2,Data!DE:DE),0)</f>
        <v>0</v>
      </c>
      <c r="E46" s="17">
        <f>IF($F$3="1",SUMIF(Data!$A:$A,$A$2,Data!IY:IY),0)</f>
        <v>0</v>
      </c>
      <c r="F46" s="21" t="str">
        <f t="shared" si="3"/>
        <v/>
      </c>
    </row>
    <row r="47" spans="1:6" ht="14.25" customHeight="1" x14ac:dyDescent="0.2">
      <c r="A47" s="19">
        <v>12</v>
      </c>
      <c r="B47" s="181" t="s">
        <v>11</v>
      </c>
      <c r="C47" s="182"/>
      <c r="D47" s="14">
        <f>IF(F3="1",SUMIF(Data!A:A,'16'!$A$2,Data!DF:DF),0)</f>
        <v>2642382</v>
      </c>
      <c r="E47" s="17">
        <f>IF($F$3="1",SUMIF(Data!$A:$A,$A$2,Data!IZ:IZ),0)</f>
        <v>1117236</v>
      </c>
      <c r="F47" s="21">
        <f t="shared" si="3"/>
        <v>0.42</v>
      </c>
    </row>
    <row r="48" spans="1:6" x14ac:dyDescent="0.2">
      <c r="A48" s="19">
        <v>13</v>
      </c>
      <c r="B48" s="181" t="s">
        <v>12</v>
      </c>
      <c r="C48" s="182"/>
      <c r="D48" s="14">
        <f>IF(F3="1",SUMIF(Data!A:A,'16'!$A$2,Data!DG:DG),0)</f>
        <v>73796</v>
      </c>
      <c r="E48" s="17">
        <f>IF($F$3="1",SUMIF(Data!$A:$A,$A$2,Data!JA:JA),0)</f>
        <v>23208</v>
      </c>
      <c r="F48" s="21">
        <f t="shared" si="3"/>
        <v>0.31</v>
      </c>
    </row>
    <row r="49" spans="1:6" ht="14.25" customHeight="1" x14ac:dyDescent="0.2">
      <c r="A49" s="19">
        <v>14</v>
      </c>
      <c r="B49" s="181" t="s">
        <v>464</v>
      </c>
      <c r="C49" s="182"/>
      <c r="D49" s="14">
        <f>IF(F3="1",SUMIF(Data!A:A,'16'!$A$2,Data!DH:DH),0)</f>
        <v>161426</v>
      </c>
      <c r="E49" s="17">
        <f>IF($F$3="1",SUMIF(Data!$A:$A,$A$2,Data!JB:JB),0)</f>
        <v>164533</v>
      </c>
      <c r="F49" s="21">
        <f t="shared" si="3"/>
        <v>1.02</v>
      </c>
    </row>
    <row r="50" spans="1:6" x14ac:dyDescent="0.2">
      <c r="A50" s="19">
        <v>15</v>
      </c>
      <c r="B50" s="181" t="s">
        <v>13</v>
      </c>
      <c r="C50" s="182"/>
      <c r="D50" s="14">
        <f>IF(F3="1",SUMIF(Data!A:A,'16'!$A$2,Data!DI:DI),0)</f>
        <v>24976</v>
      </c>
      <c r="E50" s="17">
        <f>IF($F$3="1",SUMIF(Data!$A:$A,$A$2,Data!JC:JC),0)</f>
        <v>25770</v>
      </c>
      <c r="F50" s="21">
        <f t="shared" si="3"/>
        <v>1.03</v>
      </c>
    </row>
    <row r="51" spans="1:6" x14ac:dyDescent="0.2">
      <c r="A51" s="19">
        <v>16</v>
      </c>
      <c r="B51" s="181" t="s">
        <v>14</v>
      </c>
      <c r="C51" s="182"/>
      <c r="D51" s="14">
        <f>IF(F3="1",SUMIF(Data!A:A,'16'!$A$2,Data!DJ:DJ),0)</f>
        <v>296710</v>
      </c>
      <c r="E51" s="17">
        <f>IF($F$3="1",SUMIF(Data!$A:$A,$A$2,Data!JD:JD),0)</f>
        <v>163385</v>
      </c>
      <c r="F51" s="21">
        <f t="shared" si="3"/>
        <v>0.55000000000000004</v>
      </c>
    </row>
    <row r="52" spans="1:6" x14ac:dyDescent="0.2">
      <c r="A52" s="19">
        <v>17</v>
      </c>
      <c r="B52" s="181" t="s">
        <v>15</v>
      </c>
      <c r="C52" s="182"/>
      <c r="D52" s="14">
        <f>IF(F3="1",SUMIF(Data!A:A,'16'!$A$2,Data!DK:DK),0)</f>
        <v>0</v>
      </c>
      <c r="E52" s="17">
        <f>IF($F$3="1",SUMIF(Data!$A:$A,$A$2,Data!JE:JE),0)</f>
        <v>0</v>
      </c>
      <c r="F52" s="21" t="str">
        <f t="shared" si="3"/>
        <v/>
      </c>
    </row>
    <row r="53" spans="1:6" x14ac:dyDescent="0.2">
      <c r="A53" s="19">
        <v>18</v>
      </c>
      <c r="B53" s="181" t="s">
        <v>16</v>
      </c>
      <c r="C53" s="182"/>
      <c r="D53" s="14">
        <f>IF(F3="1",SUMIF(Data!A:A,'16'!$A$2,Data!DL:DL),0)</f>
        <v>35952</v>
      </c>
      <c r="E53" s="17">
        <f>IF($F$3="1",SUMIF(Data!$A:$A,$A$2,Data!JF:JF),0)</f>
        <v>2220</v>
      </c>
      <c r="F53" s="21">
        <f t="shared" si="3"/>
        <v>0.06</v>
      </c>
    </row>
    <row r="54" spans="1:6" x14ac:dyDescent="0.2">
      <c r="A54" s="19">
        <v>19</v>
      </c>
      <c r="B54" s="181" t="s">
        <v>17</v>
      </c>
      <c r="C54" s="182"/>
      <c r="D54" s="14">
        <f>IF(F3="1",SUMIF(Data!A:A,'16'!$A$2,Data!DM:DM),0)</f>
        <v>1065176</v>
      </c>
      <c r="E54" s="17">
        <f>IF($F$3="1",SUMIF(Data!$A:$A,$A$2,Data!JG:JG),0)</f>
        <v>358736</v>
      </c>
      <c r="F54" s="21">
        <f t="shared" si="3"/>
        <v>0.34</v>
      </c>
    </row>
    <row r="55" spans="1:6" x14ac:dyDescent="0.2">
      <c r="A55" s="19">
        <v>20</v>
      </c>
      <c r="B55" s="181" t="s">
        <v>18</v>
      </c>
      <c r="C55" s="182"/>
      <c r="D55" s="14">
        <f>IF(F3="1",SUMIF(Data!A:A,'16'!$A$2,Data!DN:DN),0)</f>
        <v>89037</v>
      </c>
      <c r="E55" s="17">
        <f>IF($F$3="1",SUMIF(Data!$A:$A,$A$2,Data!JH:JH),0)</f>
        <v>73768</v>
      </c>
      <c r="F55" s="21">
        <f t="shared" si="3"/>
        <v>0.83</v>
      </c>
    </row>
    <row r="56" spans="1:6" ht="14.25" customHeight="1" x14ac:dyDescent="0.2">
      <c r="A56" s="19">
        <v>21</v>
      </c>
      <c r="B56" s="181" t="s">
        <v>461</v>
      </c>
      <c r="C56" s="182"/>
      <c r="D56" s="14">
        <f>IF(F3="1",SUMIF(Data!A:A,'16'!$A$2,Data!DO:DO),0)</f>
        <v>0</v>
      </c>
      <c r="E56" s="17">
        <f>IF($F$3="1",SUMIF(Data!$A:$A,$A$2,Data!JI:JI),0)</f>
        <v>0</v>
      </c>
      <c r="F56" s="21" t="str">
        <f t="shared" si="3"/>
        <v/>
      </c>
    </row>
    <row r="57" spans="1:6" x14ac:dyDescent="0.2">
      <c r="A57" s="19">
        <v>22</v>
      </c>
      <c r="B57" s="181" t="s">
        <v>19</v>
      </c>
      <c r="C57" s="182"/>
      <c r="D57" s="14">
        <f>IF(F3="1",SUMIF(Data!A:A,'16'!$A$2,Data!DP:DP),0)</f>
        <v>127590</v>
      </c>
      <c r="E57" s="17">
        <f>IF($F$3="1",SUMIF(Data!$A:$A,$A$2,Data!JJ:JJ),0)</f>
        <v>64039</v>
      </c>
      <c r="F57" s="21">
        <f t="shared" si="3"/>
        <v>0.5</v>
      </c>
    </row>
    <row r="58" spans="1:6" x14ac:dyDescent="0.2">
      <c r="A58" s="19">
        <v>23</v>
      </c>
      <c r="B58" s="181" t="s">
        <v>20</v>
      </c>
      <c r="C58" s="182"/>
      <c r="D58" s="14">
        <f>IF(F3="1",SUMIF(Data!A:A,'16'!$A$2,Data!DQ:DQ),0)</f>
        <v>48512</v>
      </c>
      <c r="E58" s="17">
        <f>IF($F$3="1",SUMIF(Data!$A:$A,$A$2,Data!JK:JK),0)</f>
        <v>134289</v>
      </c>
      <c r="F58" s="21">
        <f t="shared" si="3"/>
        <v>2.77</v>
      </c>
    </row>
    <row r="59" spans="1:6" x14ac:dyDescent="0.2">
      <c r="A59" s="19">
        <v>24</v>
      </c>
      <c r="B59" s="181" t="s">
        <v>21</v>
      </c>
      <c r="C59" s="182"/>
      <c r="D59" s="14">
        <f>IF(F3="1",SUMIF(Data!A:A,'16'!$A$2,Data!DR:DR),0)</f>
        <v>204842</v>
      </c>
      <c r="E59" s="17">
        <f>IF($F$3="1",SUMIF(Data!$A:$A,$A$2,Data!JL:JL),0)</f>
        <v>151158</v>
      </c>
      <c r="F59" s="21">
        <f t="shared" si="3"/>
        <v>0.74</v>
      </c>
    </row>
    <row r="60" spans="1:6" x14ac:dyDescent="0.2">
      <c r="A60" s="19">
        <v>25</v>
      </c>
      <c r="B60" s="181" t="s">
        <v>22</v>
      </c>
      <c r="C60" s="182"/>
      <c r="D60" s="14">
        <f>IF(F3="1",SUMIF(Data!A:A,'16'!$A$2,Data!DS:DS),0)</f>
        <v>1196592</v>
      </c>
      <c r="E60" s="17">
        <f>IF($F$3="1",SUMIF(Data!$A:$A,$A$2,Data!JM:JM),0)</f>
        <v>127218</v>
      </c>
      <c r="F60" s="21">
        <f t="shared" si="3"/>
        <v>0.11</v>
      </c>
    </row>
    <row r="61" spans="1:6" x14ac:dyDescent="0.2">
      <c r="A61" s="19">
        <v>26</v>
      </c>
      <c r="B61" s="181" t="s">
        <v>23</v>
      </c>
      <c r="C61" s="182"/>
      <c r="D61" s="14">
        <f>IF(F3="1",SUMIF(Data!A:A,'16'!$A$2,Data!DT:DT),0)</f>
        <v>298980</v>
      </c>
      <c r="E61" s="17">
        <f>IF($F$3="1",SUMIF(Data!$A:$A,$A$2,Data!JN:JN),0)</f>
        <v>65664</v>
      </c>
      <c r="F61" s="21">
        <f t="shared" si="3"/>
        <v>0.22</v>
      </c>
    </row>
    <row r="62" spans="1:6" x14ac:dyDescent="0.2">
      <c r="A62" s="19">
        <v>28</v>
      </c>
      <c r="B62" s="181" t="s">
        <v>24</v>
      </c>
      <c r="C62" s="182"/>
      <c r="D62" s="14">
        <f>IF(F3="1",SUMIF(Data!A:A,'16'!$A$2,Data!DV:DV),0)</f>
        <v>0</v>
      </c>
      <c r="E62" s="17">
        <f>IF($F$3="1",SUMIF(Data!$A:$A,$A$2,Data!JP:JP),0)</f>
        <v>0</v>
      </c>
      <c r="F62" s="21" t="str">
        <f t="shared" si="3"/>
        <v/>
      </c>
    </row>
    <row r="63" spans="1:6" ht="15.75" customHeight="1" thickBot="1" x14ac:dyDescent="0.25">
      <c r="A63" s="22">
        <v>29</v>
      </c>
      <c r="B63" s="183" t="s">
        <v>25</v>
      </c>
      <c r="C63" s="184"/>
      <c r="D63" s="23">
        <f>IF(F3="1",SUMIF(Data!A:A,'16'!$A$2,Data!DW:DW),0)</f>
        <v>0</v>
      </c>
      <c r="E63" s="24">
        <f>IF($F$3="1",SUMIF(Data!$A:$A,$A$2,Data!JQ:JQ),0)</f>
        <v>0</v>
      </c>
      <c r="F63" s="25" t="str">
        <f t="shared" si="3"/>
        <v/>
      </c>
    </row>
    <row r="64" spans="1:6" x14ac:dyDescent="0.2">
      <c r="B64" s="30" t="s">
        <v>35</v>
      </c>
      <c r="C64" s="30"/>
      <c r="D64" s="59">
        <f>SUM(D36:D63)</f>
        <v>8549868</v>
      </c>
      <c r="E64" s="31">
        <f>SUM(E36:E63)</f>
        <v>3922432</v>
      </c>
      <c r="F64" s="32">
        <f t="shared" si="3"/>
        <v>0.46</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IF(F3="1",SUMIF(Data!A:A,'16'!$A$2,Data!DY:DY),0)</f>
        <v>0</v>
      </c>
      <c r="F67" s="20" t="str">
        <f t="shared" ref="F67:F95" si="4">IF(OR(D67=0,E67=0),"",ROUND(E67/D67,2))</f>
        <v/>
      </c>
    </row>
    <row r="68" spans="1:6" x14ac:dyDescent="0.2">
      <c r="A68" s="19">
        <v>2</v>
      </c>
      <c r="B68" s="181" t="s">
        <v>1</v>
      </c>
      <c r="C68" s="182"/>
      <c r="D68" s="14">
        <f t="shared" ref="D68:D94" si="5">D37</f>
        <v>92849</v>
      </c>
      <c r="E68" s="17">
        <f>IF(F3="1",SUMIF(Data!A:A,'16'!$A$2,Data!DZ:DZ),0)</f>
        <v>870274</v>
      </c>
      <c r="F68" s="21">
        <f t="shared" si="4"/>
        <v>9.3699999999999992</v>
      </c>
    </row>
    <row r="69" spans="1:6" ht="14.25" customHeight="1" x14ac:dyDescent="0.2">
      <c r="A69" s="19">
        <v>3</v>
      </c>
      <c r="B69" s="181" t="s">
        <v>2</v>
      </c>
      <c r="C69" s="182"/>
      <c r="D69" s="14">
        <f t="shared" si="5"/>
        <v>753456</v>
      </c>
      <c r="E69" s="17">
        <f>IF(F3="1",SUMIF(Data!A:A,'16'!$A$2,Data!EA:EA),0)</f>
        <v>1537259</v>
      </c>
      <c r="F69" s="21">
        <f t="shared" si="4"/>
        <v>2.04</v>
      </c>
    </row>
    <row r="70" spans="1:6" ht="14.25" customHeight="1" x14ac:dyDescent="0.2">
      <c r="A70" s="19">
        <v>4</v>
      </c>
      <c r="B70" s="181" t="s">
        <v>3</v>
      </c>
      <c r="C70" s="182"/>
      <c r="D70" s="14">
        <f t="shared" si="5"/>
        <v>472614</v>
      </c>
      <c r="E70" s="17">
        <f>IF(F3="1",SUMIF(Data!A:A,'16'!$A$2,Data!EB:EB),0)</f>
        <v>1036609</v>
      </c>
      <c r="F70" s="21">
        <f t="shared" si="4"/>
        <v>2.19</v>
      </c>
    </row>
    <row r="71" spans="1:6" x14ac:dyDescent="0.2">
      <c r="A71" s="19">
        <v>5</v>
      </c>
      <c r="B71" s="181" t="s">
        <v>4</v>
      </c>
      <c r="C71" s="182"/>
      <c r="D71" s="14">
        <f t="shared" si="5"/>
        <v>0</v>
      </c>
      <c r="E71" s="17">
        <f>IF(F3="1",SUMIF(Data!A:A,'16'!$A$2,Data!EC:EC),0)</f>
        <v>0</v>
      </c>
      <c r="F71" s="21" t="str">
        <f t="shared" si="4"/>
        <v/>
      </c>
    </row>
    <row r="72" spans="1:6" x14ac:dyDescent="0.2">
      <c r="A72" s="19">
        <v>6</v>
      </c>
      <c r="B72" s="181" t="s">
        <v>5</v>
      </c>
      <c r="C72" s="182"/>
      <c r="D72" s="14">
        <f t="shared" si="5"/>
        <v>14700</v>
      </c>
      <c r="E72" s="17">
        <f>IF(F3="1",SUMIF(Data!A:A,'16'!$A$2,Data!ED:ED),0)</f>
        <v>194103</v>
      </c>
      <c r="F72" s="21">
        <f t="shared" si="4"/>
        <v>13.2</v>
      </c>
    </row>
    <row r="73" spans="1:6" x14ac:dyDescent="0.2">
      <c r="A73" s="19">
        <v>7</v>
      </c>
      <c r="B73" s="181" t="s">
        <v>6</v>
      </c>
      <c r="C73" s="182"/>
      <c r="D73" s="14">
        <f t="shared" si="5"/>
        <v>446907</v>
      </c>
      <c r="E73" s="17">
        <f>IF(F3="1",SUMIF(Data!A:A,'16'!$A$2,Data!EE:EE),0)</f>
        <v>1416440</v>
      </c>
      <c r="F73" s="21">
        <f t="shared" si="4"/>
        <v>3.17</v>
      </c>
    </row>
    <row r="74" spans="1:6" x14ac:dyDescent="0.2">
      <c r="A74" s="19">
        <v>8</v>
      </c>
      <c r="B74" s="181" t="s">
        <v>7</v>
      </c>
      <c r="C74" s="182"/>
      <c r="D74" s="14">
        <f t="shared" si="5"/>
        <v>0</v>
      </c>
      <c r="E74" s="17">
        <f>IF(F3="1",SUMIF(Data!A:A,'16'!$A$2,Data!EF:EF),0)</f>
        <v>0</v>
      </c>
      <c r="F74" s="21" t="str">
        <f t="shared" si="4"/>
        <v/>
      </c>
    </row>
    <row r="75" spans="1:6" x14ac:dyDescent="0.2">
      <c r="A75" s="19">
        <v>9</v>
      </c>
      <c r="B75" s="181" t="s">
        <v>8</v>
      </c>
      <c r="C75" s="182"/>
      <c r="D75" s="14">
        <f t="shared" si="5"/>
        <v>285703</v>
      </c>
      <c r="E75" s="17">
        <f>IF(F3="1",SUMIF(Data!A:A,'16'!$A$2,Data!EG:EG),0)</f>
        <v>233895</v>
      </c>
      <c r="F75" s="21">
        <f t="shared" si="4"/>
        <v>0.82</v>
      </c>
    </row>
    <row r="76" spans="1:6" x14ac:dyDescent="0.2">
      <c r="A76" s="19">
        <v>10</v>
      </c>
      <c r="B76" s="181" t="s">
        <v>9</v>
      </c>
      <c r="C76" s="182"/>
      <c r="D76" s="14">
        <f t="shared" si="5"/>
        <v>217668</v>
      </c>
      <c r="E76" s="17">
        <f>IF(F3="1",SUMIF(Data!A:A,'16'!$A$2,Data!EH:EH),0)</f>
        <v>9943</v>
      </c>
      <c r="F76" s="21">
        <f t="shared" si="4"/>
        <v>0.05</v>
      </c>
    </row>
    <row r="77" spans="1:6" x14ac:dyDescent="0.2">
      <c r="A77" s="19">
        <v>11</v>
      </c>
      <c r="B77" s="181" t="s">
        <v>10</v>
      </c>
      <c r="C77" s="182"/>
      <c r="D77" s="14">
        <f t="shared" si="5"/>
        <v>0</v>
      </c>
      <c r="E77" s="17">
        <f>IF(F3="1",SUMIF(Data!A:A,'16'!$A$2,Data!EI:EI),0)</f>
        <v>0</v>
      </c>
      <c r="F77" s="21" t="str">
        <f t="shared" si="4"/>
        <v/>
      </c>
    </row>
    <row r="78" spans="1:6" ht="14.25" customHeight="1" x14ac:dyDescent="0.2">
      <c r="A78" s="19">
        <v>12</v>
      </c>
      <c r="B78" s="181" t="s">
        <v>11</v>
      </c>
      <c r="C78" s="182"/>
      <c r="D78" s="14">
        <f t="shared" si="5"/>
        <v>2642382</v>
      </c>
      <c r="E78" s="17">
        <f>IF(F3="1",SUMIF(Data!A:A,'16'!$A$2,Data!EJ:EJ),0)</f>
        <v>6703768</v>
      </c>
      <c r="F78" s="21">
        <f t="shared" si="4"/>
        <v>2.54</v>
      </c>
    </row>
    <row r="79" spans="1:6" x14ac:dyDescent="0.2">
      <c r="A79" s="19">
        <v>13</v>
      </c>
      <c r="B79" s="181" t="s">
        <v>12</v>
      </c>
      <c r="C79" s="182"/>
      <c r="D79" s="14">
        <f t="shared" si="5"/>
        <v>73796</v>
      </c>
      <c r="E79" s="17">
        <f>IF(F3="1",SUMIF(Data!A:A,'16'!$A$2,Data!EK:EK),0)</f>
        <v>288682</v>
      </c>
      <c r="F79" s="21">
        <f t="shared" si="4"/>
        <v>3.91</v>
      </c>
    </row>
    <row r="80" spans="1:6" ht="14.25" customHeight="1" x14ac:dyDescent="0.2">
      <c r="A80" s="19">
        <v>14</v>
      </c>
      <c r="B80" s="181" t="s">
        <v>464</v>
      </c>
      <c r="C80" s="182"/>
      <c r="D80" s="14">
        <f t="shared" si="5"/>
        <v>161426</v>
      </c>
      <c r="E80" s="17">
        <f>IF(F3="1",SUMIF(Data!A:A,'16'!$A$2,Data!EL:EL),0)</f>
        <v>1346501</v>
      </c>
      <c r="F80" s="21">
        <f t="shared" si="4"/>
        <v>8.34</v>
      </c>
    </row>
    <row r="81" spans="1:6" x14ac:dyDescent="0.2">
      <c r="A81" s="19">
        <v>15</v>
      </c>
      <c r="B81" s="181" t="s">
        <v>13</v>
      </c>
      <c r="C81" s="182"/>
      <c r="D81" s="14">
        <f t="shared" si="5"/>
        <v>24976</v>
      </c>
      <c r="E81" s="17">
        <f>IF(F3="1",SUMIF(Data!A:A,'16'!$A$2,Data!EM:EM),0)</f>
        <v>252920</v>
      </c>
      <c r="F81" s="21">
        <f t="shared" si="4"/>
        <v>10.130000000000001</v>
      </c>
    </row>
    <row r="82" spans="1:6" x14ac:dyDescent="0.2">
      <c r="A82" s="19">
        <v>16</v>
      </c>
      <c r="B82" s="181" t="s">
        <v>14</v>
      </c>
      <c r="C82" s="182"/>
      <c r="D82" s="14">
        <f t="shared" si="5"/>
        <v>296710</v>
      </c>
      <c r="E82" s="17">
        <f>IF(F3="1",SUMIF(Data!A:A,'16'!$A$2,Data!EN:EN),0)</f>
        <v>1697243</v>
      </c>
      <c r="F82" s="21">
        <f t="shared" si="4"/>
        <v>5.72</v>
      </c>
    </row>
    <row r="83" spans="1:6" x14ac:dyDescent="0.2">
      <c r="A83" s="19">
        <v>17</v>
      </c>
      <c r="B83" s="181" t="s">
        <v>15</v>
      </c>
      <c r="C83" s="182"/>
      <c r="D83" s="14">
        <f t="shared" si="5"/>
        <v>0</v>
      </c>
      <c r="E83" s="17">
        <f>IF(F3="1",SUMIF(Data!A:A,'16'!$A$2,Data!EO:EO),0)</f>
        <v>0</v>
      </c>
      <c r="F83" s="21" t="str">
        <f t="shared" si="4"/>
        <v/>
      </c>
    </row>
    <row r="84" spans="1:6" x14ac:dyDescent="0.2">
      <c r="A84" s="19">
        <v>18</v>
      </c>
      <c r="B84" s="181" t="s">
        <v>16</v>
      </c>
      <c r="C84" s="182"/>
      <c r="D84" s="14">
        <f t="shared" si="5"/>
        <v>35952</v>
      </c>
      <c r="E84" s="17">
        <f>IF(F3="1",SUMIF(Data!A:A,'16'!$A$2,Data!EP:EP),0)</f>
        <v>0</v>
      </c>
      <c r="F84" s="21" t="str">
        <f t="shared" si="4"/>
        <v/>
      </c>
    </row>
    <row r="85" spans="1:6" x14ac:dyDescent="0.2">
      <c r="A85" s="19">
        <v>19</v>
      </c>
      <c r="B85" s="181" t="s">
        <v>17</v>
      </c>
      <c r="C85" s="182"/>
      <c r="D85" s="14">
        <f t="shared" si="5"/>
        <v>1065176</v>
      </c>
      <c r="E85" s="17">
        <f>IF(F3="1",SUMIF(Data!A:A,'16'!$A$2,Data!EQ:EQ),0)</f>
        <v>2286187</v>
      </c>
      <c r="F85" s="21">
        <f t="shared" si="4"/>
        <v>2.15</v>
      </c>
    </row>
    <row r="86" spans="1:6" x14ac:dyDescent="0.2">
      <c r="A86" s="19">
        <v>20</v>
      </c>
      <c r="B86" s="181" t="s">
        <v>18</v>
      </c>
      <c r="C86" s="182"/>
      <c r="D86" s="14">
        <f t="shared" si="5"/>
        <v>89037</v>
      </c>
      <c r="E86" s="17">
        <f>IF(F3="1",SUMIF(Data!A:A,'16'!$A$2,Data!ER:ER),0)</f>
        <v>250029</v>
      </c>
      <c r="F86" s="21">
        <f t="shared" si="4"/>
        <v>2.81</v>
      </c>
    </row>
    <row r="87" spans="1:6" ht="14.25" customHeight="1" x14ac:dyDescent="0.2">
      <c r="A87" s="19">
        <v>21</v>
      </c>
      <c r="B87" s="181" t="s">
        <v>461</v>
      </c>
      <c r="C87" s="182"/>
      <c r="D87" s="14">
        <f t="shared" si="5"/>
        <v>0</v>
      </c>
      <c r="E87" s="17">
        <f>IF(F3="1",SUMIF(Data!A:A,'16'!$A$2,Data!ES:ES),0)</f>
        <v>0</v>
      </c>
      <c r="F87" s="21" t="str">
        <f t="shared" si="4"/>
        <v/>
      </c>
    </row>
    <row r="88" spans="1:6" x14ac:dyDescent="0.2">
      <c r="A88" s="19">
        <v>22</v>
      </c>
      <c r="B88" s="181" t="s">
        <v>19</v>
      </c>
      <c r="C88" s="182"/>
      <c r="D88" s="14">
        <f t="shared" si="5"/>
        <v>127590</v>
      </c>
      <c r="E88" s="17">
        <f>IF(F3="1",SUMIF(Data!A:A,'16'!$A$2,Data!ET:ET),0)</f>
        <v>220194</v>
      </c>
      <c r="F88" s="21">
        <f t="shared" si="4"/>
        <v>1.73</v>
      </c>
    </row>
    <row r="89" spans="1:6" x14ac:dyDescent="0.2">
      <c r="A89" s="19">
        <v>23</v>
      </c>
      <c r="B89" s="181" t="s">
        <v>20</v>
      </c>
      <c r="C89" s="182"/>
      <c r="D89" s="14">
        <f t="shared" si="5"/>
        <v>48512</v>
      </c>
      <c r="E89" s="17">
        <f>IF(F3="1",SUMIF(Data!A:A,'16'!$A$2,Data!EU:EU),0)</f>
        <v>434704</v>
      </c>
      <c r="F89" s="21">
        <f t="shared" si="4"/>
        <v>8.9600000000000009</v>
      </c>
    </row>
    <row r="90" spans="1:6" x14ac:dyDescent="0.2">
      <c r="A90" s="19">
        <v>24</v>
      </c>
      <c r="B90" s="181" t="s">
        <v>21</v>
      </c>
      <c r="C90" s="182"/>
      <c r="D90" s="14">
        <f t="shared" si="5"/>
        <v>204842</v>
      </c>
      <c r="E90" s="17">
        <f>IF(F3="1",SUMIF(Data!A:A,'16'!$A$2,Data!EV:EV),0)</f>
        <v>530404</v>
      </c>
      <c r="F90" s="21">
        <f t="shared" si="4"/>
        <v>2.59</v>
      </c>
    </row>
    <row r="91" spans="1:6" x14ac:dyDescent="0.2">
      <c r="A91" s="19">
        <v>25</v>
      </c>
      <c r="B91" s="181" t="s">
        <v>22</v>
      </c>
      <c r="C91" s="182"/>
      <c r="D91" s="14">
        <f t="shared" si="5"/>
        <v>1196592</v>
      </c>
      <c r="E91" s="17">
        <f>IF(F3="1",SUMIF(Data!A:A,'16'!$A$2,Data!EW:EW),0)</f>
        <v>3037855</v>
      </c>
      <c r="F91" s="21">
        <f t="shared" si="4"/>
        <v>2.54</v>
      </c>
    </row>
    <row r="92" spans="1:6" x14ac:dyDescent="0.2">
      <c r="A92" s="19">
        <v>26</v>
      </c>
      <c r="B92" s="181" t="s">
        <v>23</v>
      </c>
      <c r="C92" s="182"/>
      <c r="D92" s="14">
        <f t="shared" si="5"/>
        <v>298980</v>
      </c>
      <c r="E92" s="17">
        <f>IF(F3="1",SUMIF(Data!A:A,'16'!$A$2,Data!EX:EX),0)</f>
        <v>757513</v>
      </c>
      <c r="F92" s="21">
        <f t="shared" si="4"/>
        <v>2.5299999999999998</v>
      </c>
    </row>
    <row r="93" spans="1:6" x14ac:dyDescent="0.2">
      <c r="A93" s="19">
        <v>28</v>
      </c>
      <c r="B93" s="181" t="s">
        <v>24</v>
      </c>
      <c r="C93" s="182"/>
      <c r="D93" s="14">
        <f t="shared" si="5"/>
        <v>0</v>
      </c>
      <c r="E93" s="17">
        <f>IF(F3="1",SUMIF(Data!A:A,'16'!$A$2,Data!EZ:EZ),0)</f>
        <v>0</v>
      </c>
      <c r="F93" s="21" t="str">
        <f t="shared" si="4"/>
        <v/>
      </c>
    </row>
    <row r="94" spans="1:6" ht="15.75" customHeight="1" thickBot="1" x14ac:dyDescent="0.25">
      <c r="A94" s="22">
        <v>29</v>
      </c>
      <c r="B94" s="183" t="s">
        <v>25</v>
      </c>
      <c r="C94" s="184"/>
      <c r="D94" s="23">
        <f t="shared" si="5"/>
        <v>0</v>
      </c>
      <c r="E94" s="24">
        <f>IF(F3="1",SUMIF(Data!A:A,'16'!$A$2,Data!FA:FA),0)</f>
        <v>0</v>
      </c>
      <c r="F94" s="25" t="str">
        <f t="shared" si="4"/>
        <v/>
      </c>
    </row>
    <row r="95" spans="1:6" x14ac:dyDescent="0.2">
      <c r="B95" s="30" t="s">
        <v>35</v>
      </c>
      <c r="C95" s="30"/>
      <c r="D95" s="59">
        <f>SUM(D67:D94)</f>
        <v>8549868</v>
      </c>
      <c r="E95" s="31">
        <f>SUM(E67:E94)</f>
        <v>23104523</v>
      </c>
      <c r="F95" s="32">
        <f t="shared" si="4"/>
        <v>2.7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IF(F3="1",SUMIF(Data!A:A,'16'!$A$2,Data!AH:AH),0)</f>
        <v>13876094</v>
      </c>
      <c r="F98" s="20">
        <f>IF(OR(E98=0,E98=0),"",ROUND(E98/$D$105,2))</f>
        <v>1.62</v>
      </c>
    </row>
    <row r="99" spans="2:6" x14ac:dyDescent="0.2">
      <c r="B99" s="187" t="s">
        <v>31</v>
      </c>
      <c r="C99" s="188"/>
      <c r="D99" s="36"/>
      <c r="E99" s="17">
        <f>IF(F3="1",SUMIF(Data!A:A,'16'!$A$2,Data!AI:AI),0)</f>
        <v>6096747</v>
      </c>
      <c r="F99" s="21">
        <f t="shared" ref="F99:F104" si="6">IF(OR(E99=0,E99=0),"",ROUND(E99/$D$105,2))</f>
        <v>0.71</v>
      </c>
    </row>
    <row r="100" spans="2:6" x14ac:dyDescent="0.2">
      <c r="B100" s="187" t="s">
        <v>1078</v>
      </c>
      <c r="C100" s="188"/>
      <c r="D100" s="36"/>
      <c r="E100" s="17">
        <f>IF(F3="1",SUMIF(Data!A:A,'16'!$A$2,Data!AJ:AJ),0)</f>
        <v>2247433</v>
      </c>
      <c r="F100" s="21">
        <f t="shared" si="6"/>
        <v>0.26</v>
      </c>
    </row>
    <row r="101" spans="2:6" x14ac:dyDescent="0.2">
      <c r="B101" s="187" t="s">
        <v>1079</v>
      </c>
      <c r="C101" s="188"/>
      <c r="D101" s="36"/>
      <c r="E101" s="17">
        <f>IF(F3="1",SUMIF(Data!A:A,'16'!$A$2,Data!AK:AK),0)</f>
        <v>6758761</v>
      </c>
      <c r="F101" s="21">
        <f t="shared" si="6"/>
        <v>0.79</v>
      </c>
    </row>
    <row r="102" spans="2:6" x14ac:dyDescent="0.2">
      <c r="B102" s="187" t="s">
        <v>1080</v>
      </c>
      <c r="C102" s="188"/>
      <c r="D102" s="36"/>
      <c r="E102" s="17">
        <f>IF(F3="1",SUMIF(Data!A:A,'16'!$A$2,Data!AL:AL),0)</f>
        <v>179368</v>
      </c>
      <c r="F102" s="21">
        <f t="shared" si="6"/>
        <v>0.02</v>
      </c>
    </row>
    <row r="103" spans="2:6" x14ac:dyDescent="0.2">
      <c r="B103" s="189" t="s">
        <v>34</v>
      </c>
      <c r="C103" s="190"/>
      <c r="D103" s="36"/>
      <c r="E103" s="17">
        <f>IF(F3="1",SUMIF(Data!A:A,'16'!$A$2,Data!AM:AM),0)</f>
        <v>0</v>
      </c>
      <c r="F103" s="21" t="str">
        <f t="shared" si="6"/>
        <v/>
      </c>
    </row>
    <row r="104" spans="2:6" ht="15.75" customHeight="1" thickBot="1" x14ac:dyDescent="0.25">
      <c r="B104" s="179" t="s">
        <v>29</v>
      </c>
      <c r="C104" s="180"/>
      <c r="D104" s="37"/>
      <c r="E104" s="24">
        <f>IF(F3="1",SUMIF(Data!A:A,'16'!$A$2,Data!Q:Q),0)</f>
        <v>3208436</v>
      </c>
      <c r="F104" s="25">
        <f t="shared" si="6"/>
        <v>0.38</v>
      </c>
    </row>
    <row r="105" spans="2:6" x14ac:dyDescent="0.2">
      <c r="B105" s="30" t="s">
        <v>35</v>
      </c>
      <c r="C105" s="30"/>
      <c r="D105" s="34">
        <f>D95</f>
        <v>8549868</v>
      </c>
      <c r="E105" s="31">
        <f>SUM(E98:E104)</f>
        <v>32366839</v>
      </c>
      <c r="F105" s="32">
        <f>IF($D$105=0,"",ROUND(E105/$D$105,2))</f>
        <v>3.79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23104523</v>
      </c>
      <c r="D109" s="15">
        <f>IF(F3="1",SUMIF(Data!$A:$A,$A$2,Data!HJ:HJ),0)</f>
        <v>0</v>
      </c>
      <c r="E109" s="15">
        <f>IF(F3="1",SUMIF(Data!$A:$A,$A$2,Data!IN:IN),0)</f>
        <v>0</v>
      </c>
      <c r="F109" s="47">
        <f>SUM(C109:E109)</f>
        <v>23104523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179368</v>
      </c>
      <c r="F116" s="48">
        <f t="shared" si="7"/>
        <v>179368</v>
      </c>
    </row>
    <row r="117" spans="1:6" ht="15" thickBot="1" x14ac:dyDescent="0.25">
      <c r="B117" s="43" t="s">
        <v>933</v>
      </c>
      <c r="C117" s="52"/>
      <c r="D117" s="52">
        <f>IF(F3="1",SUMIF(Data!A:A,$A$2,Data!Q:Q),0)</f>
        <v>3208436</v>
      </c>
      <c r="E117" s="52"/>
      <c r="F117" s="49">
        <f>SUM(C117:E117)</f>
        <v>3208436</v>
      </c>
    </row>
    <row r="118" spans="1:6" x14ac:dyDescent="0.2">
      <c r="B118" s="13" t="s">
        <v>35</v>
      </c>
      <c r="C118" s="4">
        <f>SUM(C109:C116)</f>
        <v>23104523</v>
      </c>
      <c r="D118" s="4">
        <f>SUM(D109:D116)</f>
        <v>0</v>
      </c>
      <c r="E118" s="4">
        <f>SUM(E109:E116)</f>
        <v>179368</v>
      </c>
      <c r="F118" s="4">
        <f>SUM(F109:F116)</f>
        <v>23283891</v>
      </c>
    </row>
    <row r="119" spans="1:6" ht="15" thickBot="1" x14ac:dyDescent="0.25"/>
    <row r="120" spans="1:6" ht="15" thickBot="1" x14ac:dyDescent="0.25">
      <c r="B120" s="55" t="s">
        <v>934</v>
      </c>
      <c r="C120" s="53"/>
      <c r="D120" s="53"/>
      <c r="E120" s="53">
        <f>IF(F3="1",SUMIF(Data!A:A,'16'!$A$2,Data!AM:AM),0)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366</v>
      </c>
      <c r="B2" s="58" t="str">
        <f>VLOOKUP(A2,Data!A:G,7,0)</f>
        <v>Frank Phillips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24848</v>
      </c>
      <c r="E5" s="15">
        <f>E36+E67+IFERROR($E$105/$D$105*D5,0)</f>
        <v>192456.2880821742</v>
      </c>
      <c r="F5" s="20">
        <f>IF(OR(D5=0,E5=0),"",ROUND(E5/D5,2))</f>
        <v>7.75</v>
      </c>
    </row>
    <row r="6" spans="1:6" x14ac:dyDescent="0.2">
      <c r="A6" s="19">
        <v>2</v>
      </c>
      <c r="B6" s="181" t="s">
        <v>1</v>
      </c>
      <c r="C6" s="182"/>
      <c r="D6" s="14">
        <f t="shared" ref="D6:D32" si="0">D37</f>
        <v>39548</v>
      </c>
      <c r="E6" s="17">
        <f t="shared" ref="E6:E32" si="1">E37+E68+IFERROR($E$105/$D$105*D6,0)</f>
        <v>197054.74923832197</v>
      </c>
      <c r="F6" s="21">
        <f t="shared" ref="F6:F33" si="2">IF(OR(D6=0,E6=0),"",ROUND(E6/D6,2))</f>
        <v>4.9800000000000004</v>
      </c>
    </row>
    <row r="7" spans="1:6" ht="14.25" customHeight="1" x14ac:dyDescent="0.2">
      <c r="A7" s="19">
        <v>3</v>
      </c>
      <c r="B7" s="181" t="s">
        <v>2</v>
      </c>
      <c r="C7" s="182"/>
      <c r="D7" s="14">
        <f t="shared" si="0"/>
        <v>73820</v>
      </c>
      <c r="E7" s="17">
        <f t="shared" si="1"/>
        <v>419512.94439094083</v>
      </c>
      <c r="F7" s="21">
        <f t="shared" si="2"/>
        <v>5.68</v>
      </c>
    </row>
    <row r="8" spans="1:6" ht="14.25" customHeight="1" x14ac:dyDescent="0.2">
      <c r="A8" s="19">
        <v>4</v>
      </c>
      <c r="B8" s="181" t="s">
        <v>3</v>
      </c>
      <c r="C8" s="182"/>
      <c r="D8" s="14">
        <f t="shared" si="0"/>
        <v>65800</v>
      </c>
      <c r="E8" s="17">
        <f t="shared" si="1"/>
        <v>343037.06422275677</v>
      </c>
      <c r="F8" s="21">
        <f t="shared" si="2"/>
        <v>5.21</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376</v>
      </c>
      <c r="E10" s="17">
        <f t="shared" si="1"/>
        <v>1955.4003669871818</v>
      </c>
      <c r="F10" s="21">
        <f t="shared" si="2"/>
        <v>5.2</v>
      </c>
    </row>
    <row r="11" spans="1:6" x14ac:dyDescent="0.2">
      <c r="A11" s="19">
        <v>7</v>
      </c>
      <c r="B11" s="181" t="s">
        <v>6</v>
      </c>
      <c r="C11" s="182"/>
      <c r="D11" s="14">
        <f t="shared" si="0"/>
        <v>53165</v>
      </c>
      <c r="E11" s="17">
        <f t="shared" si="1"/>
        <v>498964.81784806785</v>
      </c>
      <c r="F11" s="21">
        <f t="shared" si="2"/>
        <v>9.39</v>
      </c>
    </row>
    <row r="12" spans="1:6" x14ac:dyDescent="0.2">
      <c r="A12" s="19">
        <v>8</v>
      </c>
      <c r="B12" s="181" t="s">
        <v>7</v>
      </c>
      <c r="C12" s="182"/>
      <c r="D12" s="14">
        <f t="shared" si="0"/>
        <v>4224</v>
      </c>
      <c r="E12" s="17">
        <f t="shared" si="1"/>
        <v>110324.02965466451</v>
      </c>
      <c r="F12" s="21">
        <f t="shared" si="2"/>
        <v>26.12</v>
      </c>
    </row>
    <row r="13" spans="1:6" x14ac:dyDescent="0.2">
      <c r="A13" s="19">
        <v>9</v>
      </c>
      <c r="B13" s="181" t="s">
        <v>8</v>
      </c>
      <c r="C13" s="182"/>
      <c r="D13" s="14">
        <f t="shared" si="0"/>
        <v>38269</v>
      </c>
      <c r="E13" s="17">
        <f t="shared" si="1"/>
        <v>376780.19054317143</v>
      </c>
      <c r="F13" s="21">
        <f t="shared" si="2"/>
        <v>9.85</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42053</v>
      </c>
      <c r="E15" s="17">
        <f t="shared" si="1"/>
        <v>181485.0921088084</v>
      </c>
      <c r="F15" s="21">
        <f t="shared" si="2"/>
        <v>4.32</v>
      </c>
    </row>
    <row r="16" spans="1:6" ht="14.25" customHeight="1" x14ac:dyDescent="0.2">
      <c r="A16" s="19">
        <v>12</v>
      </c>
      <c r="B16" s="181" t="s">
        <v>11</v>
      </c>
      <c r="C16" s="182"/>
      <c r="D16" s="14">
        <f t="shared" si="0"/>
        <v>72000</v>
      </c>
      <c r="E16" s="17">
        <f t="shared" si="1"/>
        <v>357449.68729541777</v>
      </c>
      <c r="F16" s="21">
        <f t="shared" si="2"/>
        <v>4.96</v>
      </c>
    </row>
    <row r="17" spans="1:6" x14ac:dyDescent="0.2">
      <c r="A17" s="19">
        <v>13</v>
      </c>
      <c r="B17" s="181" t="s">
        <v>12</v>
      </c>
      <c r="C17" s="182"/>
      <c r="D17" s="14">
        <f t="shared" si="0"/>
        <v>1458</v>
      </c>
      <c r="E17" s="17">
        <f t="shared" si="1"/>
        <v>8151.7971677322103</v>
      </c>
      <c r="F17" s="21">
        <f t="shared" si="2"/>
        <v>5.59</v>
      </c>
    </row>
    <row r="18" spans="1:6" ht="14.25" customHeight="1" x14ac:dyDescent="0.2">
      <c r="A18" s="19">
        <v>14</v>
      </c>
      <c r="B18" s="181" t="s">
        <v>464</v>
      </c>
      <c r="C18" s="182"/>
      <c r="D18" s="14">
        <f t="shared" si="0"/>
        <v>0</v>
      </c>
      <c r="E18" s="17">
        <f t="shared" si="1"/>
        <v>0</v>
      </c>
      <c r="F18" s="21" t="str">
        <f t="shared" si="2"/>
        <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56823</v>
      </c>
      <c r="E20" s="17">
        <f t="shared" si="1"/>
        <v>214642.25546093783</v>
      </c>
      <c r="F20" s="21">
        <f t="shared" si="2"/>
        <v>3.78</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52656</v>
      </c>
      <c r="E22" s="17">
        <f t="shared" si="1"/>
        <v>384918.98330871551</v>
      </c>
      <c r="F22" s="21">
        <f t="shared" si="2"/>
        <v>7.31</v>
      </c>
    </row>
    <row r="23" spans="1:6" x14ac:dyDescent="0.2">
      <c r="A23" s="19">
        <v>19</v>
      </c>
      <c r="B23" s="181" t="s">
        <v>17</v>
      </c>
      <c r="C23" s="182"/>
      <c r="D23" s="14">
        <f t="shared" si="0"/>
        <v>47904</v>
      </c>
      <c r="E23" s="17">
        <f t="shared" si="1"/>
        <v>252000.19994721797</v>
      </c>
      <c r="F23" s="21">
        <f t="shared" si="2"/>
        <v>5.26</v>
      </c>
    </row>
    <row r="24" spans="1:6" x14ac:dyDescent="0.2">
      <c r="A24" s="19">
        <v>20</v>
      </c>
      <c r="B24" s="181" t="s">
        <v>18</v>
      </c>
      <c r="C24" s="182"/>
      <c r="D24" s="14">
        <f t="shared" si="0"/>
        <v>288</v>
      </c>
      <c r="E24" s="17">
        <f t="shared" si="1"/>
        <v>1462.7747491816713</v>
      </c>
      <c r="F24" s="21">
        <f t="shared" si="2"/>
        <v>5.08</v>
      </c>
    </row>
    <row r="25" spans="1:6" ht="14.25" customHeight="1" x14ac:dyDescent="0.2">
      <c r="A25" s="19">
        <v>21</v>
      </c>
      <c r="B25" s="181" t="s">
        <v>461</v>
      </c>
      <c r="C25" s="182"/>
      <c r="D25" s="14">
        <f t="shared" si="0"/>
        <v>210</v>
      </c>
      <c r="E25" s="17">
        <f t="shared" si="1"/>
        <v>1037.1065879449684</v>
      </c>
      <c r="F25" s="21">
        <f t="shared" si="2"/>
        <v>4.9400000000000004</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29890</v>
      </c>
      <c r="E27" s="17">
        <f t="shared" si="1"/>
        <v>221145.8376841672</v>
      </c>
      <c r="F27" s="21">
        <f t="shared" si="2"/>
        <v>7.4</v>
      </c>
    </row>
    <row r="28" spans="1:6" x14ac:dyDescent="0.2">
      <c r="A28" s="19">
        <v>24</v>
      </c>
      <c r="B28" s="181" t="s">
        <v>21</v>
      </c>
      <c r="C28" s="182"/>
      <c r="D28" s="14">
        <f t="shared" si="0"/>
        <v>7068</v>
      </c>
      <c r="E28" s="17">
        <f t="shared" si="1"/>
        <v>27085.930302833513</v>
      </c>
      <c r="F28" s="21">
        <f t="shared" si="2"/>
        <v>3.83</v>
      </c>
    </row>
    <row r="29" spans="1:6" x14ac:dyDescent="0.2">
      <c r="A29" s="19">
        <v>25</v>
      </c>
      <c r="B29" s="181" t="s">
        <v>22</v>
      </c>
      <c r="C29" s="182"/>
      <c r="D29" s="14">
        <f t="shared" si="0"/>
        <v>88992</v>
      </c>
      <c r="E29" s="17">
        <f t="shared" si="1"/>
        <v>452037.39749713638</v>
      </c>
      <c r="F29" s="21">
        <f t="shared" si="2"/>
        <v>5.08</v>
      </c>
    </row>
    <row r="30" spans="1:6" x14ac:dyDescent="0.2">
      <c r="A30" s="19">
        <v>26</v>
      </c>
      <c r="B30" s="181" t="s">
        <v>23</v>
      </c>
      <c r="C30" s="182"/>
      <c r="D30" s="14">
        <f t="shared" si="0"/>
        <v>24339</v>
      </c>
      <c r="E30" s="17">
        <f t="shared" si="1"/>
        <v>155970.45354282187</v>
      </c>
      <c r="F30" s="21">
        <f t="shared" si="2"/>
        <v>6.41</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723731</v>
      </c>
      <c r="E33" s="31">
        <f>SUM(E5:E32)</f>
        <v>4397473.0000000009</v>
      </c>
      <c r="F33" s="32">
        <f t="shared" si="2"/>
        <v>6.08</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IF(F3="1",SUMIF(Data!A:A,'17'!$A$2,Data!CU:CU),0)</f>
        <v>24848</v>
      </c>
      <c r="E36" s="15">
        <f>IF(F3="1",SUMIF(Data!$A:$A,$A$2,Data!IO:IO),0)</f>
        <v>21124</v>
      </c>
      <c r="F36" s="20">
        <f t="shared" ref="F36:F64" si="3">IF(OR(D36=0,E36=0),"",ROUND(E36/D36,2))</f>
        <v>0.85</v>
      </c>
    </row>
    <row r="37" spans="1:6" x14ac:dyDescent="0.2">
      <c r="A37" s="19">
        <v>2</v>
      </c>
      <c r="B37" s="181" t="s">
        <v>1</v>
      </c>
      <c r="C37" s="182"/>
      <c r="D37" s="14">
        <f>IF(F3="1",SUMIF(Data!A:A,'17'!$A$2,Data!CV:CV),0)</f>
        <v>39548</v>
      </c>
      <c r="E37" s="17">
        <f>IF(F3="1",SUMIF(Data!$A:$A,$A$2,Data!IP:IP),0)</f>
        <v>41125</v>
      </c>
      <c r="F37" s="21">
        <f t="shared" si="3"/>
        <v>1.04</v>
      </c>
    </row>
    <row r="38" spans="1:6" ht="14.25" customHeight="1" x14ac:dyDescent="0.2">
      <c r="A38" s="19">
        <v>3</v>
      </c>
      <c r="B38" s="181" t="s">
        <v>2</v>
      </c>
      <c r="C38" s="182"/>
      <c r="D38" s="14">
        <f>IF(F3="1",SUMIF(Data!A:A,'17'!$A$2,Data!CW:CW),0)</f>
        <v>73820</v>
      </c>
      <c r="E38" s="17">
        <f>IF($F$3="1",SUMIF(Data!$A:$A,$A$2,Data!IQ:IQ),0)</f>
        <v>47111</v>
      </c>
      <c r="F38" s="21">
        <f t="shared" si="3"/>
        <v>0.64</v>
      </c>
    </row>
    <row r="39" spans="1:6" ht="14.25" customHeight="1" x14ac:dyDescent="0.2">
      <c r="A39" s="19">
        <v>4</v>
      </c>
      <c r="B39" s="181" t="s">
        <v>3</v>
      </c>
      <c r="C39" s="182"/>
      <c r="D39" s="14">
        <f>IF(F3="1",SUMIF(Data!A:A,'17'!$A$2,Data!CX:CX),0)</f>
        <v>65800</v>
      </c>
      <c r="E39" s="17">
        <f>IF($F$3="1",SUMIF(Data!$A:$A,$A$2,Data!IR:IR),0)</f>
        <v>41567</v>
      </c>
      <c r="F39" s="21">
        <f t="shared" si="3"/>
        <v>0.63</v>
      </c>
    </row>
    <row r="40" spans="1:6" x14ac:dyDescent="0.2">
      <c r="A40" s="19">
        <v>5</v>
      </c>
      <c r="B40" s="181" t="s">
        <v>4</v>
      </c>
      <c r="C40" s="182"/>
      <c r="D40" s="14">
        <f>IF(F3="1",SUMIF(Data!A:A,'17'!$A$2,Data!CY:CY),0)</f>
        <v>0</v>
      </c>
      <c r="E40" s="17">
        <f>IF($F$3="1",SUMIF(Data!$A:$A,$A$2,Data!IS:IS),0)</f>
        <v>0</v>
      </c>
      <c r="F40" s="21" t="str">
        <f t="shared" si="3"/>
        <v/>
      </c>
    </row>
    <row r="41" spans="1:6" x14ac:dyDescent="0.2">
      <c r="A41" s="19">
        <v>6</v>
      </c>
      <c r="B41" s="181" t="s">
        <v>5</v>
      </c>
      <c r="C41" s="182"/>
      <c r="D41" s="14">
        <f>IF(F3="1",SUMIF(Data!A:A,'17'!$A$2,Data!CZ:CZ),0)</f>
        <v>376</v>
      </c>
      <c r="E41" s="17">
        <f>IF($F$3="1",SUMIF(Data!$A:$A,$A$2,Data!IT:IT),0)</f>
        <v>829</v>
      </c>
      <c r="F41" s="21">
        <f t="shared" si="3"/>
        <v>2.2000000000000002</v>
      </c>
    </row>
    <row r="42" spans="1:6" x14ac:dyDescent="0.2">
      <c r="A42" s="19">
        <v>7</v>
      </c>
      <c r="B42" s="181" t="s">
        <v>6</v>
      </c>
      <c r="C42" s="182"/>
      <c r="D42" s="14">
        <f>IF(F3="1",SUMIF(Data!A:A,'17'!$A$2,Data!DA:DA),0)</f>
        <v>53165</v>
      </c>
      <c r="E42" s="17">
        <f>IF($F$3="1",SUMIF(Data!$A:$A,$A$2,Data!IU:IU),0)</f>
        <v>257170</v>
      </c>
      <c r="F42" s="21">
        <f t="shared" si="3"/>
        <v>4.84</v>
      </c>
    </row>
    <row r="43" spans="1:6" x14ac:dyDescent="0.2">
      <c r="A43" s="19">
        <v>8</v>
      </c>
      <c r="B43" s="181" t="s">
        <v>7</v>
      </c>
      <c r="C43" s="182"/>
      <c r="D43" s="14">
        <f>IF(F3="1",SUMIF(Data!A:A,'17'!$A$2,Data!DB:DB),0)</f>
        <v>4224</v>
      </c>
      <c r="E43" s="17">
        <f>IF($F$3="1",SUMIF(Data!$A:$A,$A$2,Data!IV:IV),0)</f>
        <v>44167</v>
      </c>
      <c r="F43" s="21">
        <f t="shared" si="3"/>
        <v>10.46</v>
      </c>
    </row>
    <row r="44" spans="1:6" x14ac:dyDescent="0.2">
      <c r="A44" s="19">
        <v>9</v>
      </c>
      <c r="B44" s="181" t="s">
        <v>8</v>
      </c>
      <c r="C44" s="182"/>
      <c r="D44" s="14">
        <f>IF(F3="1",SUMIF(Data!A:A,'17'!$A$2,Data!DC:DC),0)</f>
        <v>38269</v>
      </c>
      <c r="E44" s="17">
        <f>IF($F$3="1",SUMIF(Data!$A:$A,$A$2,Data!IW:IW),0)</f>
        <v>133537</v>
      </c>
      <c r="F44" s="21">
        <f t="shared" si="3"/>
        <v>3.49</v>
      </c>
    </row>
    <row r="45" spans="1:6" x14ac:dyDescent="0.2">
      <c r="A45" s="19">
        <v>10</v>
      </c>
      <c r="B45" s="181" t="s">
        <v>9</v>
      </c>
      <c r="C45" s="182"/>
      <c r="D45" s="14">
        <f>IF(F3="1",SUMIF(Data!A:A,'17'!$A$2,Data!DD:DD),0)</f>
        <v>0</v>
      </c>
      <c r="E45" s="17">
        <f>IF($F$3="1",SUMIF(Data!$A:$A,$A$2,Data!IX:IX),0)</f>
        <v>0</v>
      </c>
      <c r="F45" s="21" t="str">
        <f t="shared" si="3"/>
        <v/>
      </c>
    </row>
    <row r="46" spans="1:6" x14ac:dyDescent="0.2">
      <c r="A46" s="19">
        <v>11</v>
      </c>
      <c r="B46" s="181" t="s">
        <v>10</v>
      </c>
      <c r="C46" s="182"/>
      <c r="D46" s="14">
        <f>IF(F3="1",SUMIF(Data!A:A,'17'!$A$2,Data!DE:DE),0)</f>
        <v>42053</v>
      </c>
      <c r="E46" s="17">
        <f>IF($F$3="1",SUMIF(Data!$A:$A,$A$2,Data!IY:IY),0)</f>
        <v>16826</v>
      </c>
      <c r="F46" s="21">
        <f t="shared" si="3"/>
        <v>0.4</v>
      </c>
    </row>
    <row r="47" spans="1:6" ht="14.25" customHeight="1" x14ac:dyDescent="0.2">
      <c r="A47" s="19">
        <v>12</v>
      </c>
      <c r="B47" s="181" t="s">
        <v>11</v>
      </c>
      <c r="C47" s="182"/>
      <c r="D47" s="14">
        <f>IF(F3="1",SUMIF(Data!A:A,'17'!$A$2,Data!DF:DF),0)</f>
        <v>72000</v>
      </c>
      <c r="E47" s="17">
        <f>IF($F$3="1",SUMIF(Data!$A:$A,$A$2,Data!IZ:IZ),0)</f>
        <v>35907</v>
      </c>
      <c r="F47" s="21">
        <f t="shared" si="3"/>
        <v>0.5</v>
      </c>
    </row>
    <row r="48" spans="1:6" x14ac:dyDescent="0.2">
      <c r="A48" s="19">
        <v>13</v>
      </c>
      <c r="B48" s="181" t="s">
        <v>12</v>
      </c>
      <c r="C48" s="182"/>
      <c r="D48" s="14">
        <f>IF(F3="1",SUMIF(Data!A:A,'17'!$A$2,Data!DG:DG),0)</f>
        <v>1458</v>
      </c>
      <c r="E48" s="17">
        <f>IF($F$3="1",SUMIF(Data!$A:$A,$A$2,Data!JA:JA),0)</f>
        <v>3784</v>
      </c>
      <c r="F48" s="21">
        <f t="shared" si="3"/>
        <v>2.6</v>
      </c>
    </row>
    <row r="49" spans="1:6" ht="14.25" customHeight="1" x14ac:dyDescent="0.2">
      <c r="A49" s="19">
        <v>14</v>
      </c>
      <c r="B49" s="181" t="s">
        <v>464</v>
      </c>
      <c r="C49" s="182"/>
      <c r="D49" s="14">
        <f>IF(F3="1",SUMIF(Data!A:A,'17'!$A$2,Data!DH:DH),0)</f>
        <v>0</v>
      </c>
      <c r="E49" s="17">
        <f>IF($F$3="1",SUMIF(Data!$A:$A,$A$2,Data!JB:JB),0)</f>
        <v>0</v>
      </c>
      <c r="F49" s="21" t="str">
        <f t="shared" si="3"/>
        <v/>
      </c>
    </row>
    <row r="50" spans="1:6" x14ac:dyDescent="0.2">
      <c r="A50" s="19">
        <v>15</v>
      </c>
      <c r="B50" s="181" t="s">
        <v>13</v>
      </c>
      <c r="C50" s="182"/>
      <c r="D50" s="14">
        <f>IF(F3="1",SUMIF(Data!A:A,'17'!$A$2,Data!DI:DI),0)</f>
        <v>0</v>
      </c>
      <c r="E50" s="17">
        <f>IF($F$3="1",SUMIF(Data!$A:$A,$A$2,Data!JC:JC),0)</f>
        <v>0</v>
      </c>
      <c r="F50" s="21" t="str">
        <f t="shared" si="3"/>
        <v/>
      </c>
    </row>
    <row r="51" spans="1:6" x14ac:dyDescent="0.2">
      <c r="A51" s="19">
        <v>16</v>
      </c>
      <c r="B51" s="181" t="s">
        <v>14</v>
      </c>
      <c r="C51" s="182"/>
      <c r="D51" s="14">
        <f>IF(F3="1",SUMIF(Data!A:A,'17'!$A$2,Data!DJ:DJ),0)</f>
        <v>56823</v>
      </c>
      <c r="E51" s="17">
        <f>IF($F$3="1",SUMIF(Data!$A:$A,$A$2,Data!JD:JD),0)</f>
        <v>16415</v>
      </c>
      <c r="F51" s="21">
        <f t="shared" si="3"/>
        <v>0.28999999999999998</v>
      </c>
    </row>
    <row r="52" spans="1:6" x14ac:dyDescent="0.2">
      <c r="A52" s="19">
        <v>17</v>
      </c>
      <c r="B52" s="181" t="s">
        <v>15</v>
      </c>
      <c r="C52" s="182"/>
      <c r="D52" s="14">
        <f>IF(F3="1",SUMIF(Data!A:A,'17'!$A$2,Data!DK:DK),0)</f>
        <v>0</v>
      </c>
      <c r="E52" s="17">
        <f>IF($F$3="1",SUMIF(Data!$A:$A,$A$2,Data!JE:JE),0)</f>
        <v>0</v>
      </c>
      <c r="F52" s="21" t="str">
        <f t="shared" si="3"/>
        <v/>
      </c>
    </row>
    <row r="53" spans="1:6" x14ac:dyDescent="0.2">
      <c r="A53" s="19">
        <v>18</v>
      </c>
      <c r="B53" s="181" t="s">
        <v>16</v>
      </c>
      <c r="C53" s="182"/>
      <c r="D53" s="14">
        <f>IF(F3="1",SUMIF(Data!A:A,'17'!$A$2,Data!DL:DL),0)</f>
        <v>52656</v>
      </c>
      <c r="E53" s="17">
        <f>IF($F$3="1",SUMIF(Data!$A:$A,$A$2,Data!JF:JF),0)</f>
        <v>62163</v>
      </c>
      <c r="F53" s="21">
        <f t="shared" si="3"/>
        <v>1.18</v>
      </c>
    </row>
    <row r="54" spans="1:6" x14ac:dyDescent="0.2">
      <c r="A54" s="19">
        <v>19</v>
      </c>
      <c r="B54" s="181" t="s">
        <v>17</v>
      </c>
      <c r="C54" s="182"/>
      <c r="D54" s="14">
        <f>IF(F3="1",SUMIF(Data!A:A,'17'!$A$2,Data!DM:DM),0)</f>
        <v>47904</v>
      </c>
      <c r="E54" s="17">
        <f>IF($F$3="1",SUMIF(Data!$A:$A,$A$2,Data!JG:JG),0)</f>
        <v>49179</v>
      </c>
      <c r="F54" s="21">
        <f t="shared" si="3"/>
        <v>1.03</v>
      </c>
    </row>
    <row r="55" spans="1:6" x14ac:dyDescent="0.2">
      <c r="A55" s="19">
        <v>20</v>
      </c>
      <c r="B55" s="181" t="s">
        <v>18</v>
      </c>
      <c r="C55" s="182"/>
      <c r="D55" s="14">
        <f>IF(F3="1",SUMIF(Data!A:A,'17'!$A$2,Data!DN:DN),0)</f>
        <v>288</v>
      </c>
      <c r="E55" s="17">
        <f>IF($F$3="1",SUMIF(Data!$A:$A,$A$2,Data!JH:JH),0)</f>
        <v>600</v>
      </c>
      <c r="F55" s="21">
        <f t="shared" si="3"/>
        <v>2.08</v>
      </c>
    </row>
    <row r="56" spans="1:6" ht="14.25" customHeight="1" x14ac:dyDescent="0.2">
      <c r="A56" s="19">
        <v>21</v>
      </c>
      <c r="B56" s="181" t="s">
        <v>461</v>
      </c>
      <c r="C56" s="182"/>
      <c r="D56" s="14">
        <f>IF(F3="1",SUMIF(Data!A:A,'17'!$A$2,Data!DO:DO),0)</f>
        <v>210</v>
      </c>
      <c r="E56" s="17">
        <f>IF($F$3="1",SUMIF(Data!$A:$A,$A$2,Data!JI:JI),0)</f>
        <v>408</v>
      </c>
      <c r="F56" s="21">
        <f t="shared" si="3"/>
        <v>1.94</v>
      </c>
    </row>
    <row r="57" spans="1:6" x14ac:dyDescent="0.2">
      <c r="A57" s="19">
        <v>22</v>
      </c>
      <c r="B57" s="181" t="s">
        <v>19</v>
      </c>
      <c r="C57" s="182"/>
      <c r="D57" s="14">
        <f>IF(F3="1",SUMIF(Data!A:A,'17'!$A$2,Data!DP:DP),0)</f>
        <v>0</v>
      </c>
      <c r="E57" s="17">
        <f>IF($F$3="1",SUMIF(Data!$A:$A,$A$2,Data!JJ:JJ),0)</f>
        <v>0</v>
      </c>
      <c r="F57" s="21" t="str">
        <f t="shared" si="3"/>
        <v/>
      </c>
    </row>
    <row r="58" spans="1:6" x14ac:dyDescent="0.2">
      <c r="A58" s="19">
        <v>23</v>
      </c>
      <c r="B58" s="181" t="s">
        <v>20</v>
      </c>
      <c r="C58" s="182"/>
      <c r="D58" s="14">
        <f>IF(F3="1",SUMIF(Data!A:A,'17'!$A$2,Data!DQ:DQ),0)</f>
        <v>29890</v>
      </c>
      <c r="E58" s="17">
        <f>IF($F$3="1",SUMIF(Data!$A:$A,$A$2,Data!JK:JK),0)</f>
        <v>10862</v>
      </c>
      <c r="F58" s="21">
        <f t="shared" si="3"/>
        <v>0.36</v>
      </c>
    </row>
    <row r="59" spans="1:6" x14ac:dyDescent="0.2">
      <c r="A59" s="19">
        <v>24</v>
      </c>
      <c r="B59" s="181" t="s">
        <v>21</v>
      </c>
      <c r="C59" s="182"/>
      <c r="D59" s="14">
        <f>IF(F3="1",SUMIF(Data!A:A,'17'!$A$2,Data!DR:DR),0)</f>
        <v>7068</v>
      </c>
      <c r="E59" s="17">
        <f>IF($F$3="1",SUMIF(Data!$A:$A,$A$2,Data!JL:JL),0)</f>
        <v>5912</v>
      </c>
      <c r="F59" s="21">
        <f t="shared" si="3"/>
        <v>0.84</v>
      </c>
    </row>
    <row r="60" spans="1:6" x14ac:dyDescent="0.2">
      <c r="A60" s="19">
        <v>25</v>
      </c>
      <c r="B60" s="181" t="s">
        <v>22</v>
      </c>
      <c r="C60" s="182"/>
      <c r="D60" s="14">
        <f>IF(F3="1",SUMIF(Data!A:A,'17'!$A$2,Data!DS:DS),0)</f>
        <v>88992</v>
      </c>
      <c r="E60" s="17">
        <f>IF($F$3="1",SUMIF(Data!$A:$A,$A$2,Data!JM:JM),0)</f>
        <v>74452</v>
      </c>
      <c r="F60" s="21">
        <f t="shared" si="3"/>
        <v>0.84</v>
      </c>
    </row>
    <row r="61" spans="1:6" x14ac:dyDescent="0.2">
      <c r="A61" s="19">
        <v>26</v>
      </c>
      <c r="B61" s="181" t="s">
        <v>23</v>
      </c>
      <c r="C61" s="182"/>
      <c r="D61" s="14">
        <f>IF(F3="1",SUMIF(Data!A:A,'17'!$A$2,Data!DT:DT),0)</f>
        <v>24339</v>
      </c>
      <c r="E61" s="17">
        <f>IF($F$3="1",SUMIF(Data!$A:$A,$A$2,Data!JN:JN),0)</f>
        <v>37190</v>
      </c>
      <c r="F61" s="21">
        <f t="shared" si="3"/>
        <v>1.53</v>
      </c>
    </row>
    <row r="62" spans="1:6" x14ac:dyDescent="0.2">
      <c r="A62" s="19">
        <v>28</v>
      </c>
      <c r="B62" s="181" t="s">
        <v>24</v>
      </c>
      <c r="C62" s="182"/>
      <c r="D62" s="14">
        <f>IF(F3="1",SUMIF(Data!A:A,'17'!$A$2,Data!DV:DV),0)</f>
        <v>0</v>
      </c>
      <c r="E62" s="17">
        <f>IF($F$3="1",SUMIF(Data!$A:$A,$A$2,Data!JP:JP),0)</f>
        <v>0</v>
      </c>
      <c r="F62" s="21" t="str">
        <f t="shared" si="3"/>
        <v/>
      </c>
    </row>
    <row r="63" spans="1:6" ht="15.75" customHeight="1" thickBot="1" x14ac:dyDescent="0.25">
      <c r="A63" s="22">
        <v>29</v>
      </c>
      <c r="B63" s="183" t="s">
        <v>25</v>
      </c>
      <c r="C63" s="184"/>
      <c r="D63" s="23">
        <f>IF(F3="1",SUMIF(Data!A:A,'17'!$A$2,Data!DW:DW),0)</f>
        <v>0</v>
      </c>
      <c r="E63" s="24">
        <f>IF($F$3="1",SUMIF(Data!$A:$A,$A$2,Data!JQ:JQ),0)</f>
        <v>0</v>
      </c>
      <c r="F63" s="25" t="str">
        <f t="shared" si="3"/>
        <v/>
      </c>
    </row>
    <row r="64" spans="1:6" x14ac:dyDescent="0.2">
      <c r="B64" s="30" t="s">
        <v>35</v>
      </c>
      <c r="C64" s="30"/>
      <c r="D64" s="59">
        <f>SUM(D36:D63)</f>
        <v>723731</v>
      </c>
      <c r="E64" s="31">
        <f>SUM(E36:E63)</f>
        <v>900328</v>
      </c>
      <c r="F64" s="32">
        <f t="shared" si="3"/>
        <v>1.24</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24848</v>
      </c>
      <c r="E67" s="15">
        <f>IF(F3="1",SUMIF(Data!A:A,'17'!$A$2,Data!DY:DY),0)</f>
        <v>96894</v>
      </c>
      <c r="F67" s="20">
        <f t="shared" ref="F67:F95" si="4">IF(OR(D67=0,E67=0),"",ROUND(E67/D67,2))</f>
        <v>3.9</v>
      </c>
    </row>
    <row r="68" spans="1:6" x14ac:dyDescent="0.2">
      <c r="A68" s="19">
        <v>2</v>
      </c>
      <c r="B68" s="181" t="s">
        <v>1</v>
      </c>
      <c r="C68" s="182"/>
      <c r="D68" s="14">
        <f t="shared" ref="D68:D94" si="5">D37</f>
        <v>39548</v>
      </c>
      <c r="E68" s="17">
        <f>IF(F3="1",SUMIF(Data!A:A,'17'!$A$2,Data!DZ:DZ),0)</f>
        <v>37454</v>
      </c>
      <c r="F68" s="21">
        <f t="shared" si="4"/>
        <v>0.95</v>
      </c>
    </row>
    <row r="69" spans="1:6" ht="14.25" customHeight="1" x14ac:dyDescent="0.2">
      <c r="A69" s="19">
        <v>3</v>
      </c>
      <c r="B69" s="181" t="s">
        <v>2</v>
      </c>
      <c r="C69" s="182"/>
      <c r="D69" s="14">
        <f t="shared" si="5"/>
        <v>73820</v>
      </c>
      <c r="E69" s="17">
        <f>IF(F3="1",SUMIF(Data!A:A,'17'!$A$2,Data!EA:EA),0)</f>
        <v>151256</v>
      </c>
      <c r="F69" s="21">
        <f t="shared" si="4"/>
        <v>2.0499999999999998</v>
      </c>
    </row>
    <row r="70" spans="1:6" ht="14.25" customHeight="1" x14ac:dyDescent="0.2">
      <c r="A70" s="19">
        <v>4</v>
      </c>
      <c r="B70" s="181" t="s">
        <v>3</v>
      </c>
      <c r="C70" s="182"/>
      <c r="D70" s="14">
        <f t="shared" si="5"/>
        <v>65800</v>
      </c>
      <c r="E70" s="17">
        <f>IF(F3="1",SUMIF(Data!A:A,'17'!$A$2,Data!EB:EB),0)</f>
        <v>104350</v>
      </c>
      <c r="F70" s="21">
        <f t="shared" si="4"/>
        <v>1.59</v>
      </c>
    </row>
    <row r="71" spans="1:6" x14ac:dyDescent="0.2">
      <c r="A71" s="19">
        <v>5</v>
      </c>
      <c r="B71" s="181" t="s">
        <v>4</v>
      </c>
      <c r="C71" s="182"/>
      <c r="D71" s="14">
        <f t="shared" si="5"/>
        <v>0</v>
      </c>
      <c r="E71" s="17">
        <f>IF(F3="1",SUMIF(Data!A:A,'17'!$A$2,Data!EC:EC),0)</f>
        <v>0</v>
      </c>
      <c r="F71" s="21" t="str">
        <f t="shared" si="4"/>
        <v/>
      </c>
    </row>
    <row r="72" spans="1:6" x14ac:dyDescent="0.2">
      <c r="A72" s="19">
        <v>6</v>
      </c>
      <c r="B72" s="181" t="s">
        <v>5</v>
      </c>
      <c r="C72" s="182"/>
      <c r="D72" s="14">
        <f t="shared" si="5"/>
        <v>376</v>
      </c>
      <c r="E72" s="17">
        <f>IF(F3="1",SUMIF(Data!A:A,'17'!$A$2,Data!ED:ED),0)</f>
        <v>0</v>
      </c>
      <c r="F72" s="21" t="str">
        <f t="shared" si="4"/>
        <v/>
      </c>
    </row>
    <row r="73" spans="1:6" x14ac:dyDescent="0.2">
      <c r="A73" s="19">
        <v>7</v>
      </c>
      <c r="B73" s="181" t="s">
        <v>6</v>
      </c>
      <c r="C73" s="182"/>
      <c r="D73" s="14">
        <f t="shared" si="5"/>
        <v>53165</v>
      </c>
      <c r="E73" s="17">
        <f>IF(F3="1",SUMIF(Data!A:A,'17'!$A$2,Data!EE:EE),0)</f>
        <v>82526</v>
      </c>
      <c r="F73" s="21">
        <f t="shared" si="4"/>
        <v>1.55</v>
      </c>
    </row>
    <row r="74" spans="1:6" x14ac:dyDescent="0.2">
      <c r="A74" s="19">
        <v>8</v>
      </c>
      <c r="B74" s="181" t="s">
        <v>7</v>
      </c>
      <c r="C74" s="182"/>
      <c r="D74" s="14">
        <f t="shared" si="5"/>
        <v>4224</v>
      </c>
      <c r="E74" s="17">
        <f>IF(F3="1",SUMIF(Data!A:A,'17'!$A$2,Data!EF:EF),0)</f>
        <v>53503</v>
      </c>
      <c r="F74" s="21">
        <f t="shared" si="4"/>
        <v>12.67</v>
      </c>
    </row>
    <row r="75" spans="1:6" x14ac:dyDescent="0.2">
      <c r="A75" s="19">
        <v>9</v>
      </c>
      <c r="B75" s="181" t="s">
        <v>8</v>
      </c>
      <c r="C75" s="182"/>
      <c r="D75" s="14">
        <f t="shared" si="5"/>
        <v>38269</v>
      </c>
      <c r="E75" s="17">
        <f>IF(F3="1",SUMIF(Data!A:A,'17'!$A$2,Data!EG:EG),0)</f>
        <v>128599</v>
      </c>
      <c r="F75" s="21">
        <f t="shared" si="4"/>
        <v>3.36</v>
      </c>
    </row>
    <row r="76" spans="1:6" x14ac:dyDescent="0.2">
      <c r="A76" s="19">
        <v>10</v>
      </c>
      <c r="B76" s="181" t="s">
        <v>9</v>
      </c>
      <c r="C76" s="182"/>
      <c r="D76" s="14">
        <f t="shared" si="5"/>
        <v>0</v>
      </c>
      <c r="E76" s="17">
        <f>IF(F3="1",SUMIF(Data!A:A,'17'!$A$2,Data!EH:EH),0)</f>
        <v>0</v>
      </c>
      <c r="F76" s="21" t="str">
        <f t="shared" si="4"/>
        <v/>
      </c>
    </row>
    <row r="77" spans="1:6" x14ac:dyDescent="0.2">
      <c r="A77" s="19">
        <v>11</v>
      </c>
      <c r="B77" s="181" t="s">
        <v>10</v>
      </c>
      <c r="C77" s="182"/>
      <c r="D77" s="14">
        <f t="shared" si="5"/>
        <v>42053</v>
      </c>
      <c r="E77" s="17">
        <f>IF(F3="1",SUMIF(Data!A:A,'17'!$A$2,Data!EI:EI),0)</f>
        <v>38679</v>
      </c>
      <c r="F77" s="21">
        <f t="shared" si="4"/>
        <v>0.92</v>
      </c>
    </row>
    <row r="78" spans="1:6" ht="14.25" customHeight="1" x14ac:dyDescent="0.2">
      <c r="A78" s="19">
        <v>12</v>
      </c>
      <c r="B78" s="181" t="s">
        <v>11</v>
      </c>
      <c r="C78" s="182"/>
      <c r="D78" s="14">
        <f t="shared" si="5"/>
        <v>72000</v>
      </c>
      <c r="E78" s="17">
        <f>IF(F3="1",SUMIF(Data!A:A,'17'!$A$2,Data!EJ:EJ),0)</f>
        <v>105849</v>
      </c>
      <c r="F78" s="21">
        <f t="shared" si="4"/>
        <v>1.47</v>
      </c>
    </row>
    <row r="79" spans="1:6" x14ac:dyDescent="0.2">
      <c r="A79" s="19">
        <v>13</v>
      </c>
      <c r="B79" s="181" t="s">
        <v>12</v>
      </c>
      <c r="C79" s="182"/>
      <c r="D79" s="14">
        <f t="shared" si="5"/>
        <v>1458</v>
      </c>
      <c r="E79" s="17">
        <f>IF(F3="1",SUMIF(Data!A:A,'17'!$A$2,Data!EK:EK),0)</f>
        <v>0</v>
      </c>
      <c r="F79" s="21" t="str">
        <f t="shared" si="4"/>
        <v/>
      </c>
    </row>
    <row r="80" spans="1:6" ht="14.25" customHeight="1" x14ac:dyDescent="0.2">
      <c r="A80" s="19">
        <v>14</v>
      </c>
      <c r="B80" s="181" t="s">
        <v>464</v>
      </c>
      <c r="C80" s="182"/>
      <c r="D80" s="14">
        <f t="shared" si="5"/>
        <v>0</v>
      </c>
      <c r="E80" s="17">
        <f>IF(F3="1",SUMIF(Data!A:A,'17'!$A$2,Data!EL:EL),0)</f>
        <v>0</v>
      </c>
      <c r="F80" s="21" t="str">
        <f t="shared" si="4"/>
        <v/>
      </c>
    </row>
    <row r="81" spans="1:6" x14ac:dyDescent="0.2">
      <c r="A81" s="19">
        <v>15</v>
      </c>
      <c r="B81" s="181" t="s">
        <v>13</v>
      </c>
      <c r="C81" s="182"/>
      <c r="D81" s="14">
        <f t="shared" si="5"/>
        <v>0</v>
      </c>
      <c r="E81" s="17">
        <f>IF(F3="1",SUMIF(Data!A:A,'17'!$A$2,Data!EM:EM),0)</f>
        <v>0</v>
      </c>
      <c r="F81" s="21" t="str">
        <f t="shared" si="4"/>
        <v/>
      </c>
    </row>
    <row r="82" spans="1:6" x14ac:dyDescent="0.2">
      <c r="A82" s="19">
        <v>16</v>
      </c>
      <c r="B82" s="181" t="s">
        <v>14</v>
      </c>
      <c r="C82" s="182"/>
      <c r="D82" s="14">
        <f t="shared" si="5"/>
        <v>56823</v>
      </c>
      <c r="E82" s="17">
        <f>IF(F3="1",SUMIF(Data!A:A,'17'!$A$2,Data!EN:EN),0)</f>
        <v>28000</v>
      </c>
      <c r="F82" s="21">
        <f t="shared" si="4"/>
        <v>0.49</v>
      </c>
    </row>
    <row r="83" spans="1:6" x14ac:dyDescent="0.2">
      <c r="A83" s="19">
        <v>17</v>
      </c>
      <c r="B83" s="181" t="s">
        <v>15</v>
      </c>
      <c r="C83" s="182"/>
      <c r="D83" s="14">
        <f t="shared" si="5"/>
        <v>0</v>
      </c>
      <c r="E83" s="17">
        <f>IF(F3="1",SUMIF(Data!A:A,'17'!$A$2,Data!EO:EO),0)</f>
        <v>0</v>
      </c>
      <c r="F83" s="21" t="str">
        <f t="shared" si="4"/>
        <v/>
      </c>
    </row>
    <row r="84" spans="1:6" x14ac:dyDescent="0.2">
      <c r="A84" s="19">
        <v>18</v>
      </c>
      <c r="B84" s="181" t="s">
        <v>16</v>
      </c>
      <c r="C84" s="182"/>
      <c r="D84" s="14">
        <f t="shared" si="5"/>
        <v>52656</v>
      </c>
      <c r="E84" s="17">
        <f>IF(F3="1",SUMIF(Data!A:A,'17'!$A$2,Data!EP:EP),0)</f>
        <v>165012</v>
      </c>
      <c r="F84" s="21">
        <f t="shared" si="4"/>
        <v>3.13</v>
      </c>
    </row>
    <row r="85" spans="1:6" x14ac:dyDescent="0.2">
      <c r="A85" s="19">
        <v>19</v>
      </c>
      <c r="B85" s="181" t="s">
        <v>17</v>
      </c>
      <c r="C85" s="182"/>
      <c r="D85" s="14">
        <f t="shared" si="5"/>
        <v>47904</v>
      </c>
      <c r="E85" s="17">
        <f>IF(F3="1",SUMIF(Data!A:A,'17'!$A$2,Data!EQ:EQ),0)</f>
        <v>59313</v>
      </c>
      <c r="F85" s="21">
        <f t="shared" si="4"/>
        <v>1.24</v>
      </c>
    </row>
    <row r="86" spans="1:6" x14ac:dyDescent="0.2">
      <c r="A86" s="19">
        <v>20</v>
      </c>
      <c r="B86" s="181" t="s">
        <v>18</v>
      </c>
      <c r="C86" s="182"/>
      <c r="D86" s="14">
        <f t="shared" si="5"/>
        <v>288</v>
      </c>
      <c r="E86" s="17">
        <f>IF(F3="1",SUMIF(Data!A:A,'17'!$A$2,Data!ER:ER),0)</f>
        <v>0</v>
      </c>
      <c r="F86" s="21" t="str">
        <f t="shared" si="4"/>
        <v/>
      </c>
    </row>
    <row r="87" spans="1:6" ht="14.25" customHeight="1" x14ac:dyDescent="0.2">
      <c r="A87" s="19">
        <v>21</v>
      </c>
      <c r="B87" s="181" t="s">
        <v>461</v>
      </c>
      <c r="C87" s="182"/>
      <c r="D87" s="14">
        <f t="shared" si="5"/>
        <v>210</v>
      </c>
      <c r="E87" s="17">
        <f>IF(F3="1",SUMIF(Data!A:A,'17'!$A$2,Data!ES:ES),0)</f>
        <v>0</v>
      </c>
      <c r="F87" s="21" t="str">
        <f t="shared" si="4"/>
        <v/>
      </c>
    </row>
    <row r="88" spans="1:6" x14ac:dyDescent="0.2">
      <c r="A88" s="19">
        <v>22</v>
      </c>
      <c r="B88" s="181" t="s">
        <v>19</v>
      </c>
      <c r="C88" s="182"/>
      <c r="D88" s="14">
        <f t="shared" si="5"/>
        <v>0</v>
      </c>
      <c r="E88" s="17">
        <f>IF(F3="1",SUMIF(Data!A:A,'17'!$A$2,Data!ET:ET),0)</f>
        <v>0</v>
      </c>
      <c r="F88" s="21" t="str">
        <f t="shared" si="4"/>
        <v/>
      </c>
    </row>
    <row r="89" spans="1:6" x14ac:dyDescent="0.2">
      <c r="A89" s="19">
        <v>23</v>
      </c>
      <c r="B89" s="181" t="s">
        <v>20</v>
      </c>
      <c r="C89" s="182"/>
      <c r="D89" s="14">
        <f t="shared" si="5"/>
        <v>29890</v>
      </c>
      <c r="E89" s="17">
        <f>IF(F3="1",SUMIF(Data!A:A,'17'!$A$2,Data!EU:EU),0)</f>
        <v>120741</v>
      </c>
      <c r="F89" s="21">
        <f t="shared" si="4"/>
        <v>4.04</v>
      </c>
    </row>
    <row r="90" spans="1:6" x14ac:dyDescent="0.2">
      <c r="A90" s="19">
        <v>24</v>
      </c>
      <c r="B90" s="181" t="s">
        <v>21</v>
      </c>
      <c r="C90" s="182"/>
      <c r="D90" s="14">
        <f t="shared" si="5"/>
        <v>7068</v>
      </c>
      <c r="E90" s="17">
        <f>IF(F3="1",SUMIF(Data!A:A,'17'!$A$2,Data!EV:EV),0)</f>
        <v>0</v>
      </c>
      <c r="F90" s="21" t="str">
        <f t="shared" si="4"/>
        <v/>
      </c>
    </row>
    <row r="91" spans="1:6" x14ac:dyDescent="0.2">
      <c r="A91" s="19">
        <v>25</v>
      </c>
      <c r="B91" s="181" t="s">
        <v>22</v>
      </c>
      <c r="C91" s="182"/>
      <c r="D91" s="14">
        <f t="shared" si="5"/>
        <v>88992</v>
      </c>
      <c r="E91" s="17">
        <f>IF(F3="1",SUMIF(Data!A:A,'17'!$A$2,Data!EW:EW),0)</f>
        <v>110988</v>
      </c>
      <c r="F91" s="21">
        <f t="shared" si="4"/>
        <v>1.25</v>
      </c>
    </row>
    <row r="92" spans="1:6" x14ac:dyDescent="0.2">
      <c r="A92" s="19">
        <v>26</v>
      </c>
      <c r="B92" s="181" t="s">
        <v>23</v>
      </c>
      <c r="C92" s="182"/>
      <c r="D92" s="14">
        <f t="shared" si="5"/>
        <v>24339</v>
      </c>
      <c r="E92" s="17">
        <f>IF(F3="1",SUMIF(Data!A:A,'17'!$A$2,Data!EX:EX),0)</f>
        <v>45867</v>
      </c>
      <c r="F92" s="21">
        <f t="shared" si="4"/>
        <v>1.88</v>
      </c>
    </row>
    <row r="93" spans="1:6" x14ac:dyDescent="0.2">
      <c r="A93" s="19">
        <v>28</v>
      </c>
      <c r="B93" s="181" t="s">
        <v>24</v>
      </c>
      <c r="C93" s="182"/>
      <c r="D93" s="14">
        <f t="shared" si="5"/>
        <v>0</v>
      </c>
      <c r="E93" s="17">
        <f>IF(F3="1",SUMIF(Data!A:A,'17'!$A$2,Data!EZ:EZ),0)</f>
        <v>0</v>
      </c>
      <c r="F93" s="21" t="str">
        <f t="shared" si="4"/>
        <v/>
      </c>
    </row>
    <row r="94" spans="1:6" ht="15.75" customHeight="1" thickBot="1" x14ac:dyDescent="0.25">
      <c r="A94" s="22">
        <v>29</v>
      </c>
      <c r="B94" s="183" t="s">
        <v>25</v>
      </c>
      <c r="C94" s="184"/>
      <c r="D94" s="23">
        <f t="shared" si="5"/>
        <v>0</v>
      </c>
      <c r="E94" s="24">
        <f>IF(F3="1",SUMIF(Data!A:A,'17'!$A$2,Data!FA:FA),0)</f>
        <v>0</v>
      </c>
      <c r="F94" s="25" t="str">
        <f t="shared" si="4"/>
        <v/>
      </c>
    </row>
    <row r="95" spans="1:6" x14ac:dyDescent="0.2">
      <c r="B95" s="30" t="s">
        <v>35</v>
      </c>
      <c r="C95" s="30"/>
      <c r="D95" s="59">
        <f>SUM(D67:D94)</f>
        <v>723731</v>
      </c>
      <c r="E95" s="31">
        <f>SUM(E67:E94)</f>
        <v>1329031</v>
      </c>
      <c r="F95" s="32">
        <f t="shared" si="4"/>
        <v>1.84</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IF(F3="1",SUMIF(Data!A:A,'17'!$A$2,Data!AH:AH),0)</f>
        <v>1027778</v>
      </c>
      <c r="F98" s="20">
        <f>IF(OR(E98=0,E98=0),"",ROUND(E98/$D$105,2))</f>
        <v>1.42</v>
      </c>
    </row>
    <row r="99" spans="2:6" x14ac:dyDescent="0.2">
      <c r="B99" s="187" t="s">
        <v>31</v>
      </c>
      <c r="C99" s="188"/>
      <c r="D99" s="36"/>
      <c r="E99" s="17">
        <f>IF(F3="1",SUMIF(Data!A:A,'17'!$A$2,Data!AI:AI),0)</f>
        <v>394305</v>
      </c>
      <c r="F99" s="21">
        <f t="shared" ref="F99:F104" si="6">IF(OR(E99=0,E99=0),"",ROUND(E99/$D$105,2))</f>
        <v>0.54</v>
      </c>
    </row>
    <row r="100" spans="2:6" x14ac:dyDescent="0.2">
      <c r="B100" s="187" t="s">
        <v>1078</v>
      </c>
      <c r="C100" s="188"/>
      <c r="D100" s="36"/>
      <c r="E100" s="17">
        <f>IF(F3="1",SUMIF(Data!A:A,'17'!$A$2,Data!AJ:AJ),0)</f>
        <v>135376</v>
      </c>
      <c r="F100" s="21">
        <f t="shared" si="6"/>
        <v>0.19</v>
      </c>
    </row>
    <row r="101" spans="2:6" x14ac:dyDescent="0.2">
      <c r="B101" s="187" t="s">
        <v>1079</v>
      </c>
      <c r="C101" s="188"/>
      <c r="D101" s="36"/>
      <c r="E101" s="17">
        <f>IF(F3="1",SUMIF(Data!A:A,'17'!$A$2,Data!AK:AK),0)</f>
        <v>404939</v>
      </c>
      <c r="F101" s="21">
        <f t="shared" si="6"/>
        <v>0.56000000000000005</v>
      </c>
    </row>
    <row r="102" spans="2:6" x14ac:dyDescent="0.2">
      <c r="B102" s="187" t="s">
        <v>1080</v>
      </c>
      <c r="C102" s="188"/>
      <c r="D102" s="36"/>
      <c r="E102" s="17">
        <f>IF(F3="1",SUMIF(Data!A:A,'17'!$A$2,Data!AL:AL),0)</f>
        <v>0</v>
      </c>
      <c r="F102" s="21" t="str">
        <f t="shared" si="6"/>
        <v/>
      </c>
    </row>
    <row r="103" spans="2:6" x14ac:dyDescent="0.2">
      <c r="B103" s="189" t="s">
        <v>34</v>
      </c>
      <c r="C103" s="190"/>
      <c r="D103" s="36"/>
      <c r="E103" s="17">
        <f>IF(F3="1",SUMIF(Data!A:A,'17'!$A$2,Data!AM:AM),0)</f>
        <v>0</v>
      </c>
      <c r="F103" s="21" t="str">
        <f t="shared" si="6"/>
        <v/>
      </c>
    </row>
    <row r="104" spans="2:6" ht="15.75" customHeight="1" thickBot="1" x14ac:dyDescent="0.25">
      <c r="B104" s="179" t="s">
        <v>29</v>
      </c>
      <c r="C104" s="180"/>
      <c r="D104" s="37"/>
      <c r="E104" s="24">
        <f>IF(F3="1",SUMIF(Data!A:A,'17'!$A$2,Data!Q:Q),0)</f>
        <v>205716</v>
      </c>
      <c r="F104" s="25">
        <f t="shared" si="6"/>
        <v>0.28000000000000003</v>
      </c>
    </row>
    <row r="105" spans="2:6" x14ac:dyDescent="0.2">
      <c r="B105" s="30" t="s">
        <v>35</v>
      </c>
      <c r="C105" s="30"/>
      <c r="D105" s="34">
        <f>D95</f>
        <v>723731</v>
      </c>
      <c r="E105" s="31">
        <f>SUM(E98:E104)</f>
        <v>2168114</v>
      </c>
      <c r="F105" s="32">
        <f>IF($D$105=0,"",ROUND(E105/$D$105,2))</f>
        <v>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1329031</v>
      </c>
      <c r="D109" s="15">
        <f>IF(F3="1",SUMIF(Data!$A:$A,$A$2,Data!HJ:HJ),0)</f>
        <v>0</v>
      </c>
      <c r="E109" s="15">
        <f>IF(F3="1",SUMIF(Data!$A:$A,$A$2,Data!IN:IN),0)</f>
        <v>0</v>
      </c>
      <c r="F109" s="47">
        <f>SUM(C109:E109)</f>
        <v>1329031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205716</v>
      </c>
      <c r="E117" s="52"/>
      <c r="F117" s="49">
        <f>SUM(C117:E117)</f>
        <v>205716</v>
      </c>
    </row>
    <row r="118" spans="1:6" x14ac:dyDescent="0.2">
      <c r="B118" s="13" t="s">
        <v>35</v>
      </c>
      <c r="C118" s="4">
        <f>SUM(C109:C116)</f>
        <v>1329031</v>
      </c>
      <c r="D118" s="4">
        <f>SUM(D109:D116)</f>
        <v>0</v>
      </c>
      <c r="E118" s="4">
        <f>SUM(E109:E116)</f>
        <v>0</v>
      </c>
      <c r="F118" s="4">
        <f>SUM(F109:F116)</f>
        <v>1329031</v>
      </c>
    </row>
    <row r="119" spans="1:6" ht="15" thickBot="1" x14ac:dyDescent="0.25"/>
    <row r="120" spans="1:6" ht="15" thickBot="1" x14ac:dyDescent="0.25">
      <c r="B120" s="55" t="s">
        <v>934</v>
      </c>
      <c r="C120" s="53"/>
      <c r="D120" s="53"/>
      <c r="E120" s="53">
        <f>IF(F3="1",SUMIF(Data!A:A,'17'!$A$2,Data!AM:AM),0)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423</v>
      </c>
      <c r="B2" s="58" t="str">
        <f>VLOOKUP(A2,Data!A:G,7,0)</f>
        <v>Galveston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9792</v>
      </c>
      <c r="E6" s="17">
        <f t="shared" ref="E6:E32" si="1">E37+E68+IFERROR($E$105/$D$105*D6,0)</f>
        <v>72904.275726361448</v>
      </c>
      <c r="F6" s="21">
        <f t="shared" ref="F6:F33" si="2">IF(OR(D6=0,E6=0),"",ROUND(E6/D6,2))</f>
        <v>7.45</v>
      </c>
    </row>
    <row r="7" spans="1:6" ht="14.25" customHeight="1" x14ac:dyDescent="0.2">
      <c r="A7" s="19">
        <v>3</v>
      </c>
      <c r="B7" s="181" t="s">
        <v>2</v>
      </c>
      <c r="C7" s="182"/>
      <c r="D7" s="14">
        <f t="shared" si="0"/>
        <v>113872</v>
      </c>
      <c r="E7" s="17">
        <f t="shared" si="1"/>
        <v>879037.93847142882</v>
      </c>
      <c r="F7" s="21">
        <f t="shared" si="2"/>
        <v>7.72</v>
      </c>
    </row>
    <row r="8" spans="1:6" ht="14.25" customHeight="1" x14ac:dyDescent="0.2">
      <c r="A8" s="19">
        <v>4</v>
      </c>
      <c r="B8" s="181" t="s">
        <v>3</v>
      </c>
      <c r="C8" s="182"/>
      <c r="D8" s="14">
        <f t="shared" si="0"/>
        <v>52272</v>
      </c>
      <c r="E8" s="17">
        <f t="shared" si="1"/>
        <v>416358.88365690009</v>
      </c>
      <c r="F8" s="21">
        <f t="shared" si="2"/>
        <v>7.97</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408</v>
      </c>
      <c r="E10" s="17">
        <f t="shared" si="1"/>
        <v>20660.178155265061</v>
      </c>
      <c r="F10" s="21">
        <f t="shared" si="2"/>
        <v>50.64</v>
      </c>
    </row>
    <row r="11" spans="1:6" x14ac:dyDescent="0.2">
      <c r="A11" s="19">
        <v>7</v>
      </c>
      <c r="B11" s="181" t="s">
        <v>6</v>
      </c>
      <c r="C11" s="182"/>
      <c r="D11" s="14">
        <f t="shared" si="0"/>
        <v>51756</v>
      </c>
      <c r="E11" s="17">
        <f t="shared" si="1"/>
        <v>500693.27598994726</v>
      </c>
      <c r="F11" s="21">
        <f t="shared" si="2"/>
        <v>9.67</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38451</v>
      </c>
      <c r="E13" s="17">
        <f t="shared" si="1"/>
        <v>356390.7236472962</v>
      </c>
      <c r="F13" s="21">
        <f t="shared" si="2"/>
        <v>9.27</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3586</v>
      </c>
      <c r="E15" s="17">
        <f t="shared" si="1"/>
        <v>74071.502119560057</v>
      </c>
      <c r="F15" s="21">
        <f t="shared" si="2"/>
        <v>20.66</v>
      </c>
    </row>
    <row r="16" spans="1:6" ht="14.25" customHeight="1" x14ac:dyDescent="0.2">
      <c r="A16" s="19">
        <v>12</v>
      </c>
      <c r="B16" s="181" t="s">
        <v>11</v>
      </c>
      <c r="C16" s="182"/>
      <c r="D16" s="14">
        <f t="shared" si="0"/>
        <v>157832</v>
      </c>
      <c r="E16" s="17">
        <f t="shared" si="1"/>
        <v>1135589.1730436152</v>
      </c>
      <c r="F16" s="21">
        <f t="shared" si="2"/>
        <v>7.19</v>
      </c>
    </row>
    <row r="17" spans="1:6" x14ac:dyDescent="0.2">
      <c r="A17" s="19">
        <v>13</v>
      </c>
      <c r="B17" s="181" t="s">
        <v>12</v>
      </c>
      <c r="C17" s="182"/>
      <c r="D17" s="14">
        <f t="shared" si="0"/>
        <v>11204</v>
      </c>
      <c r="E17" s="17">
        <f t="shared" si="1"/>
        <v>66773.706008798385</v>
      </c>
      <c r="F17" s="21">
        <f t="shared" si="2"/>
        <v>5.96</v>
      </c>
    </row>
    <row r="18" spans="1:6" ht="14.25" customHeight="1" x14ac:dyDescent="0.2">
      <c r="A18" s="19">
        <v>14</v>
      </c>
      <c r="B18" s="181" t="s">
        <v>464</v>
      </c>
      <c r="C18" s="182"/>
      <c r="D18" s="14">
        <f t="shared" si="0"/>
        <v>100560</v>
      </c>
      <c r="E18" s="17">
        <f t="shared" si="1"/>
        <v>1085226.1453270942</v>
      </c>
      <c r="F18" s="21">
        <f t="shared" si="2"/>
        <v>10.79</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178493</v>
      </c>
      <c r="E20" s="17">
        <f t="shared" si="1"/>
        <v>1445571.2021267805</v>
      </c>
      <c r="F20" s="21">
        <f t="shared" si="2"/>
        <v>8.1</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23216</v>
      </c>
      <c r="E22" s="17">
        <f t="shared" si="1"/>
        <v>214588.92169763148</v>
      </c>
      <c r="F22" s="21">
        <f t="shared" si="2"/>
        <v>9.24</v>
      </c>
    </row>
    <row r="23" spans="1:6" x14ac:dyDescent="0.2">
      <c r="A23" s="19">
        <v>19</v>
      </c>
      <c r="B23" s="181" t="s">
        <v>17</v>
      </c>
      <c r="C23" s="182"/>
      <c r="D23" s="14">
        <f t="shared" si="0"/>
        <v>135680</v>
      </c>
      <c r="E23" s="17">
        <f t="shared" si="1"/>
        <v>873082.85320187104</v>
      </c>
      <c r="F23" s="21">
        <f t="shared" si="2"/>
        <v>6.43</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3328</v>
      </c>
      <c r="E25" s="17">
        <f t="shared" si="1"/>
        <v>54855.198286083629</v>
      </c>
      <c r="F25" s="21">
        <f t="shared" si="2"/>
        <v>16.48</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44832</v>
      </c>
      <c r="E27" s="17">
        <f t="shared" si="1"/>
        <v>711952.51729618432</v>
      </c>
      <c r="F27" s="21">
        <f t="shared" si="2"/>
        <v>15.88</v>
      </c>
    </row>
    <row r="28" spans="1:6" x14ac:dyDescent="0.2">
      <c r="A28" s="19">
        <v>24</v>
      </c>
      <c r="B28" s="181" t="s">
        <v>21</v>
      </c>
      <c r="C28" s="182"/>
      <c r="D28" s="14">
        <f t="shared" si="0"/>
        <v>33921</v>
      </c>
      <c r="E28" s="17">
        <f t="shared" si="1"/>
        <v>303551.3191292797</v>
      </c>
      <c r="F28" s="21">
        <f t="shared" si="2"/>
        <v>8.9499999999999993</v>
      </c>
    </row>
    <row r="29" spans="1:6" x14ac:dyDescent="0.2">
      <c r="A29" s="19">
        <v>25</v>
      </c>
      <c r="B29" s="181" t="s">
        <v>22</v>
      </c>
      <c r="C29" s="182"/>
      <c r="D29" s="14">
        <f t="shared" si="0"/>
        <v>138000</v>
      </c>
      <c r="E29" s="17">
        <f t="shared" si="1"/>
        <v>1047658.3760455351</v>
      </c>
      <c r="F29" s="21">
        <f t="shared" si="2"/>
        <v>7.59</v>
      </c>
    </row>
    <row r="30" spans="1:6" x14ac:dyDescent="0.2">
      <c r="A30" s="19">
        <v>26</v>
      </c>
      <c r="B30" s="181" t="s">
        <v>23</v>
      </c>
      <c r="C30" s="182"/>
      <c r="D30" s="14">
        <f t="shared" si="0"/>
        <v>52328</v>
      </c>
      <c r="E30" s="17">
        <f t="shared" si="1"/>
        <v>436150.81007036788</v>
      </c>
      <c r="F30" s="21">
        <f t="shared" si="2"/>
        <v>8.33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1149531</v>
      </c>
      <c r="E33" s="31">
        <f>SUM(E5:E32)</f>
        <v>9695117</v>
      </c>
      <c r="F33" s="32">
        <f t="shared" si="2"/>
        <v>8.43</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IF(F3="1",SUMIF(Data!A:A,'18'!$A$2,Data!CU:CU),0)</f>
        <v>0</v>
      </c>
      <c r="E36" s="15">
        <f>IF(F3="1",SUMIF(Data!$A:$A,$A$2,Data!IO:IO),0)</f>
        <v>0</v>
      </c>
      <c r="F36" s="20" t="str">
        <f t="shared" ref="F36:F64" si="3">IF(OR(D36=0,E36=0),"",ROUND(E36/D36,2))</f>
        <v/>
      </c>
    </row>
    <row r="37" spans="1:6" x14ac:dyDescent="0.2">
      <c r="A37" s="19">
        <v>2</v>
      </c>
      <c r="B37" s="181" t="s">
        <v>1</v>
      </c>
      <c r="C37" s="182"/>
      <c r="D37" s="14">
        <f>IF(F3="1",SUMIF(Data!A:A,'18'!$A$2,Data!CV:CV),0)</f>
        <v>9792</v>
      </c>
      <c r="E37" s="17">
        <f>IF(F3="1",SUMIF(Data!$A:$A,$A$2,Data!IP:IP),0)</f>
        <v>12724</v>
      </c>
      <c r="F37" s="21">
        <f t="shared" si="3"/>
        <v>1.3</v>
      </c>
    </row>
    <row r="38" spans="1:6" ht="14.25" customHeight="1" x14ac:dyDescent="0.2">
      <c r="A38" s="19">
        <v>3</v>
      </c>
      <c r="B38" s="181" t="s">
        <v>2</v>
      </c>
      <c r="C38" s="182"/>
      <c r="D38" s="14">
        <f>IF(F3="1",SUMIF(Data!A:A,'18'!$A$2,Data!CW:CW),0)</f>
        <v>113872</v>
      </c>
      <c r="E38" s="17">
        <f>IF($F$3="1",SUMIF(Data!$A:$A,$A$2,Data!IQ:IQ),0)</f>
        <v>22344</v>
      </c>
      <c r="F38" s="21">
        <f t="shared" si="3"/>
        <v>0.2</v>
      </c>
    </row>
    <row r="39" spans="1:6" ht="14.25" customHeight="1" x14ac:dyDescent="0.2">
      <c r="A39" s="19">
        <v>4</v>
      </c>
      <c r="B39" s="181" t="s">
        <v>3</v>
      </c>
      <c r="C39" s="182"/>
      <c r="D39" s="14">
        <f>IF(F3="1",SUMIF(Data!A:A,'18'!$A$2,Data!CX:CX),0)</f>
        <v>52272</v>
      </c>
      <c r="E39" s="17">
        <f>IF($F$3="1",SUMIF(Data!$A:$A,$A$2,Data!IR:IR),0)</f>
        <v>12910</v>
      </c>
      <c r="F39" s="21">
        <f t="shared" si="3"/>
        <v>0.25</v>
      </c>
    </row>
    <row r="40" spans="1:6" x14ac:dyDescent="0.2">
      <c r="A40" s="19">
        <v>5</v>
      </c>
      <c r="B40" s="181" t="s">
        <v>4</v>
      </c>
      <c r="C40" s="182"/>
      <c r="D40" s="14">
        <f>IF(F3="1",SUMIF(Data!A:A,'18'!$A$2,Data!CY:CY),0)</f>
        <v>0</v>
      </c>
      <c r="E40" s="17">
        <f>IF($F$3="1",SUMIF(Data!$A:$A,$A$2,Data!IS:IS),0)</f>
        <v>0</v>
      </c>
      <c r="F40" s="21" t="str">
        <f t="shared" si="3"/>
        <v/>
      </c>
    </row>
    <row r="41" spans="1:6" x14ac:dyDescent="0.2">
      <c r="A41" s="19">
        <v>6</v>
      </c>
      <c r="B41" s="181" t="s">
        <v>5</v>
      </c>
      <c r="C41" s="182"/>
      <c r="D41" s="14">
        <f>IF(F3="1",SUMIF(Data!A:A,'18'!$A$2,Data!CZ:CZ),0)</f>
        <v>408</v>
      </c>
      <c r="E41" s="17">
        <f>IF($F$3="1",SUMIF(Data!$A:$A,$A$2,Data!IT:IT),0)</f>
        <v>18781</v>
      </c>
      <c r="F41" s="21">
        <f t="shared" si="3"/>
        <v>46.03</v>
      </c>
    </row>
    <row r="42" spans="1:6" x14ac:dyDescent="0.2">
      <c r="A42" s="19">
        <v>7</v>
      </c>
      <c r="B42" s="181" t="s">
        <v>6</v>
      </c>
      <c r="C42" s="182"/>
      <c r="D42" s="14">
        <f>IF(F3="1",SUMIF(Data!A:A,'18'!$A$2,Data!DA:DA),0)</f>
        <v>51756</v>
      </c>
      <c r="E42" s="17">
        <f>IF($F$3="1",SUMIF(Data!$A:$A,$A$2,Data!IU:IU),0)</f>
        <v>56482</v>
      </c>
      <c r="F42" s="21">
        <f t="shared" si="3"/>
        <v>1.0900000000000001</v>
      </c>
    </row>
    <row r="43" spans="1:6" x14ac:dyDescent="0.2">
      <c r="A43" s="19">
        <v>8</v>
      </c>
      <c r="B43" s="181" t="s">
        <v>7</v>
      </c>
      <c r="C43" s="182"/>
      <c r="D43" s="14">
        <f>IF(F3="1",SUMIF(Data!A:A,'18'!$A$2,Data!DB:DB),0)</f>
        <v>0</v>
      </c>
      <c r="E43" s="17">
        <f>IF($F$3="1",SUMIF(Data!$A:$A,$A$2,Data!IV:IV),0)</f>
        <v>0</v>
      </c>
      <c r="F43" s="21" t="str">
        <f t="shared" si="3"/>
        <v/>
      </c>
    </row>
    <row r="44" spans="1:6" x14ac:dyDescent="0.2">
      <c r="A44" s="19">
        <v>9</v>
      </c>
      <c r="B44" s="181" t="s">
        <v>8</v>
      </c>
      <c r="C44" s="182"/>
      <c r="D44" s="14">
        <f>IF(F3="1",SUMIF(Data!A:A,'18'!$A$2,Data!DC:DC),0)</f>
        <v>38451</v>
      </c>
      <c r="E44" s="17">
        <f>IF($F$3="1",SUMIF(Data!$A:$A,$A$2,Data!IW:IW),0)</f>
        <v>47215</v>
      </c>
      <c r="F44" s="21">
        <f t="shared" si="3"/>
        <v>1.23</v>
      </c>
    </row>
    <row r="45" spans="1:6" x14ac:dyDescent="0.2">
      <c r="A45" s="19">
        <v>10</v>
      </c>
      <c r="B45" s="181" t="s">
        <v>9</v>
      </c>
      <c r="C45" s="182"/>
      <c r="D45" s="14">
        <f>IF(F3="1",SUMIF(Data!A:A,'18'!$A$2,Data!DD:DD),0)</f>
        <v>0</v>
      </c>
      <c r="E45" s="17">
        <f>IF($F$3="1",SUMIF(Data!$A:$A,$A$2,Data!IX:IX),0)</f>
        <v>0</v>
      </c>
      <c r="F45" s="21" t="str">
        <f t="shared" si="3"/>
        <v/>
      </c>
    </row>
    <row r="46" spans="1:6" x14ac:dyDescent="0.2">
      <c r="A46" s="19">
        <v>11</v>
      </c>
      <c r="B46" s="181" t="s">
        <v>10</v>
      </c>
      <c r="C46" s="182"/>
      <c r="D46" s="14">
        <f>IF(F3="1",SUMIF(Data!A:A,'18'!$A$2,Data!DE:DE),0)</f>
        <v>3586</v>
      </c>
      <c r="E46" s="17">
        <f>IF($F$3="1",SUMIF(Data!$A:$A,$A$2,Data!IY:IY),0)</f>
        <v>14262</v>
      </c>
      <c r="F46" s="21">
        <f t="shared" si="3"/>
        <v>3.98</v>
      </c>
    </row>
    <row r="47" spans="1:6" ht="14.25" customHeight="1" x14ac:dyDescent="0.2">
      <c r="A47" s="19">
        <v>12</v>
      </c>
      <c r="B47" s="181" t="s">
        <v>11</v>
      </c>
      <c r="C47" s="182"/>
      <c r="D47" s="14">
        <f>IF(F3="1",SUMIF(Data!A:A,'18'!$A$2,Data!DF:DF),0)</f>
        <v>157832</v>
      </c>
      <c r="E47" s="17">
        <f>IF($F$3="1",SUMIF(Data!$A:$A,$A$2,Data!IZ:IZ),0)</f>
        <v>35608</v>
      </c>
      <c r="F47" s="21">
        <f t="shared" si="3"/>
        <v>0.23</v>
      </c>
    </row>
    <row r="48" spans="1:6" x14ac:dyDescent="0.2">
      <c r="A48" s="19">
        <v>13</v>
      </c>
      <c r="B48" s="181" t="s">
        <v>12</v>
      </c>
      <c r="C48" s="182"/>
      <c r="D48" s="14">
        <f>IF(F3="1",SUMIF(Data!A:A,'18'!$A$2,Data!DG:DG),0)</f>
        <v>11204</v>
      </c>
      <c r="E48" s="17">
        <f>IF($F$3="1",SUMIF(Data!$A:$A,$A$2,Data!JA:JA),0)</f>
        <v>174</v>
      </c>
      <c r="F48" s="21">
        <f t="shared" si="3"/>
        <v>0.02</v>
      </c>
    </row>
    <row r="49" spans="1:6" ht="14.25" customHeight="1" x14ac:dyDescent="0.2">
      <c r="A49" s="19">
        <v>14</v>
      </c>
      <c r="B49" s="181" t="s">
        <v>464</v>
      </c>
      <c r="C49" s="182"/>
      <c r="D49" s="14">
        <f>IF(F3="1",SUMIF(Data!A:A,'18'!$A$2,Data!DH:DH),0)</f>
        <v>100560</v>
      </c>
      <c r="E49" s="17">
        <f>IF($F$3="1",SUMIF(Data!$A:$A,$A$2,Data!JB:JB),0)</f>
        <v>13925</v>
      </c>
      <c r="F49" s="21">
        <f t="shared" si="3"/>
        <v>0.14000000000000001</v>
      </c>
    </row>
    <row r="50" spans="1:6" x14ac:dyDescent="0.2">
      <c r="A50" s="19">
        <v>15</v>
      </c>
      <c r="B50" s="181" t="s">
        <v>13</v>
      </c>
      <c r="C50" s="182"/>
      <c r="D50" s="14">
        <f>IF(F3="1",SUMIF(Data!A:A,'18'!$A$2,Data!DI:DI),0)</f>
        <v>0</v>
      </c>
      <c r="E50" s="17">
        <f>IF($F$3="1",SUMIF(Data!$A:$A,$A$2,Data!JC:JC),0)</f>
        <v>0</v>
      </c>
      <c r="F50" s="21" t="str">
        <f t="shared" si="3"/>
        <v/>
      </c>
    </row>
    <row r="51" spans="1:6" x14ac:dyDescent="0.2">
      <c r="A51" s="19">
        <v>16</v>
      </c>
      <c r="B51" s="181" t="s">
        <v>14</v>
      </c>
      <c r="C51" s="182"/>
      <c r="D51" s="14">
        <f>IF(F3="1",SUMIF(Data!A:A,'18'!$A$2,Data!DJ:DJ),0)</f>
        <v>178493</v>
      </c>
      <c r="E51" s="17">
        <f>IF($F$3="1",SUMIF(Data!$A:$A,$A$2,Data!JD:JD),0)</f>
        <v>487065</v>
      </c>
      <c r="F51" s="21">
        <f t="shared" si="3"/>
        <v>2.73</v>
      </c>
    </row>
    <row r="52" spans="1:6" x14ac:dyDescent="0.2">
      <c r="A52" s="19">
        <v>17</v>
      </c>
      <c r="B52" s="181" t="s">
        <v>15</v>
      </c>
      <c r="C52" s="182"/>
      <c r="D52" s="14">
        <f>IF(F3="1",SUMIF(Data!A:A,'18'!$A$2,Data!DK:DK),0)</f>
        <v>0</v>
      </c>
      <c r="E52" s="17">
        <f>IF($F$3="1",SUMIF(Data!$A:$A,$A$2,Data!JE:JE),0)</f>
        <v>0</v>
      </c>
      <c r="F52" s="21" t="str">
        <f t="shared" si="3"/>
        <v/>
      </c>
    </row>
    <row r="53" spans="1:6" x14ac:dyDescent="0.2">
      <c r="A53" s="19">
        <v>18</v>
      </c>
      <c r="B53" s="181" t="s">
        <v>16</v>
      </c>
      <c r="C53" s="182"/>
      <c r="D53" s="14">
        <f>IF(F3="1",SUMIF(Data!A:A,'18'!$A$2,Data!DL:DL),0)</f>
        <v>23216</v>
      </c>
      <c r="E53" s="17">
        <f>IF($F$3="1",SUMIF(Data!$A:$A,$A$2,Data!JF:JF),0)</f>
        <v>2203</v>
      </c>
      <c r="F53" s="21">
        <f t="shared" si="3"/>
        <v>0.09</v>
      </c>
    </row>
    <row r="54" spans="1:6" x14ac:dyDescent="0.2">
      <c r="A54" s="19">
        <v>19</v>
      </c>
      <c r="B54" s="181" t="s">
        <v>17</v>
      </c>
      <c r="C54" s="182"/>
      <c r="D54" s="14">
        <f>IF(F3="1",SUMIF(Data!A:A,'18'!$A$2,Data!DM:DM),0)</f>
        <v>135680</v>
      </c>
      <c r="E54" s="17">
        <f>IF($F$3="1",SUMIF(Data!$A:$A,$A$2,Data!JG:JG),0)</f>
        <v>24653</v>
      </c>
      <c r="F54" s="21">
        <f t="shared" si="3"/>
        <v>0.18</v>
      </c>
    </row>
    <row r="55" spans="1:6" x14ac:dyDescent="0.2">
      <c r="A55" s="19">
        <v>20</v>
      </c>
      <c r="B55" s="181" t="s">
        <v>18</v>
      </c>
      <c r="C55" s="182"/>
      <c r="D55" s="14">
        <f>IF(F3="1",SUMIF(Data!A:A,'18'!$A$2,Data!DN:DN),0)</f>
        <v>0</v>
      </c>
      <c r="E55" s="17">
        <f>IF($F$3="1",SUMIF(Data!$A:$A,$A$2,Data!JH:JH),0)</f>
        <v>0</v>
      </c>
      <c r="F55" s="21" t="str">
        <f t="shared" si="3"/>
        <v/>
      </c>
    </row>
    <row r="56" spans="1:6" ht="14.25" customHeight="1" x14ac:dyDescent="0.2">
      <c r="A56" s="19">
        <v>21</v>
      </c>
      <c r="B56" s="181" t="s">
        <v>461</v>
      </c>
      <c r="C56" s="182"/>
      <c r="D56" s="14">
        <f>IF(F3="1",SUMIF(Data!A:A,'18'!$A$2,Data!DO:DO),0)</f>
        <v>3328</v>
      </c>
      <c r="E56" s="17">
        <f>IF($F$3="1",SUMIF(Data!$A:$A,$A$2,Data!JI:JI),0)</f>
        <v>39527</v>
      </c>
      <c r="F56" s="21">
        <f t="shared" si="3"/>
        <v>11.88</v>
      </c>
    </row>
    <row r="57" spans="1:6" x14ac:dyDescent="0.2">
      <c r="A57" s="19">
        <v>22</v>
      </c>
      <c r="B57" s="181" t="s">
        <v>19</v>
      </c>
      <c r="C57" s="182"/>
      <c r="D57" s="14">
        <f>IF(F3="1",SUMIF(Data!A:A,'18'!$A$2,Data!DP:DP),0)</f>
        <v>0</v>
      </c>
      <c r="E57" s="17">
        <f>IF($F$3="1",SUMIF(Data!$A:$A,$A$2,Data!JJ:JJ),0)</f>
        <v>0</v>
      </c>
      <c r="F57" s="21" t="str">
        <f t="shared" si="3"/>
        <v/>
      </c>
    </row>
    <row r="58" spans="1:6" x14ac:dyDescent="0.2">
      <c r="A58" s="19">
        <v>23</v>
      </c>
      <c r="B58" s="181" t="s">
        <v>20</v>
      </c>
      <c r="C58" s="182"/>
      <c r="D58" s="14">
        <f>IF(F3="1",SUMIF(Data!A:A,'18'!$A$2,Data!DQ:DQ),0)</f>
        <v>44832</v>
      </c>
      <c r="E58" s="17">
        <f>IF($F$3="1",SUMIF(Data!$A:$A,$A$2,Data!JK:JK),0)</f>
        <v>284518</v>
      </c>
      <c r="F58" s="21">
        <f t="shared" si="3"/>
        <v>6.35</v>
      </c>
    </row>
    <row r="59" spans="1:6" x14ac:dyDescent="0.2">
      <c r="A59" s="19">
        <v>24</v>
      </c>
      <c r="B59" s="181" t="s">
        <v>21</v>
      </c>
      <c r="C59" s="182"/>
      <c r="D59" s="14">
        <f>IF(F3="1",SUMIF(Data!A:A,'18'!$A$2,Data!DR:DR),0)</f>
        <v>33921</v>
      </c>
      <c r="E59" s="17">
        <f>IF($F$3="1",SUMIF(Data!$A:$A,$A$2,Data!JL:JL),0)</f>
        <v>15236</v>
      </c>
      <c r="F59" s="21">
        <f t="shared" si="3"/>
        <v>0.45</v>
      </c>
    </row>
    <row r="60" spans="1:6" x14ac:dyDescent="0.2">
      <c r="A60" s="19">
        <v>25</v>
      </c>
      <c r="B60" s="181" t="s">
        <v>22</v>
      </c>
      <c r="C60" s="182"/>
      <c r="D60" s="14">
        <f>IF(F3="1",SUMIF(Data!A:A,'18'!$A$2,Data!DS:DS),0)</f>
        <v>138000</v>
      </c>
      <c r="E60" s="17">
        <f>IF($F$3="1",SUMIF(Data!$A:$A,$A$2,Data!JM:JM),0)</f>
        <v>13957</v>
      </c>
      <c r="F60" s="21">
        <f t="shared" si="3"/>
        <v>0.1</v>
      </c>
    </row>
    <row r="61" spans="1:6" x14ac:dyDescent="0.2">
      <c r="A61" s="19">
        <v>26</v>
      </c>
      <c r="B61" s="181" t="s">
        <v>23</v>
      </c>
      <c r="C61" s="182"/>
      <c r="D61" s="14">
        <f>IF(F3="1",SUMIF(Data!A:A,'18'!$A$2,Data!DT:DT),0)</f>
        <v>52328</v>
      </c>
      <c r="E61" s="17">
        <f>IF($F$3="1",SUMIF(Data!$A:$A,$A$2,Data!JN:JN),0)</f>
        <v>13695</v>
      </c>
      <c r="F61" s="21">
        <f t="shared" si="3"/>
        <v>0.26</v>
      </c>
    </row>
    <row r="62" spans="1:6" x14ac:dyDescent="0.2">
      <c r="A62" s="19">
        <v>28</v>
      </c>
      <c r="B62" s="181" t="s">
        <v>24</v>
      </c>
      <c r="C62" s="182"/>
      <c r="D62" s="14">
        <f>IF(F3="1",SUMIF(Data!A:A,'18'!$A$2,Data!DV:DV),0)</f>
        <v>0</v>
      </c>
      <c r="E62" s="17">
        <f>IF($F$3="1",SUMIF(Data!$A:$A,$A$2,Data!JP:JP),0)</f>
        <v>0</v>
      </c>
      <c r="F62" s="21" t="str">
        <f t="shared" si="3"/>
        <v/>
      </c>
    </row>
    <row r="63" spans="1:6" ht="15.75" customHeight="1" thickBot="1" x14ac:dyDescent="0.25">
      <c r="A63" s="22">
        <v>29</v>
      </c>
      <c r="B63" s="183" t="s">
        <v>25</v>
      </c>
      <c r="C63" s="184"/>
      <c r="D63" s="23">
        <f>IF(F3="1",SUMIF(Data!A:A,'18'!$A$2,Data!DW:DW),0)</f>
        <v>0</v>
      </c>
      <c r="E63" s="24">
        <f>IF($F$3="1",SUMIF(Data!$A:$A,$A$2,Data!JQ:JQ),0)</f>
        <v>0</v>
      </c>
      <c r="F63" s="25" t="str">
        <f t="shared" si="3"/>
        <v/>
      </c>
    </row>
    <row r="64" spans="1:6" x14ac:dyDescent="0.2">
      <c r="B64" s="30" t="s">
        <v>35</v>
      </c>
      <c r="C64" s="30"/>
      <c r="D64" s="59">
        <f>SUM(D36:D63)</f>
        <v>1149531</v>
      </c>
      <c r="E64" s="31">
        <f>SUM(E36:E63)</f>
        <v>1115279</v>
      </c>
      <c r="F64" s="32">
        <f t="shared" si="3"/>
        <v>0.97</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IF(F3="1",SUMIF(Data!A:A,'18'!$A$2,Data!DY:DY),0)</f>
        <v>0</v>
      </c>
      <c r="F67" s="20" t="str">
        <f t="shared" ref="F67:F95" si="4">IF(OR(D67=0,E67=0),"",ROUND(E67/D67,2))</f>
        <v/>
      </c>
    </row>
    <row r="68" spans="1:6" x14ac:dyDescent="0.2">
      <c r="A68" s="19">
        <v>2</v>
      </c>
      <c r="B68" s="181" t="s">
        <v>1</v>
      </c>
      <c r="C68" s="182"/>
      <c r="D68" s="14">
        <f t="shared" ref="D68:D94" si="5">D37</f>
        <v>9792</v>
      </c>
      <c r="E68" s="17">
        <f>IF(F3="1",SUMIF(Data!A:A,'18'!$A$2,Data!DZ:DZ),0)</f>
        <v>15080</v>
      </c>
      <c r="F68" s="21">
        <f t="shared" si="4"/>
        <v>1.54</v>
      </c>
    </row>
    <row r="69" spans="1:6" ht="14.25" customHeight="1" x14ac:dyDescent="0.2">
      <c r="A69" s="19">
        <v>3</v>
      </c>
      <c r="B69" s="181" t="s">
        <v>2</v>
      </c>
      <c r="C69" s="182"/>
      <c r="D69" s="14">
        <f t="shared" si="5"/>
        <v>113872</v>
      </c>
      <c r="E69" s="17">
        <f>IF(F3="1",SUMIF(Data!A:A,'18'!$A$2,Data!EA:EA),0)</f>
        <v>332219</v>
      </c>
      <c r="F69" s="21">
        <f t="shared" si="4"/>
        <v>2.92</v>
      </c>
    </row>
    <row r="70" spans="1:6" ht="14.25" customHeight="1" x14ac:dyDescent="0.2">
      <c r="A70" s="19">
        <v>4</v>
      </c>
      <c r="B70" s="181" t="s">
        <v>3</v>
      </c>
      <c r="C70" s="182"/>
      <c r="D70" s="14">
        <f t="shared" si="5"/>
        <v>52272</v>
      </c>
      <c r="E70" s="17">
        <f>IF(F3="1",SUMIF(Data!A:A,'18'!$A$2,Data!EB:EB),0)</f>
        <v>162693</v>
      </c>
      <c r="F70" s="21">
        <f t="shared" si="4"/>
        <v>3.11</v>
      </c>
    </row>
    <row r="71" spans="1:6" x14ac:dyDescent="0.2">
      <c r="A71" s="19">
        <v>5</v>
      </c>
      <c r="B71" s="181" t="s">
        <v>4</v>
      </c>
      <c r="C71" s="182"/>
      <c r="D71" s="14">
        <f t="shared" si="5"/>
        <v>0</v>
      </c>
      <c r="E71" s="17">
        <f>IF(F3="1",SUMIF(Data!A:A,'18'!$A$2,Data!EC:EC),0)</f>
        <v>0</v>
      </c>
      <c r="F71" s="21" t="str">
        <f t="shared" si="4"/>
        <v/>
      </c>
    </row>
    <row r="72" spans="1:6" x14ac:dyDescent="0.2">
      <c r="A72" s="19">
        <v>6</v>
      </c>
      <c r="B72" s="181" t="s">
        <v>5</v>
      </c>
      <c r="C72" s="182"/>
      <c r="D72" s="14">
        <f t="shared" si="5"/>
        <v>408</v>
      </c>
      <c r="E72" s="17">
        <f>IF(F3="1",SUMIF(Data!A:A,'18'!$A$2,Data!ED:ED),0)</f>
        <v>0</v>
      </c>
      <c r="F72" s="21" t="str">
        <f t="shared" si="4"/>
        <v/>
      </c>
    </row>
    <row r="73" spans="1:6" x14ac:dyDescent="0.2">
      <c r="A73" s="19">
        <v>7</v>
      </c>
      <c r="B73" s="181" t="s">
        <v>6</v>
      </c>
      <c r="C73" s="182"/>
      <c r="D73" s="14">
        <f t="shared" si="5"/>
        <v>51756</v>
      </c>
      <c r="E73" s="17">
        <f>IF(F3="1",SUMIF(Data!A:A,'18'!$A$2,Data!EE:EE),0)</f>
        <v>205832</v>
      </c>
      <c r="F73" s="21">
        <f t="shared" si="4"/>
        <v>3.98</v>
      </c>
    </row>
    <row r="74" spans="1:6" x14ac:dyDescent="0.2">
      <c r="A74" s="19">
        <v>8</v>
      </c>
      <c r="B74" s="181" t="s">
        <v>7</v>
      </c>
      <c r="C74" s="182"/>
      <c r="D74" s="14">
        <f t="shared" si="5"/>
        <v>0</v>
      </c>
      <c r="E74" s="17">
        <f>IF(F3="1",SUMIF(Data!A:A,'18'!$A$2,Data!EF:EF),0)</f>
        <v>0</v>
      </c>
      <c r="F74" s="21" t="str">
        <f t="shared" si="4"/>
        <v/>
      </c>
    </row>
    <row r="75" spans="1:6" x14ac:dyDescent="0.2">
      <c r="A75" s="19">
        <v>9</v>
      </c>
      <c r="B75" s="181" t="s">
        <v>8</v>
      </c>
      <c r="C75" s="182"/>
      <c r="D75" s="14">
        <f t="shared" si="5"/>
        <v>38451</v>
      </c>
      <c r="E75" s="17">
        <f>IF(F3="1",SUMIF(Data!A:A,'18'!$A$2,Data!EG:EG),0)</f>
        <v>132077</v>
      </c>
      <c r="F75" s="21">
        <f t="shared" si="4"/>
        <v>3.43</v>
      </c>
    </row>
    <row r="76" spans="1:6" x14ac:dyDescent="0.2">
      <c r="A76" s="19">
        <v>10</v>
      </c>
      <c r="B76" s="181" t="s">
        <v>9</v>
      </c>
      <c r="C76" s="182"/>
      <c r="D76" s="14">
        <f t="shared" si="5"/>
        <v>0</v>
      </c>
      <c r="E76" s="17">
        <f>IF(F3="1",SUMIF(Data!A:A,'18'!$A$2,Data!EH:EH),0)</f>
        <v>0</v>
      </c>
      <c r="F76" s="21" t="str">
        <f t="shared" si="4"/>
        <v/>
      </c>
    </row>
    <row r="77" spans="1:6" x14ac:dyDescent="0.2">
      <c r="A77" s="19">
        <v>11</v>
      </c>
      <c r="B77" s="181" t="s">
        <v>10</v>
      </c>
      <c r="C77" s="182"/>
      <c r="D77" s="14">
        <f t="shared" si="5"/>
        <v>3586</v>
      </c>
      <c r="E77" s="17">
        <f>IF(F3="1",SUMIF(Data!A:A,'18'!$A$2,Data!EI:EI),0)</f>
        <v>43293</v>
      </c>
      <c r="F77" s="21">
        <f t="shared" si="4"/>
        <v>12.07</v>
      </c>
    </row>
    <row r="78" spans="1:6" ht="14.25" customHeight="1" x14ac:dyDescent="0.2">
      <c r="A78" s="19">
        <v>12</v>
      </c>
      <c r="B78" s="181" t="s">
        <v>11</v>
      </c>
      <c r="C78" s="182"/>
      <c r="D78" s="14">
        <f t="shared" si="5"/>
        <v>157832</v>
      </c>
      <c r="E78" s="17">
        <f>IF(F3="1",SUMIF(Data!A:A,'18'!$A$2,Data!EJ:EJ),0)</f>
        <v>373034</v>
      </c>
      <c r="F78" s="21">
        <f t="shared" si="4"/>
        <v>2.36</v>
      </c>
    </row>
    <row r="79" spans="1:6" x14ac:dyDescent="0.2">
      <c r="A79" s="19">
        <v>13</v>
      </c>
      <c r="B79" s="181" t="s">
        <v>12</v>
      </c>
      <c r="C79" s="182"/>
      <c r="D79" s="14">
        <f t="shared" si="5"/>
        <v>11204</v>
      </c>
      <c r="E79" s="17">
        <f>IF(F3="1",SUMIF(Data!A:A,'18'!$A$2,Data!EK:EK),0)</f>
        <v>14996</v>
      </c>
      <c r="F79" s="21">
        <f t="shared" si="4"/>
        <v>1.34</v>
      </c>
    </row>
    <row r="80" spans="1:6" ht="14.25" customHeight="1" x14ac:dyDescent="0.2">
      <c r="A80" s="19">
        <v>14</v>
      </c>
      <c r="B80" s="181" t="s">
        <v>464</v>
      </c>
      <c r="C80" s="182"/>
      <c r="D80" s="14">
        <f t="shared" si="5"/>
        <v>100560</v>
      </c>
      <c r="E80" s="17">
        <f>IF(F3="1",SUMIF(Data!A:A,'18'!$A$2,Data!EL:EL),0)</f>
        <v>608139</v>
      </c>
      <c r="F80" s="21">
        <f t="shared" si="4"/>
        <v>6.05</v>
      </c>
    </row>
    <row r="81" spans="1:6" x14ac:dyDescent="0.2">
      <c r="A81" s="19">
        <v>15</v>
      </c>
      <c r="B81" s="181" t="s">
        <v>13</v>
      </c>
      <c r="C81" s="182"/>
      <c r="D81" s="14">
        <f t="shared" si="5"/>
        <v>0</v>
      </c>
      <c r="E81" s="17">
        <f>IF(F3="1",SUMIF(Data!A:A,'18'!$A$2,Data!EM:EM),0)</f>
        <v>0</v>
      </c>
      <c r="F81" s="21" t="str">
        <f t="shared" si="4"/>
        <v/>
      </c>
    </row>
    <row r="82" spans="1:6" x14ac:dyDescent="0.2">
      <c r="A82" s="19">
        <v>16</v>
      </c>
      <c r="B82" s="181" t="s">
        <v>14</v>
      </c>
      <c r="C82" s="182"/>
      <c r="D82" s="14">
        <f t="shared" si="5"/>
        <v>178493</v>
      </c>
      <c r="E82" s="17">
        <f>IF(F3="1",SUMIF(Data!A:A,'18'!$A$2,Data!EN:EN),0)</f>
        <v>136398</v>
      </c>
      <c r="F82" s="21">
        <f t="shared" si="4"/>
        <v>0.76</v>
      </c>
    </row>
    <row r="83" spans="1:6" x14ac:dyDescent="0.2">
      <c r="A83" s="19">
        <v>17</v>
      </c>
      <c r="B83" s="181" t="s">
        <v>15</v>
      </c>
      <c r="C83" s="182"/>
      <c r="D83" s="14">
        <f t="shared" si="5"/>
        <v>0</v>
      </c>
      <c r="E83" s="17">
        <f>IF(F3="1",SUMIF(Data!A:A,'18'!$A$2,Data!EO:EO),0)</f>
        <v>0</v>
      </c>
      <c r="F83" s="21" t="str">
        <f t="shared" si="4"/>
        <v/>
      </c>
    </row>
    <row r="84" spans="1:6" x14ac:dyDescent="0.2">
      <c r="A84" s="19">
        <v>18</v>
      </c>
      <c r="B84" s="181" t="s">
        <v>16</v>
      </c>
      <c r="C84" s="182"/>
      <c r="D84" s="14">
        <f t="shared" si="5"/>
        <v>23216</v>
      </c>
      <c r="E84" s="17">
        <f>IF(F3="1",SUMIF(Data!A:A,'18'!$A$2,Data!EP:EP),0)</f>
        <v>105457</v>
      </c>
      <c r="F84" s="21">
        <f t="shared" si="4"/>
        <v>4.54</v>
      </c>
    </row>
    <row r="85" spans="1:6" x14ac:dyDescent="0.2">
      <c r="A85" s="19">
        <v>19</v>
      </c>
      <c r="B85" s="181" t="s">
        <v>17</v>
      </c>
      <c r="C85" s="182"/>
      <c r="D85" s="14">
        <f t="shared" si="5"/>
        <v>135680</v>
      </c>
      <c r="E85" s="17">
        <f>IF(F3="1",SUMIF(Data!A:A,'18'!$A$2,Data!EQ:EQ),0)</f>
        <v>223511</v>
      </c>
      <c r="F85" s="21">
        <f t="shared" si="4"/>
        <v>1.65</v>
      </c>
    </row>
    <row r="86" spans="1:6" x14ac:dyDescent="0.2">
      <c r="A86" s="19">
        <v>20</v>
      </c>
      <c r="B86" s="181" t="s">
        <v>18</v>
      </c>
      <c r="C86" s="182"/>
      <c r="D86" s="14">
        <f t="shared" si="5"/>
        <v>0</v>
      </c>
      <c r="E86" s="17">
        <f>IF(F3="1",SUMIF(Data!A:A,'18'!$A$2,Data!ER:ER),0)</f>
        <v>0</v>
      </c>
      <c r="F86" s="21" t="str">
        <f t="shared" si="4"/>
        <v/>
      </c>
    </row>
    <row r="87" spans="1:6" ht="14.25" customHeight="1" x14ac:dyDescent="0.2">
      <c r="A87" s="19">
        <v>21</v>
      </c>
      <c r="B87" s="181" t="s">
        <v>461</v>
      </c>
      <c r="C87" s="182"/>
      <c r="D87" s="14">
        <f t="shared" si="5"/>
        <v>3328</v>
      </c>
      <c r="E87" s="17">
        <f>IF(F3="1",SUMIF(Data!A:A,'18'!$A$2,Data!ES:ES),0)</f>
        <v>0</v>
      </c>
      <c r="F87" s="21" t="str">
        <f t="shared" si="4"/>
        <v/>
      </c>
    </row>
    <row r="88" spans="1:6" x14ac:dyDescent="0.2">
      <c r="A88" s="19">
        <v>22</v>
      </c>
      <c r="B88" s="181" t="s">
        <v>19</v>
      </c>
      <c r="C88" s="182"/>
      <c r="D88" s="14">
        <f t="shared" si="5"/>
        <v>0</v>
      </c>
      <c r="E88" s="17">
        <f>IF(F3="1",SUMIF(Data!A:A,'18'!$A$2,Data!ET:ET),0)</f>
        <v>0</v>
      </c>
      <c r="F88" s="21" t="str">
        <f t="shared" si="4"/>
        <v/>
      </c>
    </row>
    <row r="89" spans="1:6" x14ac:dyDescent="0.2">
      <c r="A89" s="19">
        <v>23</v>
      </c>
      <c r="B89" s="181" t="s">
        <v>20</v>
      </c>
      <c r="C89" s="182"/>
      <c r="D89" s="14">
        <f t="shared" si="5"/>
        <v>44832</v>
      </c>
      <c r="E89" s="17">
        <f>IF(F3="1",SUMIF(Data!A:A,'18'!$A$2,Data!EU:EU),0)</f>
        <v>220946</v>
      </c>
      <c r="F89" s="21">
        <f t="shared" si="4"/>
        <v>4.93</v>
      </c>
    </row>
    <row r="90" spans="1:6" x14ac:dyDescent="0.2">
      <c r="A90" s="19">
        <v>24</v>
      </c>
      <c r="B90" s="181" t="s">
        <v>21</v>
      </c>
      <c r="C90" s="182"/>
      <c r="D90" s="14">
        <f t="shared" si="5"/>
        <v>33921</v>
      </c>
      <c r="E90" s="17">
        <f>IF(F3="1",SUMIF(Data!A:A,'18'!$A$2,Data!EV:EV),0)</f>
        <v>132081</v>
      </c>
      <c r="F90" s="21">
        <f t="shared" si="4"/>
        <v>3.89</v>
      </c>
    </row>
    <row r="91" spans="1:6" x14ac:dyDescent="0.2">
      <c r="A91" s="19">
        <v>25</v>
      </c>
      <c r="B91" s="181" t="s">
        <v>22</v>
      </c>
      <c r="C91" s="182"/>
      <c r="D91" s="14">
        <f t="shared" si="5"/>
        <v>138000</v>
      </c>
      <c r="E91" s="17">
        <f>IF(F3="1",SUMIF(Data!A:A,'18'!$A$2,Data!EW:EW),0)</f>
        <v>398097</v>
      </c>
      <c r="F91" s="21">
        <f t="shared" si="4"/>
        <v>2.88</v>
      </c>
    </row>
    <row r="92" spans="1:6" x14ac:dyDescent="0.2">
      <c r="A92" s="19">
        <v>26</v>
      </c>
      <c r="B92" s="181" t="s">
        <v>23</v>
      </c>
      <c r="C92" s="182"/>
      <c r="D92" s="14">
        <f t="shared" si="5"/>
        <v>52328</v>
      </c>
      <c r="E92" s="17">
        <f>IF(F3="1",SUMIF(Data!A:A,'18'!$A$2,Data!EX:EX),0)</f>
        <v>181442</v>
      </c>
      <c r="F92" s="21">
        <f t="shared" si="4"/>
        <v>3.47</v>
      </c>
    </row>
    <row r="93" spans="1:6" x14ac:dyDescent="0.2">
      <c r="A93" s="19">
        <v>28</v>
      </c>
      <c r="B93" s="181" t="s">
        <v>24</v>
      </c>
      <c r="C93" s="182"/>
      <c r="D93" s="14">
        <f t="shared" si="5"/>
        <v>0</v>
      </c>
      <c r="E93" s="17">
        <f>IF(F3="1",SUMIF(Data!A:A,'18'!$A$2,Data!EZ:EZ),0)</f>
        <v>0</v>
      </c>
      <c r="F93" s="21" t="str">
        <f t="shared" si="4"/>
        <v/>
      </c>
    </row>
    <row r="94" spans="1:6" ht="15.75" customHeight="1" thickBot="1" x14ac:dyDescent="0.25">
      <c r="A94" s="22">
        <v>29</v>
      </c>
      <c r="B94" s="183" t="s">
        <v>25</v>
      </c>
      <c r="C94" s="184"/>
      <c r="D94" s="23">
        <f t="shared" si="5"/>
        <v>0</v>
      </c>
      <c r="E94" s="24">
        <f>IF(F3="1",SUMIF(Data!A:A,'18'!$A$2,Data!FA:FA),0)</f>
        <v>0</v>
      </c>
      <c r="F94" s="25" t="str">
        <f t="shared" si="4"/>
        <v/>
      </c>
    </row>
    <row r="95" spans="1:6" x14ac:dyDescent="0.2">
      <c r="B95" s="30" t="s">
        <v>35</v>
      </c>
      <c r="C95" s="30"/>
      <c r="D95" s="59">
        <f>SUM(D67:D94)</f>
        <v>1149531</v>
      </c>
      <c r="E95" s="31">
        <f>SUM(E67:E94)</f>
        <v>3285295</v>
      </c>
      <c r="F95" s="32">
        <f t="shared" si="4"/>
        <v>2.86</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IF(F3="1",SUMIF(Data!A:A,'18'!$A$2,Data!AH:AH),0)</f>
        <v>2502432</v>
      </c>
      <c r="F98" s="20">
        <f>IF(OR(E98=0,E98=0),"",ROUND(E98/$D$105,2))</f>
        <v>2.1800000000000002</v>
      </c>
    </row>
    <row r="99" spans="2:6" x14ac:dyDescent="0.2">
      <c r="B99" s="187" t="s">
        <v>31</v>
      </c>
      <c r="C99" s="188"/>
      <c r="D99" s="36"/>
      <c r="E99" s="17">
        <f>IF(F3="1",SUMIF(Data!A:A,'18'!$A$2,Data!AI:AI),0)</f>
        <v>574648</v>
      </c>
      <c r="F99" s="21">
        <f t="shared" ref="F99:F104" si="6">IF(OR(E99=0,E99=0),"",ROUND(E99/$D$105,2))</f>
        <v>0.5</v>
      </c>
    </row>
    <row r="100" spans="2:6" x14ac:dyDescent="0.2">
      <c r="B100" s="187" t="s">
        <v>1078</v>
      </c>
      <c r="C100" s="188"/>
      <c r="D100" s="36"/>
      <c r="E100" s="17">
        <f>IF(F3="1",SUMIF(Data!A:A,'18'!$A$2,Data!AJ:AJ),0)</f>
        <v>307639</v>
      </c>
      <c r="F100" s="21">
        <f t="shared" si="6"/>
        <v>0.27</v>
      </c>
    </row>
    <row r="101" spans="2:6" x14ac:dyDescent="0.2">
      <c r="B101" s="187" t="s">
        <v>1079</v>
      </c>
      <c r="C101" s="188"/>
      <c r="D101" s="36"/>
      <c r="E101" s="17">
        <f>IF(F3="1",SUMIF(Data!A:A,'18'!$A$2,Data!AK:AK),0)</f>
        <v>1089254</v>
      </c>
      <c r="F101" s="21">
        <f t="shared" si="6"/>
        <v>0.95</v>
      </c>
    </row>
    <row r="102" spans="2:6" x14ac:dyDescent="0.2">
      <c r="B102" s="187" t="s">
        <v>1080</v>
      </c>
      <c r="C102" s="188"/>
      <c r="D102" s="36"/>
      <c r="E102" s="17">
        <f>IF(F3="1",SUMIF(Data!A:A,'18'!$A$2,Data!AL:AL),0)</f>
        <v>0</v>
      </c>
      <c r="F102" s="21" t="str">
        <f t="shared" si="6"/>
        <v/>
      </c>
    </row>
    <row r="103" spans="2:6" x14ac:dyDescent="0.2">
      <c r="B103" s="189" t="s">
        <v>34</v>
      </c>
      <c r="C103" s="190"/>
      <c r="D103" s="36"/>
      <c r="E103" s="17">
        <f>IF(F3="1",SUMIF(Data!A:A,'18'!$A$2,Data!AM:AM),0)</f>
        <v>0</v>
      </c>
      <c r="F103" s="21" t="str">
        <f t="shared" si="6"/>
        <v/>
      </c>
    </row>
    <row r="104" spans="2:6" ht="15.75" customHeight="1" thickBot="1" x14ac:dyDescent="0.25">
      <c r="B104" s="179" t="s">
        <v>29</v>
      </c>
      <c r="C104" s="180"/>
      <c r="D104" s="37"/>
      <c r="E104" s="24">
        <f>IF(F3="1",SUMIF(Data!A:A,'18'!$A$2,Data!Q:Q),0)</f>
        <v>820570</v>
      </c>
      <c r="F104" s="25">
        <f t="shared" si="6"/>
        <v>0.71</v>
      </c>
    </row>
    <row r="105" spans="2:6" x14ac:dyDescent="0.2">
      <c r="B105" s="30" t="s">
        <v>35</v>
      </c>
      <c r="C105" s="30"/>
      <c r="D105" s="34">
        <f>D95</f>
        <v>1149531</v>
      </c>
      <c r="E105" s="31">
        <f>SUM(E98:E104)</f>
        <v>5294543</v>
      </c>
      <c r="F105" s="32">
        <f>IF($D$105=0,"",ROUND(E105/$D$105,2))</f>
        <v>4.6100000000000003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3285295</v>
      </c>
      <c r="D109" s="15">
        <f>IF(F3="1",SUMIF(Data!$A:$A,$A$2,Data!HJ:HJ),0)</f>
        <v>0</v>
      </c>
      <c r="E109" s="15">
        <f>IF(F3="1",SUMIF(Data!$A:$A,$A$2,Data!IN:IN),0)</f>
        <v>0</v>
      </c>
      <c r="F109" s="47">
        <f>SUM(C109:E109)</f>
        <v>3285295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820570</v>
      </c>
      <c r="E117" s="52"/>
      <c r="F117" s="49">
        <f>SUM(C117:E117)</f>
        <v>820570</v>
      </c>
    </row>
    <row r="118" spans="1:6" x14ac:dyDescent="0.2">
      <c r="B118" s="13" t="s">
        <v>35</v>
      </c>
      <c r="C118" s="4">
        <f>SUM(C109:C116)</f>
        <v>3285295</v>
      </c>
      <c r="D118" s="4">
        <f>SUM(D109:D116)</f>
        <v>0</v>
      </c>
      <c r="E118" s="4">
        <f>SUM(E109:E116)</f>
        <v>0</v>
      </c>
      <c r="F118" s="4">
        <f>SUM(F109:F116)</f>
        <v>3285295</v>
      </c>
    </row>
    <row r="119" spans="1:6" ht="15" thickBot="1" x14ac:dyDescent="0.25"/>
    <row r="120" spans="1:6" ht="15" thickBot="1" x14ac:dyDescent="0.25">
      <c r="B120" s="55" t="s">
        <v>934</v>
      </c>
      <c r="C120" s="53"/>
      <c r="D120" s="53"/>
      <c r="E120" s="53">
        <f>IF(F3="1",SUMIF(Data!A:A,'18'!$A$2,Data!AM:AM),0)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368</v>
      </c>
      <c r="B2" s="58" t="str">
        <f>VLOOKUP(A2,Data!A:G,7,0)</f>
        <v>Grayson County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19988</v>
      </c>
      <c r="E5" s="15">
        <f>E36+E67+IFERROR($E$105/$D$105*D5,0)</f>
        <v>116087.70352989517</v>
      </c>
      <c r="F5" s="20">
        <f>IF(OR(D5=0,E5=0),"",ROUND(E5/D5,2))</f>
        <v>5.81</v>
      </c>
    </row>
    <row r="6" spans="1:6" x14ac:dyDescent="0.2">
      <c r="A6" s="19">
        <v>2</v>
      </c>
      <c r="B6" s="181" t="s">
        <v>1</v>
      </c>
      <c r="C6" s="182"/>
      <c r="D6" s="14">
        <f t="shared" ref="D6:D32" si="0">D37</f>
        <v>42348</v>
      </c>
      <c r="E6" s="17">
        <f t="shared" ref="E6:E32" si="1">E37+E68+IFERROR($E$105/$D$105*D6,0)</f>
        <v>297490.96503321995</v>
      </c>
      <c r="F6" s="21">
        <f t="shared" ref="F6:F33" si="2">IF(OR(D6=0,E6=0),"",ROUND(E6/D6,2))</f>
        <v>7.02</v>
      </c>
    </row>
    <row r="7" spans="1:6" ht="14.25" customHeight="1" x14ac:dyDescent="0.2">
      <c r="A7" s="19">
        <v>3</v>
      </c>
      <c r="B7" s="181" t="s">
        <v>2</v>
      </c>
      <c r="C7" s="182"/>
      <c r="D7" s="14">
        <f t="shared" si="0"/>
        <v>219686</v>
      </c>
      <c r="E7" s="17">
        <f t="shared" si="1"/>
        <v>1008274.9506538196</v>
      </c>
      <c r="F7" s="21">
        <f t="shared" si="2"/>
        <v>4.59</v>
      </c>
    </row>
    <row r="8" spans="1:6" ht="14.25" customHeight="1" x14ac:dyDescent="0.2">
      <c r="A8" s="19">
        <v>4</v>
      </c>
      <c r="B8" s="181" t="s">
        <v>3</v>
      </c>
      <c r="C8" s="182"/>
      <c r="D8" s="14">
        <f t="shared" si="0"/>
        <v>90366</v>
      </c>
      <c r="E8" s="17">
        <f t="shared" si="1"/>
        <v>505433.48474997527</v>
      </c>
      <c r="F8" s="21">
        <f t="shared" si="2"/>
        <v>5.59</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1472</v>
      </c>
      <c r="E10" s="17">
        <f t="shared" si="1"/>
        <v>4525.8032617573381</v>
      </c>
      <c r="F10" s="21">
        <f t="shared" si="2"/>
        <v>3.07</v>
      </c>
    </row>
    <row r="11" spans="1:6" x14ac:dyDescent="0.2">
      <c r="A11" s="19">
        <v>7</v>
      </c>
      <c r="B11" s="181" t="s">
        <v>6</v>
      </c>
      <c r="C11" s="182"/>
      <c r="D11" s="14">
        <f t="shared" si="0"/>
        <v>71556</v>
      </c>
      <c r="E11" s="17">
        <f t="shared" si="1"/>
        <v>494063.31127602456</v>
      </c>
      <c r="F11" s="21">
        <f t="shared" si="2"/>
        <v>6.9</v>
      </c>
    </row>
    <row r="12" spans="1:6" x14ac:dyDescent="0.2">
      <c r="A12" s="19">
        <v>8</v>
      </c>
      <c r="B12" s="181" t="s">
        <v>7</v>
      </c>
      <c r="C12" s="182"/>
      <c r="D12" s="14">
        <f t="shared" si="0"/>
        <v>960</v>
      </c>
      <c r="E12" s="17">
        <f t="shared" si="1"/>
        <v>3399.8716924504379</v>
      </c>
      <c r="F12" s="21">
        <f t="shared" si="2"/>
        <v>3.54</v>
      </c>
    </row>
    <row r="13" spans="1:6" x14ac:dyDescent="0.2">
      <c r="A13" s="19">
        <v>9</v>
      </c>
      <c r="B13" s="181" t="s">
        <v>8</v>
      </c>
      <c r="C13" s="182"/>
      <c r="D13" s="14">
        <f t="shared" si="0"/>
        <v>81329</v>
      </c>
      <c r="E13" s="17">
        <f t="shared" si="1"/>
        <v>367928.84882843925</v>
      </c>
      <c r="F13" s="21">
        <f t="shared" si="2"/>
        <v>4.5199999999999996</v>
      </c>
    </row>
    <row r="14" spans="1:6" x14ac:dyDescent="0.2">
      <c r="A14" s="19">
        <v>10</v>
      </c>
      <c r="B14" s="181" t="s">
        <v>9</v>
      </c>
      <c r="C14" s="182"/>
      <c r="D14" s="14">
        <f t="shared" si="0"/>
        <v>864</v>
      </c>
      <c r="E14" s="17">
        <f t="shared" si="1"/>
        <v>3176.8845232053941</v>
      </c>
      <c r="F14" s="21">
        <f t="shared" si="2"/>
        <v>3.68</v>
      </c>
    </row>
    <row r="15" spans="1:6" x14ac:dyDescent="0.2">
      <c r="A15" s="19">
        <v>11</v>
      </c>
      <c r="B15" s="181" t="s">
        <v>10</v>
      </c>
      <c r="C15" s="182"/>
      <c r="D15" s="14">
        <f t="shared" si="0"/>
        <v>88154</v>
      </c>
      <c r="E15" s="17">
        <f t="shared" si="1"/>
        <v>516351.90539195406</v>
      </c>
      <c r="F15" s="21">
        <f t="shared" si="2"/>
        <v>5.86</v>
      </c>
    </row>
    <row r="16" spans="1:6" ht="14.25" customHeight="1" x14ac:dyDescent="0.2">
      <c r="A16" s="19">
        <v>12</v>
      </c>
      <c r="B16" s="181" t="s">
        <v>11</v>
      </c>
      <c r="C16" s="182"/>
      <c r="D16" s="14">
        <f t="shared" si="0"/>
        <v>234427</v>
      </c>
      <c r="E16" s="17">
        <f t="shared" si="1"/>
        <v>1220864.5742146655</v>
      </c>
      <c r="F16" s="21">
        <f t="shared" si="2"/>
        <v>5.21</v>
      </c>
    </row>
    <row r="17" spans="1:6" x14ac:dyDescent="0.2">
      <c r="A17" s="19">
        <v>13</v>
      </c>
      <c r="B17" s="181" t="s">
        <v>12</v>
      </c>
      <c r="C17" s="182"/>
      <c r="D17" s="14">
        <f t="shared" si="0"/>
        <v>17769</v>
      </c>
      <c r="E17" s="17">
        <f t="shared" si="1"/>
        <v>86139.593857449829</v>
      </c>
      <c r="F17" s="21">
        <f t="shared" si="2"/>
        <v>4.8499999999999996</v>
      </c>
    </row>
    <row r="18" spans="1:6" ht="14.25" customHeight="1" x14ac:dyDescent="0.2">
      <c r="A18" s="19">
        <v>14</v>
      </c>
      <c r="B18" s="181" t="s">
        <v>464</v>
      </c>
      <c r="C18" s="182"/>
      <c r="D18" s="14">
        <f t="shared" si="0"/>
        <v>177852</v>
      </c>
      <c r="E18" s="17">
        <f t="shared" si="1"/>
        <v>1397912.3544225993</v>
      </c>
      <c r="F18" s="21">
        <f t="shared" si="2"/>
        <v>7.86</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74224</v>
      </c>
      <c r="E20" s="17">
        <f t="shared" si="1"/>
        <v>353186.57968795969</v>
      </c>
      <c r="F20" s="21">
        <f t="shared" si="2"/>
        <v>4.76</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54064</v>
      </c>
      <c r="E22" s="17">
        <f t="shared" si="1"/>
        <v>296880.27414650051</v>
      </c>
      <c r="F22" s="21">
        <f t="shared" si="2"/>
        <v>5.49</v>
      </c>
    </row>
    <row r="23" spans="1:6" x14ac:dyDescent="0.2">
      <c r="A23" s="19">
        <v>19</v>
      </c>
      <c r="B23" s="181" t="s">
        <v>17</v>
      </c>
      <c r="C23" s="182"/>
      <c r="D23" s="14">
        <f t="shared" si="0"/>
        <v>156390</v>
      </c>
      <c r="E23" s="17">
        <f t="shared" si="1"/>
        <v>707139.41039825417</v>
      </c>
      <c r="F23" s="21">
        <f t="shared" si="2"/>
        <v>4.5199999999999996</v>
      </c>
    </row>
    <row r="24" spans="1:6" x14ac:dyDescent="0.2">
      <c r="A24" s="19">
        <v>20</v>
      </c>
      <c r="B24" s="181" t="s">
        <v>18</v>
      </c>
      <c r="C24" s="182"/>
      <c r="D24" s="14">
        <f t="shared" si="0"/>
        <v>22672</v>
      </c>
      <c r="E24" s="17">
        <f t="shared" si="1"/>
        <v>118622.46980337118</v>
      </c>
      <c r="F24" s="21">
        <f t="shared" si="2"/>
        <v>5.23</v>
      </c>
    </row>
    <row r="25" spans="1:6" ht="14.25" customHeight="1" x14ac:dyDescent="0.2">
      <c r="A25" s="19">
        <v>21</v>
      </c>
      <c r="B25" s="181" t="s">
        <v>461</v>
      </c>
      <c r="C25" s="182"/>
      <c r="D25" s="14">
        <f t="shared" si="0"/>
        <v>12800</v>
      </c>
      <c r="E25" s="17">
        <f t="shared" si="1"/>
        <v>29843.289232672505</v>
      </c>
      <c r="F25" s="21">
        <f t="shared" si="2"/>
        <v>2.33</v>
      </c>
    </row>
    <row r="26" spans="1:6" x14ac:dyDescent="0.2">
      <c r="A26" s="19">
        <v>22</v>
      </c>
      <c r="B26" s="181" t="s">
        <v>19</v>
      </c>
      <c r="C26" s="182"/>
      <c r="D26" s="14">
        <f t="shared" si="0"/>
        <v>448</v>
      </c>
      <c r="E26" s="17">
        <f t="shared" si="1"/>
        <v>2759.9401231435377</v>
      </c>
      <c r="F26" s="21">
        <f t="shared" si="2"/>
        <v>6.16</v>
      </c>
    </row>
    <row r="27" spans="1:6" x14ac:dyDescent="0.2">
      <c r="A27" s="19">
        <v>23</v>
      </c>
      <c r="B27" s="181" t="s">
        <v>20</v>
      </c>
      <c r="C27" s="182"/>
      <c r="D27" s="14">
        <f t="shared" si="0"/>
        <v>27012</v>
      </c>
      <c r="E27" s="17">
        <f t="shared" si="1"/>
        <v>259934.26474632419</v>
      </c>
      <c r="F27" s="21">
        <f t="shared" si="2"/>
        <v>9.6199999999999992</v>
      </c>
    </row>
    <row r="28" spans="1:6" x14ac:dyDescent="0.2">
      <c r="A28" s="19">
        <v>24</v>
      </c>
      <c r="B28" s="181" t="s">
        <v>21</v>
      </c>
      <c r="C28" s="182"/>
      <c r="D28" s="14">
        <f t="shared" si="0"/>
        <v>56062</v>
      </c>
      <c r="E28" s="17">
        <f t="shared" si="1"/>
        <v>350594.06960641296</v>
      </c>
      <c r="F28" s="21">
        <f t="shared" si="2"/>
        <v>6.25</v>
      </c>
    </row>
    <row r="29" spans="1:6" x14ac:dyDescent="0.2">
      <c r="A29" s="19">
        <v>25</v>
      </c>
      <c r="B29" s="181" t="s">
        <v>22</v>
      </c>
      <c r="C29" s="182"/>
      <c r="D29" s="14">
        <f t="shared" si="0"/>
        <v>261552</v>
      </c>
      <c r="E29" s="17">
        <f t="shared" si="1"/>
        <v>1168199.5426081219</v>
      </c>
      <c r="F29" s="21">
        <f t="shared" si="2"/>
        <v>4.47</v>
      </c>
    </row>
    <row r="30" spans="1:6" x14ac:dyDescent="0.2">
      <c r="A30" s="19">
        <v>26</v>
      </c>
      <c r="B30" s="181" t="s">
        <v>23</v>
      </c>
      <c r="C30" s="182"/>
      <c r="D30" s="14">
        <f t="shared" si="0"/>
        <v>79248</v>
      </c>
      <c r="E30" s="17">
        <f t="shared" si="1"/>
        <v>444005.90821178362</v>
      </c>
      <c r="F30" s="21">
        <f t="shared" si="2"/>
        <v>5.6</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1791243</v>
      </c>
      <c r="E33" s="31">
        <f>SUM(E5:E32)</f>
        <v>9752816</v>
      </c>
      <c r="F33" s="32">
        <f t="shared" si="2"/>
        <v>5.44</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IF(F3="1",SUMIF(Data!A:A,'19'!$A$2,Data!CU:CU),0)</f>
        <v>19988</v>
      </c>
      <c r="E36" s="15">
        <f>IF(F3="1",SUMIF(Data!$A:$A,$A$2,Data!IO:IO),0)</f>
        <v>12729</v>
      </c>
      <c r="F36" s="20">
        <f t="shared" ref="F36:F64" si="3">IF(OR(D36=0,E36=0),"",ROUND(E36/D36,2))</f>
        <v>0.64</v>
      </c>
    </row>
    <row r="37" spans="1:6" x14ac:dyDescent="0.2">
      <c r="A37" s="19">
        <v>2</v>
      </c>
      <c r="B37" s="181" t="s">
        <v>1</v>
      </c>
      <c r="C37" s="182"/>
      <c r="D37" s="14">
        <f>IF(F3="1",SUMIF(Data!A:A,'19'!$A$2,Data!CV:CV),0)</f>
        <v>42348</v>
      </c>
      <c r="E37" s="17">
        <f>IF(F3="1",SUMIF(Data!$A:$A,$A$2,Data!IP:IP),0)</f>
        <v>52568</v>
      </c>
      <c r="F37" s="21">
        <f t="shared" si="3"/>
        <v>1.24</v>
      </c>
    </row>
    <row r="38" spans="1:6" ht="14.25" customHeight="1" x14ac:dyDescent="0.2">
      <c r="A38" s="19">
        <v>3</v>
      </c>
      <c r="B38" s="181" t="s">
        <v>2</v>
      </c>
      <c r="C38" s="182"/>
      <c r="D38" s="14">
        <f>IF(F3="1",SUMIF(Data!A:A,'19'!$A$2,Data!CW:CW),0)</f>
        <v>219686</v>
      </c>
      <c r="E38" s="17">
        <f>IF($F$3="1",SUMIF(Data!$A:$A,$A$2,Data!IQ:IQ),0)</f>
        <v>92945</v>
      </c>
      <c r="F38" s="21">
        <f t="shared" si="3"/>
        <v>0.42</v>
      </c>
    </row>
    <row r="39" spans="1:6" ht="14.25" customHeight="1" x14ac:dyDescent="0.2">
      <c r="A39" s="19">
        <v>4</v>
      </c>
      <c r="B39" s="181" t="s">
        <v>3</v>
      </c>
      <c r="C39" s="182"/>
      <c r="D39" s="14">
        <f>IF(F3="1",SUMIF(Data!A:A,'19'!$A$2,Data!CX:CX),0)</f>
        <v>90366</v>
      </c>
      <c r="E39" s="17">
        <f>IF($F$3="1",SUMIF(Data!$A:$A,$A$2,Data!IR:IR),0)</f>
        <v>20136</v>
      </c>
      <c r="F39" s="21">
        <f t="shared" si="3"/>
        <v>0.22</v>
      </c>
    </row>
    <row r="40" spans="1:6" x14ac:dyDescent="0.2">
      <c r="A40" s="19">
        <v>5</v>
      </c>
      <c r="B40" s="181" t="s">
        <v>4</v>
      </c>
      <c r="C40" s="182"/>
      <c r="D40" s="14">
        <f>IF(F3="1",SUMIF(Data!A:A,'19'!$A$2,Data!CY:CY),0)</f>
        <v>0</v>
      </c>
      <c r="E40" s="17">
        <f>IF($F$3="1",SUMIF(Data!$A:$A,$A$2,Data!IS:IS),0)</f>
        <v>0</v>
      </c>
      <c r="F40" s="21" t="str">
        <f t="shared" si="3"/>
        <v/>
      </c>
    </row>
    <row r="41" spans="1:6" x14ac:dyDescent="0.2">
      <c r="A41" s="19">
        <v>6</v>
      </c>
      <c r="B41" s="181" t="s">
        <v>5</v>
      </c>
      <c r="C41" s="182"/>
      <c r="D41" s="14">
        <f>IF(F3="1",SUMIF(Data!A:A,'19'!$A$2,Data!CZ:CZ),0)</f>
        <v>1472</v>
      </c>
      <c r="E41" s="17">
        <f>IF($F$3="1",SUMIF(Data!$A:$A,$A$2,Data!IT:IT),0)</f>
        <v>0</v>
      </c>
      <c r="F41" s="21" t="str">
        <f t="shared" si="3"/>
        <v/>
      </c>
    </row>
    <row r="42" spans="1:6" x14ac:dyDescent="0.2">
      <c r="A42" s="19">
        <v>7</v>
      </c>
      <c r="B42" s="181" t="s">
        <v>6</v>
      </c>
      <c r="C42" s="182"/>
      <c r="D42" s="14">
        <f>IF(F3="1",SUMIF(Data!A:A,'19'!$A$2,Data!DA:DA),0)</f>
        <v>71556</v>
      </c>
      <c r="E42" s="17">
        <f>IF($F$3="1",SUMIF(Data!$A:$A,$A$2,Data!IU:IU),0)</f>
        <v>29256</v>
      </c>
      <c r="F42" s="21">
        <f t="shared" si="3"/>
        <v>0.41</v>
      </c>
    </row>
    <row r="43" spans="1:6" x14ac:dyDescent="0.2">
      <c r="A43" s="19">
        <v>8</v>
      </c>
      <c r="B43" s="181" t="s">
        <v>7</v>
      </c>
      <c r="C43" s="182"/>
      <c r="D43" s="14">
        <f>IF(F3="1",SUMIF(Data!A:A,'19'!$A$2,Data!DB:DB),0)</f>
        <v>960</v>
      </c>
      <c r="E43" s="17">
        <f>IF($F$3="1",SUMIF(Data!$A:$A,$A$2,Data!IV:IV),0)</f>
        <v>210</v>
      </c>
      <c r="F43" s="21">
        <f t="shared" si="3"/>
        <v>0.22</v>
      </c>
    </row>
    <row r="44" spans="1:6" x14ac:dyDescent="0.2">
      <c r="A44" s="19">
        <v>9</v>
      </c>
      <c r="B44" s="181" t="s">
        <v>8</v>
      </c>
      <c r="C44" s="182"/>
      <c r="D44" s="14">
        <f>IF(F3="1",SUMIF(Data!A:A,'19'!$A$2,Data!DC:DC),0)</f>
        <v>81329</v>
      </c>
      <c r="E44" s="17">
        <f>IF($F$3="1",SUMIF(Data!$A:$A,$A$2,Data!IW:IW),0)</f>
        <v>36953</v>
      </c>
      <c r="F44" s="21">
        <f t="shared" si="3"/>
        <v>0.45</v>
      </c>
    </row>
    <row r="45" spans="1:6" x14ac:dyDescent="0.2">
      <c r="A45" s="19">
        <v>10</v>
      </c>
      <c r="B45" s="181" t="s">
        <v>9</v>
      </c>
      <c r="C45" s="182"/>
      <c r="D45" s="14">
        <f>IF(F3="1",SUMIF(Data!A:A,'19'!$A$2,Data!DD:DD),0)</f>
        <v>864</v>
      </c>
      <c r="E45" s="17">
        <f>IF($F$3="1",SUMIF(Data!$A:$A,$A$2,Data!IX:IX),0)</f>
        <v>0</v>
      </c>
      <c r="F45" s="21" t="str">
        <f t="shared" si="3"/>
        <v/>
      </c>
    </row>
    <row r="46" spans="1:6" x14ac:dyDescent="0.2">
      <c r="A46" s="19">
        <v>11</v>
      </c>
      <c r="B46" s="181" t="s">
        <v>10</v>
      </c>
      <c r="C46" s="182"/>
      <c r="D46" s="14">
        <f>IF(F3="1",SUMIF(Data!A:A,'19'!$A$2,Data!DE:DE),0)</f>
        <v>88154</v>
      </c>
      <c r="E46" s="17">
        <f>IF($F$3="1",SUMIF(Data!$A:$A,$A$2,Data!IY:IY),0)</f>
        <v>46942</v>
      </c>
      <c r="F46" s="21">
        <f t="shared" si="3"/>
        <v>0.53</v>
      </c>
    </row>
    <row r="47" spans="1:6" ht="14.25" customHeight="1" x14ac:dyDescent="0.2">
      <c r="A47" s="19">
        <v>12</v>
      </c>
      <c r="B47" s="181" t="s">
        <v>11</v>
      </c>
      <c r="C47" s="182"/>
      <c r="D47" s="14">
        <f>IF(F3="1",SUMIF(Data!A:A,'19'!$A$2,Data!DF:DF),0)</f>
        <v>234427</v>
      </c>
      <c r="E47" s="17">
        <f>IF($F$3="1",SUMIF(Data!$A:$A,$A$2,Data!IZ:IZ),0)</f>
        <v>133077</v>
      </c>
      <c r="F47" s="21">
        <f t="shared" si="3"/>
        <v>0.56999999999999995</v>
      </c>
    </row>
    <row r="48" spans="1:6" x14ac:dyDescent="0.2">
      <c r="A48" s="19">
        <v>13</v>
      </c>
      <c r="B48" s="181" t="s">
        <v>12</v>
      </c>
      <c r="C48" s="182"/>
      <c r="D48" s="14">
        <f>IF(F3="1",SUMIF(Data!A:A,'19'!$A$2,Data!DG:DG),0)</f>
        <v>17769</v>
      </c>
      <c r="E48" s="17">
        <f>IF($F$3="1",SUMIF(Data!$A:$A,$A$2,Data!JA:JA),0)</f>
        <v>2335</v>
      </c>
      <c r="F48" s="21">
        <f t="shared" si="3"/>
        <v>0.13</v>
      </c>
    </row>
    <row r="49" spans="1:6" ht="14.25" customHeight="1" x14ac:dyDescent="0.2">
      <c r="A49" s="19">
        <v>14</v>
      </c>
      <c r="B49" s="181" t="s">
        <v>464</v>
      </c>
      <c r="C49" s="182"/>
      <c r="D49" s="14">
        <f>IF(F3="1",SUMIF(Data!A:A,'19'!$A$2,Data!DH:DH),0)</f>
        <v>177852</v>
      </c>
      <c r="E49" s="17">
        <f>IF($F$3="1",SUMIF(Data!$A:$A,$A$2,Data!JB:JB),0)</f>
        <v>139617</v>
      </c>
      <c r="F49" s="21">
        <f t="shared" si="3"/>
        <v>0.79</v>
      </c>
    </row>
    <row r="50" spans="1:6" x14ac:dyDescent="0.2">
      <c r="A50" s="19">
        <v>15</v>
      </c>
      <c r="B50" s="181" t="s">
        <v>13</v>
      </c>
      <c r="C50" s="182"/>
      <c r="D50" s="14">
        <f>IF(F3="1",SUMIF(Data!A:A,'19'!$A$2,Data!DI:DI),0)</f>
        <v>0</v>
      </c>
      <c r="E50" s="17">
        <f>IF($F$3="1",SUMIF(Data!$A:$A,$A$2,Data!JC:JC),0)</f>
        <v>0</v>
      </c>
      <c r="F50" s="21" t="str">
        <f t="shared" si="3"/>
        <v/>
      </c>
    </row>
    <row r="51" spans="1:6" x14ac:dyDescent="0.2">
      <c r="A51" s="19">
        <v>16</v>
      </c>
      <c r="B51" s="181" t="s">
        <v>14</v>
      </c>
      <c r="C51" s="182"/>
      <c r="D51" s="14">
        <f>IF(F3="1",SUMIF(Data!A:A,'19'!$A$2,Data!DJ:DJ),0)</f>
        <v>74224</v>
      </c>
      <c r="E51" s="17">
        <f>IF($F$3="1",SUMIF(Data!$A:$A,$A$2,Data!JD:JD),0)</f>
        <v>11058</v>
      </c>
      <c r="F51" s="21">
        <f t="shared" si="3"/>
        <v>0.15</v>
      </c>
    </row>
    <row r="52" spans="1:6" x14ac:dyDescent="0.2">
      <c r="A52" s="19">
        <v>17</v>
      </c>
      <c r="B52" s="181" t="s">
        <v>15</v>
      </c>
      <c r="C52" s="182"/>
      <c r="D52" s="14">
        <f>IF(F3="1",SUMIF(Data!A:A,'19'!$A$2,Data!DK:DK),0)</f>
        <v>0</v>
      </c>
      <c r="E52" s="17">
        <f>IF($F$3="1",SUMIF(Data!$A:$A,$A$2,Data!JE:JE),0)</f>
        <v>0</v>
      </c>
      <c r="F52" s="21" t="str">
        <f t="shared" si="3"/>
        <v/>
      </c>
    </row>
    <row r="53" spans="1:6" x14ac:dyDescent="0.2">
      <c r="A53" s="19">
        <v>18</v>
      </c>
      <c r="B53" s="181" t="s">
        <v>16</v>
      </c>
      <c r="C53" s="182"/>
      <c r="D53" s="14">
        <f>IF(F3="1",SUMIF(Data!A:A,'19'!$A$2,Data!DL:DL),0)</f>
        <v>54064</v>
      </c>
      <c r="E53" s="17">
        <f>IF($F$3="1",SUMIF(Data!$A:$A,$A$2,Data!JF:JF),0)</f>
        <v>11123</v>
      </c>
      <c r="F53" s="21">
        <f t="shared" si="3"/>
        <v>0.21</v>
      </c>
    </row>
    <row r="54" spans="1:6" x14ac:dyDescent="0.2">
      <c r="A54" s="19">
        <v>19</v>
      </c>
      <c r="B54" s="181" t="s">
        <v>17</v>
      </c>
      <c r="C54" s="182"/>
      <c r="D54" s="14">
        <f>IF(F3="1",SUMIF(Data!A:A,'19'!$A$2,Data!DM:DM),0)</f>
        <v>156390</v>
      </c>
      <c r="E54" s="17">
        <f>IF($F$3="1",SUMIF(Data!$A:$A,$A$2,Data!JG:JG),0)</f>
        <v>38176</v>
      </c>
      <c r="F54" s="21">
        <f t="shared" si="3"/>
        <v>0.24</v>
      </c>
    </row>
    <row r="55" spans="1:6" x14ac:dyDescent="0.2">
      <c r="A55" s="19">
        <v>20</v>
      </c>
      <c r="B55" s="181" t="s">
        <v>18</v>
      </c>
      <c r="C55" s="182"/>
      <c r="D55" s="14">
        <f>IF(F3="1",SUMIF(Data!A:A,'19'!$A$2,Data!DN:DN),0)</f>
        <v>22672</v>
      </c>
      <c r="E55" s="17">
        <f>IF($F$3="1",SUMIF(Data!$A:$A,$A$2,Data!JH:JH),0)</f>
        <v>0</v>
      </c>
      <c r="F55" s="21" t="str">
        <f t="shared" si="3"/>
        <v/>
      </c>
    </row>
    <row r="56" spans="1:6" ht="14.25" customHeight="1" x14ac:dyDescent="0.2">
      <c r="A56" s="19">
        <v>21</v>
      </c>
      <c r="B56" s="181" t="s">
        <v>461</v>
      </c>
      <c r="C56" s="182"/>
      <c r="D56" s="14">
        <f>IF(F3="1",SUMIF(Data!A:A,'19'!$A$2,Data!DO:DO),0)</f>
        <v>12800</v>
      </c>
      <c r="E56" s="17">
        <f>IF($F$3="1",SUMIF(Data!$A:$A,$A$2,Data!JI:JI),0)</f>
        <v>1445</v>
      </c>
      <c r="F56" s="21">
        <f t="shared" si="3"/>
        <v>0.11</v>
      </c>
    </row>
    <row r="57" spans="1:6" x14ac:dyDescent="0.2">
      <c r="A57" s="19">
        <v>22</v>
      </c>
      <c r="B57" s="181" t="s">
        <v>19</v>
      </c>
      <c r="C57" s="182"/>
      <c r="D57" s="14">
        <f>IF(F3="1",SUMIF(Data!A:A,'19'!$A$2,Data!DP:DP),0)</f>
        <v>448</v>
      </c>
      <c r="E57" s="17">
        <f>IF($F$3="1",SUMIF(Data!$A:$A,$A$2,Data!JJ:JJ),0)</f>
        <v>316</v>
      </c>
      <c r="F57" s="21">
        <f t="shared" si="3"/>
        <v>0.71</v>
      </c>
    </row>
    <row r="58" spans="1:6" x14ac:dyDescent="0.2">
      <c r="A58" s="19">
        <v>23</v>
      </c>
      <c r="B58" s="181" t="s">
        <v>20</v>
      </c>
      <c r="C58" s="182"/>
      <c r="D58" s="14">
        <f>IF(F3="1",SUMIF(Data!A:A,'19'!$A$2,Data!DQ:DQ),0)</f>
        <v>27012</v>
      </c>
      <c r="E58" s="17">
        <f>IF($F$3="1",SUMIF(Data!$A:$A,$A$2,Data!JK:JK),0)</f>
        <v>5025</v>
      </c>
      <c r="F58" s="21">
        <f t="shared" si="3"/>
        <v>0.19</v>
      </c>
    </row>
    <row r="59" spans="1:6" x14ac:dyDescent="0.2">
      <c r="A59" s="19">
        <v>24</v>
      </c>
      <c r="B59" s="181" t="s">
        <v>21</v>
      </c>
      <c r="C59" s="182"/>
      <c r="D59" s="14">
        <f>IF(F3="1",SUMIF(Data!A:A,'19'!$A$2,Data!DR:DR),0)</f>
        <v>56062</v>
      </c>
      <c r="E59" s="17">
        <f>IF($F$3="1",SUMIF(Data!$A:$A,$A$2,Data!JL:JL),0)</f>
        <v>18558</v>
      </c>
      <c r="F59" s="21">
        <f t="shared" si="3"/>
        <v>0.33</v>
      </c>
    </row>
    <row r="60" spans="1:6" x14ac:dyDescent="0.2">
      <c r="A60" s="19">
        <v>25</v>
      </c>
      <c r="B60" s="181" t="s">
        <v>22</v>
      </c>
      <c r="C60" s="182"/>
      <c r="D60" s="14">
        <f>IF(F3="1",SUMIF(Data!A:A,'19'!$A$2,Data!DS:DS),0)</f>
        <v>261552</v>
      </c>
      <c r="E60" s="17">
        <f>IF($F$3="1",SUMIF(Data!$A:$A,$A$2,Data!JM:JM),0)</f>
        <v>15717</v>
      </c>
      <c r="F60" s="21">
        <f t="shared" si="3"/>
        <v>0.06</v>
      </c>
    </row>
    <row r="61" spans="1:6" x14ac:dyDescent="0.2">
      <c r="A61" s="19">
        <v>26</v>
      </c>
      <c r="B61" s="181" t="s">
        <v>23</v>
      </c>
      <c r="C61" s="182"/>
      <c r="D61" s="14">
        <f>IF(F3="1",SUMIF(Data!A:A,'19'!$A$2,Data!DT:DT),0)</f>
        <v>79248</v>
      </c>
      <c r="E61" s="17">
        <f>IF($F$3="1",SUMIF(Data!$A:$A,$A$2,Data!JN:JN),0)</f>
        <v>25006</v>
      </c>
      <c r="F61" s="21">
        <f t="shared" si="3"/>
        <v>0.32</v>
      </c>
    </row>
    <row r="62" spans="1:6" x14ac:dyDescent="0.2">
      <c r="A62" s="19">
        <v>28</v>
      </c>
      <c r="B62" s="181" t="s">
        <v>24</v>
      </c>
      <c r="C62" s="182"/>
      <c r="D62" s="14">
        <f>IF(F3="1",SUMIF(Data!A:A,'19'!$A$2,Data!DV:DV),0)</f>
        <v>0</v>
      </c>
      <c r="E62" s="17">
        <f>IF($F$3="1",SUMIF(Data!$A:$A,$A$2,Data!JP:JP),0)</f>
        <v>0</v>
      </c>
      <c r="F62" s="21" t="str">
        <f t="shared" si="3"/>
        <v/>
      </c>
    </row>
    <row r="63" spans="1:6" ht="15.75" customHeight="1" thickBot="1" x14ac:dyDescent="0.25">
      <c r="A63" s="22">
        <v>29</v>
      </c>
      <c r="B63" s="183" t="s">
        <v>25</v>
      </c>
      <c r="C63" s="184"/>
      <c r="D63" s="23">
        <f>IF(F3="1",SUMIF(Data!A:A,'19'!$A$2,Data!DW:DW),0)</f>
        <v>0</v>
      </c>
      <c r="E63" s="24">
        <f>IF($F$3="1",SUMIF(Data!$A:$A,$A$2,Data!JQ:JQ),0)</f>
        <v>0</v>
      </c>
      <c r="F63" s="25" t="str">
        <f t="shared" si="3"/>
        <v/>
      </c>
    </row>
    <row r="64" spans="1:6" x14ac:dyDescent="0.2">
      <c r="B64" s="30" t="s">
        <v>35</v>
      </c>
      <c r="C64" s="30"/>
      <c r="D64" s="59">
        <f>SUM(D36:D63)</f>
        <v>1791243</v>
      </c>
      <c r="E64" s="31">
        <f>SUM(E36:E63)</f>
        <v>693192</v>
      </c>
      <c r="F64" s="32">
        <f t="shared" si="3"/>
        <v>0.39</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19988</v>
      </c>
      <c r="E67" s="15">
        <f>IF(F3="1",SUMIF(Data!A:A,'19'!$A$2,Data!DY:DY),0)</f>
        <v>59013</v>
      </c>
      <c r="F67" s="20">
        <f t="shared" ref="F67:F95" si="4">IF(OR(D67=0,E67=0),"",ROUND(E67/D67,2))</f>
        <v>2.95</v>
      </c>
    </row>
    <row r="68" spans="1:6" x14ac:dyDescent="0.2">
      <c r="A68" s="19">
        <v>2</v>
      </c>
      <c r="B68" s="181" t="s">
        <v>1</v>
      </c>
      <c r="C68" s="182"/>
      <c r="D68" s="14">
        <f t="shared" ref="D68:D94" si="5">D37</f>
        <v>42348</v>
      </c>
      <c r="E68" s="17">
        <f>IF(F3="1",SUMIF(Data!A:A,'19'!$A$2,Data!DZ:DZ),0)</f>
        <v>150969</v>
      </c>
      <c r="F68" s="21">
        <f t="shared" si="4"/>
        <v>3.56</v>
      </c>
    </row>
    <row r="69" spans="1:6" ht="14.25" customHeight="1" x14ac:dyDescent="0.2">
      <c r="A69" s="19">
        <v>3</v>
      </c>
      <c r="B69" s="181" t="s">
        <v>2</v>
      </c>
      <c r="C69" s="182"/>
      <c r="D69" s="14">
        <f t="shared" si="5"/>
        <v>219686</v>
      </c>
      <c r="E69" s="17">
        <f>IF(F3="1",SUMIF(Data!A:A,'19'!$A$2,Data!EA:EA),0)</f>
        <v>427931</v>
      </c>
      <c r="F69" s="21">
        <f t="shared" si="4"/>
        <v>1.95</v>
      </c>
    </row>
    <row r="70" spans="1:6" ht="14.25" customHeight="1" x14ac:dyDescent="0.2">
      <c r="A70" s="19">
        <v>4</v>
      </c>
      <c r="B70" s="181" t="s">
        <v>3</v>
      </c>
      <c r="C70" s="182"/>
      <c r="D70" s="14">
        <f t="shared" si="5"/>
        <v>90366</v>
      </c>
      <c r="E70" s="17">
        <f>IF(F3="1",SUMIF(Data!A:A,'19'!$A$2,Data!EB:EB),0)</f>
        <v>284810</v>
      </c>
      <c r="F70" s="21">
        <f t="shared" si="4"/>
        <v>3.15</v>
      </c>
    </row>
    <row r="71" spans="1:6" x14ac:dyDescent="0.2">
      <c r="A71" s="19">
        <v>5</v>
      </c>
      <c r="B71" s="181" t="s">
        <v>4</v>
      </c>
      <c r="C71" s="182"/>
      <c r="D71" s="14">
        <f t="shared" si="5"/>
        <v>0</v>
      </c>
      <c r="E71" s="17">
        <f>IF(F3="1",SUMIF(Data!A:A,'19'!$A$2,Data!EC:EC),0)</f>
        <v>0</v>
      </c>
      <c r="F71" s="21" t="str">
        <f t="shared" si="4"/>
        <v/>
      </c>
    </row>
    <row r="72" spans="1:6" x14ac:dyDescent="0.2">
      <c r="A72" s="19">
        <v>6</v>
      </c>
      <c r="B72" s="181" t="s">
        <v>5</v>
      </c>
      <c r="C72" s="182"/>
      <c r="D72" s="14">
        <f t="shared" si="5"/>
        <v>1472</v>
      </c>
      <c r="E72" s="17">
        <f>IF(F3="1",SUMIF(Data!A:A,'19'!$A$2,Data!ED:ED),0)</f>
        <v>1260</v>
      </c>
      <c r="F72" s="21">
        <f t="shared" si="4"/>
        <v>0.86</v>
      </c>
    </row>
    <row r="73" spans="1:6" x14ac:dyDescent="0.2">
      <c r="A73" s="19">
        <v>7</v>
      </c>
      <c r="B73" s="181" t="s">
        <v>6</v>
      </c>
      <c r="C73" s="182"/>
      <c r="D73" s="14">
        <f t="shared" si="5"/>
        <v>71556</v>
      </c>
      <c r="E73" s="17">
        <f>IF(F3="1",SUMIF(Data!A:A,'19'!$A$2,Data!EE:EE),0)</f>
        <v>306052</v>
      </c>
      <c r="F73" s="21">
        <f t="shared" si="4"/>
        <v>4.28</v>
      </c>
    </row>
    <row r="74" spans="1:6" x14ac:dyDescent="0.2">
      <c r="A74" s="19">
        <v>8</v>
      </c>
      <c r="B74" s="181" t="s">
        <v>7</v>
      </c>
      <c r="C74" s="182"/>
      <c r="D74" s="14">
        <f t="shared" si="5"/>
        <v>960</v>
      </c>
      <c r="E74" s="17">
        <f>IF(F3="1",SUMIF(Data!A:A,'19'!$A$2,Data!EF:EF),0)</f>
        <v>1060</v>
      </c>
      <c r="F74" s="21">
        <f t="shared" si="4"/>
        <v>1.1000000000000001</v>
      </c>
    </row>
    <row r="75" spans="1:6" x14ac:dyDescent="0.2">
      <c r="A75" s="19">
        <v>9</v>
      </c>
      <c r="B75" s="181" t="s">
        <v>8</v>
      </c>
      <c r="C75" s="182"/>
      <c r="D75" s="14">
        <f t="shared" si="5"/>
        <v>81329</v>
      </c>
      <c r="E75" s="17">
        <f>IF(F3="1",SUMIF(Data!A:A,'19'!$A$2,Data!EG:EG),0)</f>
        <v>150538</v>
      </c>
      <c r="F75" s="21">
        <f t="shared" si="4"/>
        <v>1.85</v>
      </c>
    </row>
    <row r="76" spans="1:6" x14ac:dyDescent="0.2">
      <c r="A76" s="19">
        <v>10</v>
      </c>
      <c r="B76" s="181" t="s">
        <v>9</v>
      </c>
      <c r="C76" s="182"/>
      <c r="D76" s="14">
        <f t="shared" si="5"/>
        <v>864</v>
      </c>
      <c r="E76" s="17">
        <f>IF(F3="1",SUMIF(Data!A:A,'19'!$A$2,Data!EH:EH),0)</f>
        <v>1260</v>
      </c>
      <c r="F76" s="21">
        <f t="shared" si="4"/>
        <v>1.46</v>
      </c>
    </row>
    <row r="77" spans="1:6" x14ac:dyDescent="0.2">
      <c r="A77" s="19">
        <v>11</v>
      </c>
      <c r="B77" s="181" t="s">
        <v>10</v>
      </c>
      <c r="C77" s="182"/>
      <c r="D77" s="14">
        <f t="shared" si="5"/>
        <v>88154</v>
      </c>
      <c r="E77" s="17">
        <f>IF(F3="1",SUMIF(Data!A:A,'19'!$A$2,Data!EI:EI),0)</f>
        <v>273830</v>
      </c>
      <c r="F77" s="21">
        <f t="shared" si="4"/>
        <v>3.11</v>
      </c>
    </row>
    <row r="78" spans="1:6" ht="14.25" customHeight="1" x14ac:dyDescent="0.2">
      <c r="A78" s="19">
        <v>12</v>
      </c>
      <c r="B78" s="181" t="s">
        <v>11</v>
      </c>
      <c r="C78" s="182"/>
      <c r="D78" s="14">
        <f t="shared" si="5"/>
        <v>234427</v>
      </c>
      <c r="E78" s="17">
        <f>IF(F3="1",SUMIF(Data!A:A,'19'!$A$2,Data!EJ:EJ),0)</f>
        <v>567684</v>
      </c>
      <c r="F78" s="21">
        <f t="shared" si="4"/>
        <v>2.42</v>
      </c>
    </row>
    <row r="79" spans="1:6" x14ac:dyDescent="0.2">
      <c r="A79" s="19">
        <v>13</v>
      </c>
      <c r="B79" s="181" t="s">
        <v>12</v>
      </c>
      <c r="C79" s="182"/>
      <c r="D79" s="14">
        <f t="shared" si="5"/>
        <v>17769</v>
      </c>
      <c r="E79" s="17">
        <f>IF(F3="1",SUMIF(Data!A:A,'19'!$A$2,Data!EK:EK),0)</f>
        <v>44382</v>
      </c>
      <c r="F79" s="21">
        <f t="shared" si="4"/>
        <v>2.5</v>
      </c>
    </row>
    <row r="80" spans="1:6" ht="14.25" customHeight="1" x14ac:dyDescent="0.2">
      <c r="A80" s="19">
        <v>14</v>
      </c>
      <c r="B80" s="181" t="s">
        <v>464</v>
      </c>
      <c r="C80" s="182"/>
      <c r="D80" s="14">
        <f t="shared" si="5"/>
        <v>177852</v>
      </c>
      <c r="E80" s="17">
        <f>IF(F3="1",SUMIF(Data!A:A,'19'!$A$2,Data!EL:EL),0)</f>
        <v>863710</v>
      </c>
      <c r="F80" s="21">
        <f t="shared" si="4"/>
        <v>4.8600000000000003</v>
      </c>
    </row>
    <row r="81" spans="1:6" x14ac:dyDescent="0.2">
      <c r="A81" s="19">
        <v>15</v>
      </c>
      <c r="B81" s="181" t="s">
        <v>13</v>
      </c>
      <c r="C81" s="182"/>
      <c r="D81" s="14">
        <f t="shared" si="5"/>
        <v>0</v>
      </c>
      <c r="E81" s="17">
        <f>IF(F3="1",SUMIF(Data!A:A,'19'!$A$2,Data!EM:EM),0)</f>
        <v>0</v>
      </c>
      <c r="F81" s="21" t="str">
        <f t="shared" si="4"/>
        <v/>
      </c>
    </row>
    <row r="82" spans="1:6" x14ac:dyDescent="0.2">
      <c r="A82" s="19">
        <v>16</v>
      </c>
      <c r="B82" s="181" t="s">
        <v>14</v>
      </c>
      <c r="C82" s="182"/>
      <c r="D82" s="14">
        <f t="shared" si="5"/>
        <v>74224</v>
      </c>
      <c r="E82" s="17">
        <f>IF(F3="1",SUMIF(Data!A:A,'19'!$A$2,Data!EN:EN),0)</f>
        <v>177454</v>
      </c>
      <c r="F82" s="21">
        <f t="shared" si="4"/>
        <v>2.39</v>
      </c>
    </row>
    <row r="83" spans="1:6" x14ac:dyDescent="0.2">
      <c r="A83" s="19">
        <v>17</v>
      </c>
      <c r="B83" s="181" t="s">
        <v>15</v>
      </c>
      <c r="C83" s="182"/>
      <c r="D83" s="14">
        <f t="shared" si="5"/>
        <v>0</v>
      </c>
      <c r="E83" s="17">
        <f>IF(F3="1",SUMIF(Data!A:A,'19'!$A$2,Data!EO:EO),0)</f>
        <v>0</v>
      </c>
      <c r="F83" s="21" t="str">
        <f t="shared" si="4"/>
        <v/>
      </c>
    </row>
    <row r="84" spans="1:6" x14ac:dyDescent="0.2">
      <c r="A84" s="19">
        <v>18</v>
      </c>
      <c r="B84" s="181" t="s">
        <v>16</v>
      </c>
      <c r="C84" s="182"/>
      <c r="D84" s="14">
        <f t="shared" si="5"/>
        <v>54064</v>
      </c>
      <c r="E84" s="17">
        <f>IF(F3="1",SUMIF(Data!A:A,'19'!$A$2,Data!EP:EP),0)</f>
        <v>165810</v>
      </c>
      <c r="F84" s="21">
        <f t="shared" si="4"/>
        <v>3.07</v>
      </c>
    </row>
    <row r="85" spans="1:6" x14ac:dyDescent="0.2">
      <c r="A85" s="19">
        <v>19</v>
      </c>
      <c r="B85" s="181" t="s">
        <v>17</v>
      </c>
      <c r="C85" s="182"/>
      <c r="D85" s="14">
        <f t="shared" si="5"/>
        <v>156390</v>
      </c>
      <c r="E85" s="17">
        <f>IF(F3="1",SUMIF(Data!A:A,'19'!$A$2,Data!EQ:EQ),0)</f>
        <v>321994</v>
      </c>
      <c r="F85" s="21">
        <f t="shared" si="4"/>
        <v>2.06</v>
      </c>
    </row>
    <row r="86" spans="1:6" x14ac:dyDescent="0.2">
      <c r="A86" s="19">
        <v>20</v>
      </c>
      <c r="B86" s="181" t="s">
        <v>18</v>
      </c>
      <c r="C86" s="182"/>
      <c r="D86" s="14">
        <f t="shared" si="5"/>
        <v>22672</v>
      </c>
      <c r="E86" s="17">
        <f>IF(F3="1",SUMIF(Data!A:A,'19'!$A$2,Data!ER:ER),0)</f>
        <v>68322</v>
      </c>
      <c r="F86" s="21">
        <f t="shared" si="4"/>
        <v>3.01</v>
      </c>
    </row>
    <row r="87" spans="1:6" ht="14.25" customHeight="1" x14ac:dyDescent="0.2">
      <c r="A87" s="19">
        <v>21</v>
      </c>
      <c r="B87" s="181" t="s">
        <v>461</v>
      </c>
      <c r="C87" s="182"/>
      <c r="D87" s="14">
        <f t="shared" si="5"/>
        <v>12800</v>
      </c>
      <c r="E87" s="17">
        <f>IF(F3="1",SUMIF(Data!A:A,'19'!$A$2,Data!ES:ES),0)</f>
        <v>0</v>
      </c>
      <c r="F87" s="21" t="str">
        <f t="shared" si="4"/>
        <v/>
      </c>
    </row>
    <row r="88" spans="1:6" x14ac:dyDescent="0.2">
      <c r="A88" s="19">
        <v>22</v>
      </c>
      <c r="B88" s="181" t="s">
        <v>19</v>
      </c>
      <c r="C88" s="182"/>
      <c r="D88" s="14">
        <f t="shared" si="5"/>
        <v>448</v>
      </c>
      <c r="E88" s="17">
        <f>IF(F3="1",SUMIF(Data!A:A,'19'!$A$2,Data!ET:ET),0)</f>
        <v>1450</v>
      </c>
      <c r="F88" s="21">
        <f t="shared" si="4"/>
        <v>3.24</v>
      </c>
    </row>
    <row r="89" spans="1:6" x14ac:dyDescent="0.2">
      <c r="A89" s="19">
        <v>23</v>
      </c>
      <c r="B89" s="181" t="s">
        <v>20</v>
      </c>
      <c r="C89" s="182"/>
      <c r="D89" s="14">
        <f t="shared" si="5"/>
        <v>27012</v>
      </c>
      <c r="E89" s="17">
        <f>IF(F3="1",SUMIF(Data!A:A,'19'!$A$2,Data!EU:EU),0)</f>
        <v>194980</v>
      </c>
      <c r="F89" s="21">
        <f t="shared" si="4"/>
        <v>7.22</v>
      </c>
    </row>
    <row r="90" spans="1:6" x14ac:dyDescent="0.2">
      <c r="A90" s="19">
        <v>24</v>
      </c>
      <c r="B90" s="181" t="s">
        <v>21</v>
      </c>
      <c r="C90" s="182"/>
      <c r="D90" s="14">
        <f t="shared" si="5"/>
        <v>56062</v>
      </c>
      <c r="E90" s="17">
        <f>IF(F3="1",SUMIF(Data!A:A,'19'!$A$2,Data!EV:EV),0)</f>
        <v>207656</v>
      </c>
      <c r="F90" s="21">
        <f t="shared" si="4"/>
        <v>3.7</v>
      </c>
    </row>
    <row r="91" spans="1:6" x14ac:dyDescent="0.2">
      <c r="A91" s="19">
        <v>25</v>
      </c>
      <c r="B91" s="181" t="s">
        <v>22</v>
      </c>
      <c r="C91" s="182"/>
      <c r="D91" s="14">
        <f t="shared" si="5"/>
        <v>261552</v>
      </c>
      <c r="E91" s="17">
        <f>IF(F3="1",SUMIF(Data!A:A,'19'!$A$2,Data!EW:EW),0)</f>
        <v>572199</v>
      </c>
      <c r="F91" s="21">
        <f t="shared" si="4"/>
        <v>2.19</v>
      </c>
    </row>
    <row r="92" spans="1:6" x14ac:dyDescent="0.2">
      <c r="A92" s="19">
        <v>26</v>
      </c>
      <c r="B92" s="181" t="s">
        <v>23</v>
      </c>
      <c r="C92" s="182"/>
      <c r="D92" s="14">
        <f t="shared" si="5"/>
        <v>79248</v>
      </c>
      <c r="E92" s="17">
        <f>IF(F3="1",SUMIF(Data!A:A,'19'!$A$2,Data!EX:EX),0)</f>
        <v>243179</v>
      </c>
      <c r="F92" s="21">
        <f t="shared" si="4"/>
        <v>3.07</v>
      </c>
    </row>
    <row r="93" spans="1:6" x14ac:dyDescent="0.2">
      <c r="A93" s="19">
        <v>28</v>
      </c>
      <c r="B93" s="181" t="s">
        <v>24</v>
      </c>
      <c r="C93" s="182"/>
      <c r="D93" s="14">
        <f t="shared" si="5"/>
        <v>0</v>
      </c>
      <c r="E93" s="17">
        <f>IF(F3="1",SUMIF(Data!A:A,'19'!$A$2,Data!EZ:EZ),0)</f>
        <v>0</v>
      </c>
      <c r="F93" s="21" t="str">
        <f t="shared" si="4"/>
        <v/>
      </c>
    </row>
    <row r="94" spans="1:6" ht="15.75" customHeight="1" thickBot="1" x14ac:dyDescent="0.25">
      <c r="A94" s="22">
        <v>29</v>
      </c>
      <c r="B94" s="183" t="s">
        <v>25</v>
      </c>
      <c r="C94" s="184"/>
      <c r="D94" s="23">
        <f t="shared" si="5"/>
        <v>0</v>
      </c>
      <c r="E94" s="24">
        <f>IF(F3="1",SUMIF(Data!A:A,'19'!$A$2,Data!FA:FA),0)</f>
        <v>0</v>
      </c>
      <c r="F94" s="25" t="str">
        <f t="shared" si="4"/>
        <v/>
      </c>
    </row>
    <row r="95" spans="1:6" x14ac:dyDescent="0.2">
      <c r="B95" s="30" t="s">
        <v>35</v>
      </c>
      <c r="C95" s="30"/>
      <c r="D95" s="59">
        <f>SUM(D67:D94)</f>
        <v>1791243</v>
      </c>
      <c r="E95" s="31">
        <f>SUM(E67:E94)</f>
        <v>5085543</v>
      </c>
      <c r="F95" s="32">
        <f t="shared" si="4"/>
        <v>2.84</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IF(F3="1",SUMIF(Data!A:A,'19'!$A$2,Data!AH:AH),0)</f>
        <v>1562178</v>
      </c>
      <c r="F98" s="20">
        <f>IF(OR(E98=0,E98=0),"",ROUND(E98/$D$105,2))</f>
        <v>0.87</v>
      </c>
    </row>
    <row r="99" spans="2:6" x14ac:dyDescent="0.2">
      <c r="B99" s="187" t="s">
        <v>31</v>
      </c>
      <c r="C99" s="188"/>
      <c r="D99" s="36"/>
      <c r="E99" s="17">
        <f>IF(F3="1",SUMIF(Data!A:A,'19'!$A$2,Data!AI:AI),0)</f>
        <v>875777</v>
      </c>
      <c r="F99" s="21">
        <f t="shared" ref="F99:F104" si="6">IF(OR(E99=0,E99=0),"",ROUND(E99/$D$105,2))</f>
        <v>0.49</v>
      </c>
    </row>
    <row r="100" spans="2:6" x14ac:dyDescent="0.2">
      <c r="B100" s="187" t="s">
        <v>1078</v>
      </c>
      <c r="C100" s="188"/>
      <c r="D100" s="36"/>
      <c r="E100" s="17">
        <f>IF(F3="1",SUMIF(Data!A:A,'19'!$A$2,Data!AJ:AJ),0)</f>
        <v>272712</v>
      </c>
      <c r="F100" s="21">
        <f t="shared" si="6"/>
        <v>0.15</v>
      </c>
    </row>
    <row r="101" spans="2:6" x14ac:dyDescent="0.2">
      <c r="B101" s="187" t="s">
        <v>1079</v>
      </c>
      <c r="C101" s="188"/>
      <c r="D101" s="36"/>
      <c r="E101" s="17">
        <f>IF(F3="1",SUMIF(Data!A:A,'19'!$A$2,Data!AK:AK),0)</f>
        <v>410658</v>
      </c>
      <c r="F101" s="21">
        <f t="shared" si="6"/>
        <v>0.23</v>
      </c>
    </row>
    <row r="102" spans="2:6" x14ac:dyDescent="0.2">
      <c r="B102" s="187" t="s">
        <v>1080</v>
      </c>
      <c r="C102" s="188"/>
      <c r="D102" s="36"/>
      <c r="E102" s="17">
        <f>IF(F3="1",SUMIF(Data!A:A,'19'!$A$2,Data!AL:AL),0)</f>
        <v>43376</v>
      </c>
      <c r="F102" s="21">
        <f t="shared" si="6"/>
        <v>0.02</v>
      </c>
    </row>
    <row r="103" spans="2:6" x14ac:dyDescent="0.2">
      <c r="B103" s="189" t="s">
        <v>34</v>
      </c>
      <c r="C103" s="190"/>
      <c r="D103" s="36"/>
      <c r="E103" s="17">
        <f>IF(F3="1",SUMIF(Data!A:A,'19'!$A$2,Data!AM:AM),0)</f>
        <v>0</v>
      </c>
      <c r="F103" s="21" t="str">
        <f t="shared" si="6"/>
        <v/>
      </c>
    </row>
    <row r="104" spans="2:6" ht="15.75" customHeight="1" thickBot="1" x14ac:dyDescent="0.25">
      <c r="B104" s="179" t="s">
        <v>29</v>
      </c>
      <c r="C104" s="180"/>
      <c r="D104" s="37"/>
      <c r="E104" s="24">
        <f>IF(F3="1",SUMIF(Data!A:A,'19'!$A$2,Data!Q:Q),0)</f>
        <v>809380</v>
      </c>
      <c r="F104" s="25">
        <f t="shared" si="6"/>
        <v>0.45</v>
      </c>
    </row>
    <row r="105" spans="2:6" x14ac:dyDescent="0.2">
      <c r="B105" s="30" t="s">
        <v>35</v>
      </c>
      <c r="C105" s="30"/>
      <c r="D105" s="34">
        <f>D95</f>
        <v>1791243</v>
      </c>
      <c r="E105" s="31">
        <f>SUM(E98:E104)</f>
        <v>3974081</v>
      </c>
      <c r="F105" s="32">
        <f>IF($D$105=0,"",ROUND(E105/$D$105,2))</f>
        <v>2.2200000000000002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5085543</v>
      </c>
      <c r="D109" s="15">
        <f>IF(F3="1",SUMIF(Data!$A:$A,$A$2,Data!HJ:HJ),0)</f>
        <v>0</v>
      </c>
      <c r="E109" s="15">
        <f>IF(F3="1",SUMIF(Data!$A:$A,$A$2,Data!IN:IN),0)</f>
        <v>0</v>
      </c>
      <c r="F109" s="47">
        <f>SUM(C109:E109)</f>
        <v>5085543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43376</v>
      </c>
      <c r="F116" s="48">
        <f t="shared" si="7"/>
        <v>43376</v>
      </c>
    </row>
    <row r="117" spans="1:6" ht="15" thickBot="1" x14ac:dyDescent="0.25">
      <c r="B117" s="43" t="s">
        <v>933</v>
      </c>
      <c r="C117" s="52"/>
      <c r="D117" s="52">
        <f>IF(F3="1",SUMIF(Data!A:A,$A$2,Data!Q:Q),0)</f>
        <v>809380</v>
      </c>
      <c r="E117" s="52"/>
      <c r="F117" s="49">
        <f>SUM(C117:E117)</f>
        <v>809380</v>
      </c>
    </row>
    <row r="118" spans="1:6" x14ac:dyDescent="0.2">
      <c r="B118" s="13" t="s">
        <v>35</v>
      </c>
      <c r="C118" s="4">
        <f>SUM(C109:C116)</f>
        <v>5085543</v>
      </c>
      <c r="D118" s="4">
        <f>SUM(D109:D116)</f>
        <v>0</v>
      </c>
      <c r="E118" s="4">
        <f>SUM(E109:E116)</f>
        <v>43376</v>
      </c>
      <c r="F118" s="4">
        <f>SUM(F109:F116)</f>
        <v>5128919</v>
      </c>
    </row>
    <row r="119" spans="1:6" ht="15" thickBot="1" x14ac:dyDescent="0.25"/>
    <row r="120" spans="1:6" ht="15" thickBot="1" x14ac:dyDescent="0.25">
      <c r="B120" s="55" t="s">
        <v>934</v>
      </c>
      <c r="C120" s="53"/>
      <c r="D120" s="53"/>
      <c r="E120" s="53">
        <f>IF(F3="1",SUMIF(Data!A:A,'19'!$A$2,Data!AM:AM),0)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372</v>
      </c>
      <c r="B2" s="58" t="str">
        <f>VLOOKUP(A2,Data!A:G,7,0)</f>
        <v>Hill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9712</v>
      </c>
      <c r="E5" s="15">
        <f>E36+E67+IFERROR($E$105/$D$105*D5,0)</f>
        <v>75283.909713216301</v>
      </c>
      <c r="F5" s="20">
        <f>IF(OR(D5=0,E5=0),"",ROUND(E5/D5,2))</f>
        <v>7.75</v>
      </c>
    </row>
    <row r="6" spans="1:6" x14ac:dyDescent="0.2">
      <c r="A6" s="19">
        <v>2</v>
      </c>
      <c r="B6" s="181" t="s">
        <v>1</v>
      </c>
      <c r="C6" s="182"/>
      <c r="D6" s="14">
        <f t="shared" ref="D6:D32" si="0">D37</f>
        <v>40181</v>
      </c>
      <c r="E6" s="17">
        <f t="shared" ref="E6:E32" si="1">E37+E68+IFERROR($E$105/$D$105*D6,0)</f>
        <v>284271.85792697116</v>
      </c>
      <c r="F6" s="21">
        <f t="shared" ref="F6:F33" si="2">IF(OR(D6=0,E6=0),"",ROUND(E6/D6,2))</f>
        <v>7.07</v>
      </c>
    </row>
    <row r="7" spans="1:6" ht="14.25" customHeight="1" x14ac:dyDescent="0.2">
      <c r="A7" s="19">
        <v>3</v>
      </c>
      <c r="B7" s="181" t="s">
        <v>2</v>
      </c>
      <c r="C7" s="182"/>
      <c r="D7" s="14">
        <f t="shared" si="0"/>
        <v>83760</v>
      </c>
      <c r="E7" s="17">
        <f t="shared" si="1"/>
        <v>422301.04999783746</v>
      </c>
      <c r="F7" s="21">
        <f t="shared" si="2"/>
        <v>5.04</v>
      </c>
    </row>
    <row r="8" spans="1:6" ht="14.25" customHeight="1" x14ac:dyDescent="0.2">
      <c r="A8" s="19">
        <v>4</v>
      </c>
      <c r="B8" s="181" t="s">
        <v>3</v>
      </c>
      <c r="C8" s="182"/>
      <c r="D8" s="14">
        <f t="shared" si="0"/>
        <v>107018</v>
      </c>
      <c r="E8" s="17">
        <f t="shared" si="1"/>
        <v>290098.31648362661</v>
      </c>
      <c r="F8" s="21">
        <f t="shared" si="2"/>
        <v>2.71</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7008</v>
      </c>
      <c r="E10" s="17">
        <f t="shared" si="1"/>
        <v>33447.053466867772</v>
      </c>
      <c r="F10" s="21">
        <f t="shared" si="2"/>
        <v>4.7699999999999996</v>
      </c>
    </row>
    <row r="11" spans="1:6" x14ac:dyDescent="0.2">
      <c r="A11" s="19">
        <v>7</v>
      </c>
      <c r="B11" s="181" t="s">
        <v>6</v>
      </c>
      <c r="C11" s="182"/>
      <c r="D11" s="14">
        <f t="shared" si="0"/>
        <v>109396</v>
      </c>
      <c r="E11" s="17">
        <f t="shared" si="1"/>
        <v>733811.53325648792</v>
      </c>
      <c r="F11" s="21">
        <f t="shared" si="2"/>
        <v>6.71</v>
      </c>
    </row>
    <row r="12" spans="1:6" x14ac:dyDescent="0.2">
      <c r="A12" s="19">
        <v>8</v>
      </c>
      <c r="B12" s="181" t="s">
        <v>7</v>
      </c>
      <c r="C12" s="182"/>
      <c r="D12" s="14">
        <f t="shared" si="0"/>
        <v>608</v>
      </c>
      <c r="E12" s="17">
        <f t="shared" si="1"/>
        <v>2484.6895701848753</v>
      </c>
      <c r="F12" s="21">
        <f t="shared" si="2"/>
        <v>4.09</v>
      </c>
    </row>
    <row r="13" spans="1:6" x14ac:dyDescent="0.2">
      <c r="A13" s="19">
        <v>9</v>
      </c>
      <c r="B13" s="181" t="s">
        <v>8</v>
      </c>
      <c r="C13" s="182"/>
      <c r="D13" s="14">
        <f t="shared" si="0"/>
        <v>142192</v>
      </c>
      <c r="E13" s="17">
        <f t="shared" si="1"/>
        <v>564272.7423745523</v>
      </c>
      <c r="F13" s="21">
        <f t="shared" si="2"/>
        <v>3.97</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24768</v>
      </c>
      <c r="E15" s="17">
        <f t="shared" si="1"/>
        <v>139470.03828016281</v>
      </c>
      <c r="F15" s="21">
        <f t="shared" si="2"/>
        <v>5.63</v>
      </c>
    </row>
    <row r="16" spans="1:6" ht="14.25" customHeight="1" x14ac:dyDescent="0.2">
      <c r="A16" s="19">
        <v>12</v>
      </c>
      <c r="B16" s="181" t="s">
        <v>11</v>
      </c>
      <c r="C16" s="182"/>
      <c r="D16" s="14">
        <f t="shared" si="0"/>
        <v>199008</v>
      </c>
      <c r="E16" s="17">
        <f t="shared" si="1"/>
        <v>845508.97036735481</v>
      </c>
      <c r="F16" s="21">
        <f t="shared" si="2"/>
        <v>4.25</v>
      </c>
    </row>
    <row r="17" spans="1:6" x14ac:dyDescent="0.2">
      <c r="A17" s="19">
        <v>13</v>
      </c>
      <c r="B17" s="181" t="s">
        <v>12</v>
      </c>
      <c r="C17" s="182"/>
      <c r="D17" s="14">
        <f t="shared" si="0"/>
        <v>29624</v>
      </c>
      <c r="E17" s="17">
        <f t="shared" si="1"/>
        <v>135997.99313677097</v>
      </c>
      <c r="F17" s="21">
        <f t="shared" si="2"/>
        <v>4.59</v>
      </c>
    </row>
    <row r="18" spans="1:6" ht="14.25" customHeight="1" x14ac:dyDescent="0.2">
      <c r="A18" s="19">
        <v>14</v>
      </c>
      <c r="B18" s="181" t="s">
        <v>464</v>
      </c>
      <c r="C18" s="182"/>
      <c r="D18" s="14">
        <f t="shared" si="0"/>
        <v>0</v>
      </c>
      <c r="E18" s="17">
        <f t="shared" si="1"/>
        <v>0</v>
      </c>
      <c r="F18" s="21" t="str">
        <f t="shared" si="2"/>
        <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75170</v>
      </c>
      <c r="E20" s="17">
        <f t="shared" si="1"/>
        <v>306101.1693927584</v>
      </c>
      <c r="F20" s="21">
        <f t="shared" si="2"/>
        <v>4.07</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100064</v>
      </c>
      <c r="E22" s="17">
        <f t="shared" si="1"/>
        <v>633814.80452463718</v>
      </c>
      <c r="F22" s="21">
        <f t="shared" si="2"/>
        <v>6.33</v>
      </c>
    </row>
    <row r="23" spans="1:6" x14ac:dyDescent="0.2">
      <c r="A23" s="19">
        <v>19</v>
      </c>
      <c r="B23" s="181" t="s">
        <v>17</v>
      </c>
      <c r="C23" s="182"/>
      <c r="D23" s="14">
        <f t="shared" si="0"/>
        <v>142624</v>
      </c>
      <c r="E23" s="17">
        <f t="shared" si="1"/>
        <v>529250.07443757844</v>
      </c>
      <c r="F23" s="21">
        <f t="shared" si="2"/>
        <v>3.71</v>
      </c>
    </row>
    <row r="24" spans="1:6" x14ac:dyDescent="0.2">
      <c r="A24" s="19">
        <v>20</v>
      </c>
      <c r="B24" s="181" t="s">
        <v>18</v>
      </c>
      <c r="C24" s="182"/>
      <c r="D24" s="14">
        <f t="shared" si="0"/>
        <v>39124</v>
      </c>
      <c r="E24" s="17">
        <f t="shared" si="1"/>
        <v>245330.51767090964</v>
      </c>
      <c r="F24" s="21">
        <f t="shared" si="2"/>
        <v>6.27</v>
      </c>
    </row>
    <row r="25" spans="1:6" ht="14.25" customHeight="1" x14ac:dyDescent="0.2">
      <c r="A25" s="19">
        <v>21</v>
      </c>
      <c r="B25" s="181" t="s">
        <v>461</v>
      </c>
      <c r="C25" s="182"/>
      <c r="D25" s="14">
        <f t="shared" si="0"/>
        <v>288</v>
      </c>
      <c r="E25" s="17">
        <f t="shared" si="1"/>
        <v>1207.2213753507303</v>
      </c>
      <c r="F25" s="21">
        <f t="shared" si="2"/>
        <v>4.1900000000000004</v>
      </c>
    </row>
    <row r="26" spans="1:6" x14ac:dyDescent="0.2">
      <c r="A26" s="19">
        <v>22</v>
      </c>
      <c r="B26" s="181" t="s">
        <v>19</v>
      </c>
      <c r="C26" s="182"/>
      <c r="D26" s="14">
        <f t="shared" si="0"/>
        <v>112</v>
      </c>
      <c r="E26" s="17">
        <f t="shared" si="1"/>
        <v>820.86386819195081</v>
      </c>
      <c r="F26" s="21">
        <f t="shared" si="2"/>
        <v>7.33</v>
      </c>
    </row>
    <row r="27" spans="1:6" x14ac:dyDescent="0.2">
      <c r="A27" s="19">
        <v>23</v>
      </c>
      <c r="B27" s="181" t="s">
        <v>20</v>
      </c>
      <c r="C27" s="182"/>
      <c r="D27" s="14">
        <f t="shared" si="0"/>
        <v>50048</v>
      </c>
      <c r="E27" s="17">
        <f t="shared" si="1"/>
        <v>348415.02567206026</v>
      </c>
      <c r="F27" s="21">
        <f t="shared" si="2"/>
        <v>6.96</v>
      </c>
    </row>
    <row r="28" spans="1:6" x14ac:dyDescent="0.2">
      <c r="A28" s="19">
        <v>24</v>
      </c>
      <c r="B28" s="181" t="s">
        <v>21</v>
      </c>
      <c r="C28" s="182"/>
      <c r="D28" s="14">
        <f t="shared" si="0"/>
        <v>64154</v>
      </c>
      <c r="E28" s="17">
        <f t="shared" si="1"/>
        <v>338503.70178559294</v>
      </c>
      <c r="F28" s="21">
        <f t="shared" si="2"/>
        <v>5.28</v>
      </c>
    </row>
    <row r="29" spans="1:6" x14ac:dyDescent="0.2">
      <c r="A29" s="19">
        <v>25</v>
      </c>
      <c r="B29" s="181" t="s">
        <v>22</v>
      </c>
      <c r="C29" s="182"/>
      <c r="D29" s="14">
        <f t="shared" si="0"/>
        <v>151728</v>
      </c>
      <c r="E29" s="17">
        <f t="shared" si="1"/>
        <v>684115.29458060977</v>
      </c>
      <c r="F29" s="21">
        <f t="shared" si="2"/>
        <v>4.51</v>
      </c>
    </row>
    <row r="30" spans="1:6" x14ac:dyDescent="0.2">
      <c r="A30" s="19">
        <v>26</v>
      </c>
      <c r="B30" s="181" t="s">
        <v>23</v>
      </c>
      <c r="C30" s="182"/>
      <c r="D30" s="14">
        <f t="shared" si="0"/>
        <v>80016</v>
      </c>
      <c r="E30" s="17">
        <f t="shared" si="1"/>
        <v>440759.17211827799</v>
      </c>
      <c r="F30" s="21">
        <f t="shared" si="2"/>
        <v>5.51</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1456603</v>
      </c>
      <c r="E33" s="31">
        <f>SUM(E5:E32)</f>
        <v>7055266.0000000009</v>
      </c>
      <c r="F33" s="32">
        <f t="shared" si="2"/>
        <v>4.84</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IF(F3="1",SUMIF(Data!A:A,'20'!$A$2,Data!CU:CU),0)</f>
        <v>9712</v>
      </c>
      <c r="E36" s="15">
        <f>IF(F3="1",SUMIF(Data!$A:$A,$A$2,Data!IO:IO),0)</f>
        <v>8617</v>
      </c>
      <c r="F36" s="20">
        <f t="shared" ref="F36:F64" si="3">IF(OR(D36=0,E36=0),"",ROUND(E36/D36,2))</f>
        <v>0.89</v>
      </c>
    </row>
    <row r="37" spans="1:6" x14ac:dyDescent="0.2">
      <c r="A37" s="19">
        <v>2</v>
      </c>
      <c r="B37" s="181" t="s">
        <v>1</v>
      </c>
      <c r="C37" s="182"/>
      <c r="D37" s="14">
        <f>IF(F3="1",SUMIF(Data!A:A,'20'!$A$2,Data!CV:CV),0)</f>
        <v>40181</v>
      </c>
      <c r="E37" s="17">
        <f>IF(F3="1",SUMIF(Data!$A:$A,$A$2,Data!IP:IP),0)</f>
        <v>37346</v>
      </c>
      <c r="F37" s="21">
        <f t="shared" si="3"/>
        <v>0.93</v>
      </c>
    </row>
    <row r="38" spans="1:6" ht="14.25" customHeight="1" x14ac:dyDescent="0.2">
      <c r="A38" s="19">
        <v>3</v>
      </c>
      <c r="B38" s="181" t="s">
        <v>2</v>
      </c>
      <c r="C38" s="182"/>
      <c r="D38" s="14">
        <f>IF(F3="1",SUMIF(Data!A:A,'20'!$A$2,Data!CW:CW),0)</f>
        <v>83760</v>
      </c>
      <c r="E38" s="17">
        <f>IF($F$3="1",SUMIF(Data!$A:$A,$A$2,Data!IQ:IQ),0)</f>
        <v>21725</v>
      </c>
      <c r="F38" s="21">
        <f t="shared" si="3"/>
        <v>0.26</v>
      </c>
    </row>
    <row r="39" spans="1:6" ht="14.25" customHeight="1" x14ac:dyDescent="0.2">
      <c r="A39" s="19">
        <v>4</v>
      </c>
      <c r="B39" s="181" t="s">
        <v>3</v>
      </c>
      <c r="C39" s="182"/>
      <c r="D39" s="14">
        <f>IF(F3="1",SUMIF(Data!A:A,'20'!$A$2,Data!CX:CX),0)</f>
        <v>107018</v>
      </c>
      <c r="E39" s="17">
        <f>IF($F$3="1",SUMIF(Data!$A:$A,$A$2,Data!IR:IR),0)</f>
        <v>6435</v>
      </c>
      <c r="F39" s="21">
        <f t="shared" si="3"/>
        <v>0.06</v>
      </c>
    </row>
    <row r="40" spans="1:6" x14ac:dyDescent="0.2">
      <c r="A40" s="19">
        <v>5</v>
      </c>
      <c r="B40" s="181" t="s">
        <v>4</v>
      </c>
      <c r="C40" s="182"/>
      <c r="D40" s="14">
        <f>IF(F3="1",SUMIF(Data!A:A,'20'!$A$2,Data!CY:CY),0)</f>
        <v>0</v>
      </c>
      <c r="E40" s="17">
        <f>IF($F$3="1",SUMIF(Data!$A:$A,$A$2,Data!IS:IS),0)</f>
        <v>0</v>
      </c>
      <c r="F40" s="21" t="str">
        <f t="shared" si="3"/>
        <v/>
      </c>
    </row>
    <row r="41" spans="1:6" x14ac:dyDescent="0.2">
      <c r="A41" s="19">
        <v>6</v>
      </c>
      <c r="B41" s="181" t="s">
        <v>5</v>
      </c>
      <c r="C41" s="182"/>
      <c r="D41" s="14">
        <f>IF(F3="1",SUMIF(Data!A:A,'20'!$A$2,Data!CZ:CZ),0)</f>
        <v>7008</v>
      </c>
      <c r="E41" s="17">
        <f>IF($F$3="1",SUMIF(Data!$A:$A,$A$2,Data!IT:IT),0)</f>
        <v>1290</v>
      </c>
      <c r="F41" s="21">
        <f t="shared" si="3"/>
        <v>0.18</v>
      </c>
    </row>
    <row r="42" spans="1:6" x14ac:dyDescent="0.2">
      <c r="A42" s="19">
        <v>7</v>
      </c>
      <c r="B42" s="181" t="s">
        <v>6</v>
      </c>
      <c r="C42" s="182"/>
      <c r="D42" s="14">
        <f>IF(F3="1",SUMIF(Data!A:A,'20'!$A$2,Data!DA:DA),0)</f>
        <v>109396</v>
      </c>
      <c r="E42" s="17">
        <f>IF($F$3="1",SUMIF(Data!$A:$A,$A$2,Data!IU:IU),0)</f>
        <v>91118</v>
      </c>
      <c r="F42" s="21">
        <f t="shared" si="3"/>
        <v>0.83</v>
      </c>
    </row>
    <row r="43" spans="1:6" x14ac:dyDescent="0.2">
      <c r="A43" s="19">
        <v>8</v>
      </c>
      <c r="B43" s="181" t="s">
        <v>7</v>
      </c>
      <c r="C43" s="182"/>
      <c r="D43" s="14">
        <f>IF(F3="1",SUMIF(Data!A:A,'20'!$A$2,Data!DB:DB),0)</f>
        <v>608</v>
      </c>
      <c r="E43" s="17">
        <f>IF($F$3="1",SUMIF(Data!$A:$A,$A$2,Data!IV:IV),0)</f>
        <v>100</v>
      </c>
      <c r="F43" s="21">
        <f t="shared" si="3"/>
        <v>0.16</v>
      </c>
    </row>
    <row r="44" spans="1:6" x14ac:dyDescent="0.2">
      <c r="A44" s="19">
        <v>9</v>
      </c>
      <c r="B44" s="181" t="s">
        <v>8</v>
      </c>
      <c r="C44" s="182"/>
      <c r="D44" s="14">
        <f>IF(F3="1",SUMIF(Data!A:A,'20'!$A$2,Data!DC:DC),0)</f>
        <v>142192</v>
      </c>
      <c r="E44" s="17">
        <f>IF($F$3="1",SUMIF(Data!$A:$A,$A$2,Data!IW:IW),0)</f>
        <v>17467</v>
      </c>
      <c r="F44" s="21">
        <f t="shared" si="3"/>
        <v>0.12</v>
      </c>
    </row>
    <row r="45" spans="1:6" x14ac:dyDescent="0.2">
      <c r="A45" s="19">
        <v>10</v>
      </c>
      <c r="B45" s="181" t="s">
        <v>9</v>
      </c>
      <c r="C45" s="182"/>
      <c r="D45" s="14">
        <f>IF(F3="1",SUMIF(Data!A:A,'20'!$A$2,Data!DD:DD),0)</f>
        <v>0</v>
      </c>
      <c r="E45" s="17">
        <f>IF($F$3="1",SUMIF(Data!$A:$A,$A$2,Data!IX:IX),0)</f>
        <v>0</v>
      </c>
      <c r="F45" s="21" t="str">
        <f t="shared" si="3"/>
        <v/>
      </c>
    </row>
    <row r="46" spans="1:6" x14ac:dyDescent="0.2">
      <c r="A46" s="19">
        <v>11</v>
      </c>
      <c r="B46" s="181" t="s">
        <v>10</v>
      </c>
      <c r="C46" s="182"/>
      <c r="D46" s="14">
        <f>IF(F3="1",SUMIF(Data!A:A,'20'!$A$2,Data!DE:DE),0)</f>
        <v>24768</v>
      </c>
      <c r="E46" s="17">
        <f>IF($F$3="1",SUMIF(Data!$A:$A,$A$2,Data!IY:IY),0)</f>
        <v>9171</v>
      </c>
      <c r="F46" s="21">
        <f t="shared" si="3"/>
        <v>0.37</v>
      </c>
    </row>
    <row r="47" spans="1:6" ht="14.25" customHeight="1" x14ac:dyDescent="0.2">
      <c r="A47" s="19">
        <v>12</v>
      </c>
      <c r="B47" s="181" t="s">
        <v>11</v>
      </c>
      <c r="C47" s="182"/>
      <c r="D47" s="14">
        <f>IF(F3="1",SUMIF(Data!A:A,'20'!$A$2,Data!DF:DF),0)</f>
        <v>199008</v>
      </c>
      <c r="E47" s="17">
        <f>IF($F$3="1",SUMIF(Data!$A:$A,$A$2,Data!IZ:IZ),0)</f>
        <v>46410</v>
      </c>
      <c r="F47" s="21">
        <f t="shared" si="3"/>
        <v>0.23</v>
      </c>
    </row>
    <row r="48" spans="1:6" x14ac:dyDescent="0.2">
      <c r="A48" s="19">
        <v>13</v>
      </c>
      <c r="B48" s="181" t="s">
        <v>12</v>
      </c>
      <c r="C48" s="182"/>
      <c r="D48" s="14">
        <f>IF(F3="1",SUMIF(Data!A:A,'20'!$A$2,Data!DG:DG),0)</f>
        <v>29624</v>
      </c>
      <c r="E48" s="17">
        <f>IF($F$3="1",SUMIF(Data!$A:$A,$A$2,Data!JA:JA),0)</f>
        <v>2674</v>
      </c>
      <c r="F48" s="21">
        <f t="shared" si="3"/>
        <v>0.09</v>
      </c>
    </row>
    <row r="49" spans="1:6" ht="14.25" customHeight="1" x14ac:dyDescent="0.2">
      <c r="A49" s="19">
        <v>14</v>
      </c>
      <c r="B49" s="181" t="s">
        <v>464</v>
      </c>
      <c r="C49" s="182"/>
      <c r="D49" s="14">
        <f>IF(F3="1",SUMIF(Data!A:A,'20'!$A$2,Data!DH:DH),0)</f>
        <v>0</v>
      </c>
      <c r="E49" s="17">
        <f>IF($F$3="1",SUMIF(Data!$A:$A,$A$2,Data!JB:JB),0)</f>
        <v>0</v>
      </c>
      <c r="F49" s="21" t="str">
        <f t="shared" si="3"/>
        <v/>
      </c>
    </row>
    <row r="50" spans="1:6" x14ac:dyDescent="0.2">
      <c r="A50" s="19">
        <v>15</v>
      </c>
      <c r="B50" s="181" t="s">
        <v>13</v>
      </c>
      <c r="C50" s="182"/>
      <c r="D50" s="14">
        <f>IF(F3="1",SUMIF(Data!A:A,'20'!$A$2,Data!DI:DI),0)</f>
        <v>0</v>
      </c>
      <c r="E50" s="17">
        <f>IF($F$3="1",SUMIF(Data!$A:$A,$A$2,Data!JC:JC),0)</f>
        <v>0</v>
      </c>
      <c r="F50" s="21" t="str">
        <f t="shared" si="3"/>
        <v/>
      </c>
    </row>
    <row r="51" spans="1:6" x14ac:dyDescent="0.2">
      <c r="A51" s="19">
        <v>16</v>
      </c>
      <c r="B51" s="181" t="s">
        <v>14</v>
      </c>
      <c r="C51" s="182"/>
      <c r="D51" s="14">
        <f>IF(F3="1",SUMIF(Data!A:A,'20'!$A$2,Data!DJ:DJ),0)</f>
        <v>75170</v>
      </c>
      <c r="E51" s="17">
        <f>IF($F$3="1",SUMIF(Data!$A:$A,$A$2,Data!JD:JD),0)</f>
        <v>33135</v>
      </c>
      <c r="F51" s="21">
        <f t="shared" si="3"/>
        <v>0.44</v>
      </c>
    </row>
    <row r="52" spans="1:6" x14ac:dyDescent="0.2">
      <c r="A52" s="19">
        <v>17</v>
      </c>
      <c r="B52" s="181" t="s">
        <v>15</v>
      </c>
      <c r="C52" s="182"/>
      <c r="D52" s="14">
        <f>IF(F3="1",SUMIF(Data!A:A,'20'!$A$2,Data!DK:DK),0)</f>
        <v>0</v>
      </c>
      <c r="E52" s="17">
        <f>IF($F$3="1",SUMIF(Data!$A:$A,$A$2,Data!JE:JE),0)</f>
        <v>0</v>
      </c>
      <c r="F52" s="21" t="str">
        <f t="shared" si="3"/>
        <v/>
      </c>
    </row>
    <row r="53" spans="1:6" x14ac:dyDescent="0.2">
      <c r="A53" s="19">
        <v>18</v>
      </c>
      <c r="B53" s="181" t="s">
        <v>16</v>
      </c>
      <c r="C53" s="182"/>
      <c r="D53" s="14">
        <f>IF(F3="1",SUMIF(Data!A:A,'20'!$A$2,Data!DL:DL),0)</f>
        <v>100064</v>
      </c>
      <c r="E53" s="17">
        <f>IF($F$3="1",SUMIF(Data!$A:$A,$A$2,Data!JF:JF),0)</f>
        <v>40246</v>
      </c>
      <c r="F53" s="21">
        <f t="shared" si="3"/>
        <v>0.4</v>
      </c>
    </row>
    <row r="54" spans="1:6" x14ac:dyDescent="0.2">
      <c r="A54" s="19">
        <v>19</v>
      </c>
      <c r="B54" s="181" t="s">
        <v>17</v>
      </c>
      <c r="C54" s="182"/>
      <c r="D54" s="14">
        <f>IF(F3="1",SUMIF(Data!A:A,'20'!$A$2,Data!DM:DM),0)</f>
        <v>142624</v>
      </c>
      <c r="E54" s="17">
        <f>IF($F$3="1",SUMIF(Data!$A:$A,$A$2,Data!JG:JG),0)</f>
        <v>19314</v>
      </c>
      <c r="F54" s="21">
        <f t="shared" si="3"/>
        <v>0.14000000000000001</v>
      </c>
    </row>
    <row r="55" spans="1:6" x14ac:dyDescent="0.2">
      <c r="A55" s="19">
        <v>20</v>
      </c>
      <c r="B55" s="181" t="s">
        <v>18</v>
      </c>
      <c r="C55" s="182"/>
      <c r="D55" s="14">
        <f>IF(F3="1",SUMIF(Data!A:A,'20'!$A$2,Data!DN:DN),0)</f>
        <v>39124</v>
      </c>
      <c r="E55" s="17">
        <f>IF($F$3="1",SUMIF(Data!$A:$A,$A$2,Data!JH:JH),0)</f>
        <v>33765</v>
      </c>
      <c r="F55" s="21">
        <f t="shared" si="3"/>
        <v>0.86</v>
      </c>
    </row>
    <row r="56" spans="1:6" ht="14.25" customHeight="1" x14ac:dyDescent="0.2">
      <c r="A56" s="19">
        <v>21</v>
      </c>
      <c r="B56" s="181" t="s">
        <v>461</v>
      </c>
      <c r="C56" s="182"/>
      <c r="D56" s="14">
        <f>IF(F3="1",SUMIF(Data!A:A,'20'!$A$2,Data!DO:DO),0)</f>
        <v>288</v>
      </c>
      <c r="E56" s="17">
        <f>IF($F$3="1",SUMIF(Data!$A:$A,$A$2,Data!JI:JI),0)</f>
        <v>50</v>
      </c>
      <c r="F56" s="21">
        <f t="shared" si="3"/>
        <v>0.17</v>
      </c>
    </row>
    <row r="57" spans="1:6" x14ac:dyDescent="0.2">
      <c r="A57" s="19">
        <v>22</v>
      </c>
      <c r="B57" s="181" t="s">
        <v>19</v>
      </c>
      <c r="C57" s="182"/>
      <c r="D57" s="14">
        <f>IF(F3="1",SUMIF(Data!A:A,'20'!$A$2,Data!DP:DP),0)</f>
        <v>112</v>
      </c>
      <c r="E57" s="17">
        <f>IF($F$3="1",SUMIF(Data!$A:$A,$A$2,Data!JJ:JJ),0)</f>
        <v>50</v>
      </c>
      <c r="F57" s="21">
        <f t="shared" si="3"/>
        <v>0.45</v>
      </c>
    </row>
    <row r="58" spans="1:6" x14ac:dyDescent="0.2">
      <c r="A58" s="19">
        <v>23</v>
      </c>
      <c r="B58" s="181" t="s">
        <v>20</v>
      </c>
      <c r="C58" s="182"/>
      <c r="D58" s="14">
        <f>IF(F3="1",SUMIF(Data!A:A,'20'!$A$2,Data!DQ:DQ),0)</f>
        <v>50048</v>
      </c>
      <c r="E58" s="17">
        <f>IF($F$3="1",SUMIF(Data!$A:$A,$A$2,Data!JK:JK),0)</f>
        <v>9089</v>
      </c>
      <c r="F58" s="21">
        <f t="shared" si="3"/>
        <v>0.18</v>
      </c>
    </row>
    <row r="59" spans="1:6" x14ac:dyDescent="0.2">
      <c r="A59" s="19">
        <v>24</v>
      </c>
      <c r="B59" s="181" t="s">
        <v>21</v>
      </c>
      <c r="C59" s="182"/>
      <c r="D59" s="14">
        <f>IF(F3="1",SUMIF(Data!A:A,'20'!$A$2,Data!DR:DR),0)</f>
        <v>64154</v>
      </c>
      <c r="E59" s="17">
        <f>IF($F$3="1",SUMIF(Data!$A:$A,$A$2,Data!JL:JL),0)</f>
        <v>25969</v>
      </c>
      <c r="F59" s="21">
        <f t="shared" si="3"/>
        <v>0.4</v>
      </c>
    </row>
    <row r="60" spans="1:6" x14ac:dyDescent="0.2">
      <c r="A60" s="19">
        <v>25</v>
      </c>
      <c r="B60" s="181" t="s">
        <v>22</v>
      </c>
      <c r="C60" s="182"/>
      <c r="D60" s="14">
        <f>IF(F3="1",SUMIF(Data!A:A,'20'!$A$2,Data!DS:DS),0)</f>
        <v>151728</v>
      </c>
      <c r="E60" s="17">
        <f>IF($F$3="1",SUMIF(Data!$A:$A,$A$2,Data!JM:JM),0)</f>
        <v>17537</v>
      </c>
      <c r="F60" s="21">
        <f t="shared" si="3"/>
        <v>0.12</v>
      </c>
    </row>
    <row r="61" spans="1:6" x14ac:dyDescent="0.2">
      <c r="A61" s="19">
        <v>26</v>
      </c>
      <c r="B61" s="181" t="s">
        <v>23</v>
      </c>
      <c r="C61" s="182"/>
      <c r="D61" s="14">
        <f>IF(F3="1",SUMIF(Data!A:A,'20'!$A$2,Data!DT:DT),0)</f>
        <v>80016</v>
      </c>
      <c r="E61" s="17">
        <f>IF($F$3="1",SUMIF(Data!$A:$A,$A$2,Data!JN:JN),0)</f>
        <v>40573</v>
      </c>
      <c r="F61" s="21">
        <f t="shared" si="3"/>
        <v>0.51</v>
      </c>
    </row>
    <row r="62" spans="1:6" x14ac:dyDescent="0.2">
      <c r="A62" s="19">
        <v>28</v>
      </c>
      <c r="B62" s="181" t="s">
        <v>24</v>
      </c>
      <c r="C62" s="182"/>
      <c r="D62" s="14">
        <f>IF(F3="1",SUMIF(Data!A:A,'20'!$A$2,Data!DV:DV),0)</f>
        <v>0</v>
      </c>
      <c r="E62" s="17">
        <f>IF($F$3="1",SUMIF(Data!$A:$A,$A$2,Data!JP:JP),0)</f>
        <v>0</v>
      </c>
      <c r="F62" s="21" t="str">
        <f t="shared" si="3"/>
        <v/>
      </c>
    </row>
    <row r="63" spans="1:6" ht="15.75" customHeight="1" thickBot="1" x14ac:dyDescent="0.25">
      <c r="A63" s="22">
        <v>29</v>
      </c>
      <c r="B63" s="183" t="s">
        <v>25</v>
      </c>
      <c r="C63" s="184"/>
      <c r="D63" s="23">
        <f>IF(F3="1",SUMIF(Data!A:A,'20'!$A$2,Data!DW:DW),0)</f>
        <v>0</v>
      </c>
      <c r="E63" s="24">
        <f>IF($F$3="1",SUMIF(Data!$A:$A,$A$2,Data!JQ:JQ),0)</f>
        <v>0</v>
      </c>
      <c r="F63" s="25" t="str">
        <f t="shared" si="3"/>
        <v/>
      </c>
    </row>
    <row r="64" spans="1:6" x14ac:dyDescent="0.2">
      <c r="B64" s="30" t="s">
        <v>35</v>
      </c>
      <c r="C64" s="30"/>
      <c r="D64" s="59">
        <f>SUM(D36:D63)</f>
        <v>1456603</v>
      </c>
      <c r="E64" s="31">
        <f>SUM(E36:E63)</f>
        <v>462081</v>
      </c>
      <c r="F64" s="32">
        <f t="shared" si="3"/>
        <v>0.32</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9712</v>
      </c>
      <c r="E67" s="15">
        <f>IF(F3="1",SUMIF(Data!A:A,'20'!$A$2,Data!DY:DY),0)</f>
        <v>45347</v>
      </c>
      <c r="F67" s="20">
        <f t="shared" ref="F67:F95" si="4">IF(OR(D67=0,E67=0),"",ROUND(E67/D67,2))</f>
        <v>4.67</v>
      </c>
    </row>
    <row r="68" spans="1:6" x14ac:dyDescent="0.2">
      <c r="A68" s="19">
        <v>2</v>
      </c>
      <c r="B68" s="181" t="s">
        <v>1</v>
      </c>
      <c r="C68" s="182"/>
      <c r="D68" s="14">
        <f t="shared" ref="D68:D94" si="5">D37</f>
        <v>40181</v>
      </c>
      <c r="E68" s="17">
        <f>IF(F3="1",SUMIF(Data!A:A,'20'!$A$2,Data!DZ:DZ),0)</f>
        <v>158720</v>
      </c>
      <c r="F68" s="21">
        <f t="shared" si="4"/>
        <v>3.95</v>
      </c>
    </row>
    <row r="69" spans="1:6" ht="14.25" customHeight="1" x14ac:dyDescent="0.2">
      <c r="A69" s="19">
        <v>3</v>
      </c>
      <c r="B69" s="181" t="s">
        <v>2</v>
      </c>
      <c r="C69" s="182"/>
      <c r="D69" s="14">
        <f t="shared" si="5"/>
        <v>83760</v>
      </c>
      <c r="E69" s="17">
        <f>IF(F3="1",SUMIF(Data!A:A,'20'!$A$2,Data!EA:EA),0)</f>
        <v>216705</v>
      </c>
      <c r="F69" s="21">
        <f t="shared" si="4"/>
        <v>2.59</v>
      </c>
    </row>
    <row r="70" spans="1:6" ht="14.25" customHeight="1" x14ac:dyDescent="0.2">
      <c r="A70" s="19">
        <v>4</v>
      </c>
      <c r="B70" s="181" t="s">
        <v>3</v>
      </c>
      <c r="C70" s="182"/>
      <c r="D70" s="14">
        <f t="shared" si="5"/>
        <v>107018</v>
      </c>
      <c r="E70" s="17">
        <f>IF(F3="1",SUMIF(Data!A:A,'20'!$A$2,Data!EB:EB),0)</f>
        <v>48736</v>
      </c>
      <c r="F70" s="21">
        <f t="shared" si="4"/>
        <v>0.46</v>
      </c>
    </row>
    <row r="71" spans="1:6" x14ac:dyDescent="0.2">
      <c r="A71" s="19">
        <v>5</v>
      </c>
      <c r="B71" s="181" t="s">
        <v>4</v>
      </c>
      <c r="C71" s="182"/>
      <c r="D71" s="14">
        <f t="shared" si="5"/>
        <v>0</v>
      </c>
      <c r="E71" s="17">
        <f>IF(F3="1",SUMIF(Data!A:A,'20'!$A$2,Data!EC:EC),0)</f>
        <v>0</v>
      </c>
      <c r="F71" s="21" t="str">
        <f t="shared" si="4"/>
        <v/>
      </c>
    </row>
    <row r="72" spans="1:6" x14ac:dyDescent="0.2">
      <c r="A72" s="19">
        <v>6</v>
      </c>
      <c r="B72" s="181" t="s">
        <v>5</v>
      </c>
      <c r="C72" s="182"/>
      <c r="D72" s="14">
        <f t="shared" si="5"/>
        <v>7008</v>
      </c>
      <c r="E72" s="17">
        <f>IF(F3="1",SUMIF(Data!A:A,'20'!$A$2,Data!ED:ED),0)</f>
        <v>16773</v>
      </c>
      <c r="F72" s="21">
        <f t="shared" si="4"/>
        <v>2.39</v>
      </c>
    </row>
    <row r="73" spans="1:6" x14ac:dyDescent="0.2">
      <c r="A73" s="19">
        <v>7</v>
      </c>
      <c r="B73" s="181" t="s">
        <v>6</v>
      </c>
      <c r="C73" s="182"/>
      <c r="D73" s="14">
        <f t="shared" si="5"/>
        <v>109396</v>
      </c>
      <c r="E73" s="17">
        <f>IF(F3="1",SUMIF(Data!A:A,'20'!$A$2,Data!EE:EE),0)</f>
        <v>402546</v>
      </c>
      <c r="F73" s="21">
        <f t="shared" si="4"/>
        <v>3.68</v>
      </c>
    </row>
    <row r="74" spans="1:6" x14ac:dyDescent="0.2">
      <c r="A74" s="19">
        <v>8</v>
      </c>
      <c r="B74" s="181" t="s">
        <v>7</v>
      </c>
      <c r="C74" s="182"/>
      <c r="D74" s="14">
        <f t="shared" si="5"/>
        <v>608</v>
      </c>
      <c r="E74" s="17">
        <f>IF(F3="1",SUMIF(Data!A:A,'20'!$A$2,Data!EF:EF),0)</f>
        <v>1050</v>
      </c>
      <c r="F74" s="21">
        <f t="shared" si="4"/>
        <v>1.73</v>
      </c>
    </row>
    <row r="75" spans="1:6" x14ac:dyDescent="0.2">
      <c r="A75" s="19">
        <v>9</v>
      </c>
      <c r="B75" s="181" t="s">
        <v>8</v>
      </c>
      <c r="C75" s="182"/>
      <c r="D75" s="14">
        <f t="shared" si="5"/>
        <v>142192</v>
      </c>
      <c r="E75" s="17">
        <f>IF(F3="1",SUMIF(Data!A:A,'20'!$A$2,Data!EG:EG),0)</f>
        <v>234664</v>
      </c>
      <c r="F75" s="21">
        <f t="shared" si="4"/>
        <v>1.65</v>
      </c>
    </row>
    <row r="76" spans="1:6" x14ac:dyDescent="0.2">
      <c r="A76" s="19">
        <v>10</v>
      </c>
      <c r="B76" s="181" t="s">
        <v>9</v>
      </c>
      <c r="C76" s="182"/>
      <c r="D76" s="14">
        <f t="shared" si="5"/>
        <v>0</v>
      </c>
      <c r="E76" s="17">
        <f>IF(F3="1",SUMIF(Data!A:A,'20'!$A$2,Data!EH:EH),0)</f>
        <v>0</v>
      </c>
      <c r="F76" s="21" t="str">
        <f t="shared" si="4"/>
        <v/>
      </c>
    </row>
    <row r="77" spans="1:6" x14ac:dyDescent="0.2">
      <c r="A77" s="19">
        <v>11</v>
      </c>
      <c r="B77" s="181" t="s">
        <v>10</v>
      </c>
      <c r="C77" s="182"/>
      <c r="D77" s="14">
        <f t="shared" si="5"/>
        <v>24768</v>
      </c>
      <c r="E77" s="17">
        <f>IF(F3="1",SUMIF(Data!A:A,'20'!$A$2,Data!EI:EI),0)</f>
        <v>75928</v>
      </c>
      <c r="F77" s="21">
        <f t="shared" si="4"/>
        <v>3.07</v>
      </c>
    </row>
    <row r="78" spans="1:6" ht="14.25" customHeight="1" x14ac:dyDescent="0.2">
      <c r="A78" s="19">
        <v>12</v>
      </c>
      <c r="B78" s="181" t="s">
        <v>11</v>
      </c>
      <c r="C78" s="182"/>
      <c r="D78" s="14">
        <f t="shared" si="5"/>
        <v>199008</v>
      </c>
      <c r="E78" s="17">
        <f>IF(F3="1",SUMIF(Data!A:A,'20'!$A$2,Data!EJ:EJ),0)</f>
        <v>362234</v>
      </c>
      <c r="F78" s="21">
        <f t="shared" si="4"/>
        <v>1.82</v>
      </c>
    </row>
    <row r="79" spans="1:6" x14ac:dyDescent="0.2">
      <c r="A79" s="19">
        <v>13</v>
      </c>
      <c r="B79" s="181" t="s">
        <v>12</v>
      </c>
      <c r="C79" s="182"/>
      <c r="D79" s="14">
        <f t="shared" si="5"/>
        <v>29624</v>
      </c>
      <c r="E79" s="17">
        <f>IF(F3="1",SUMIF(Data!A:A,'20'!$A$2,Data!EK:EK),0)</f>
        <v>68293</v>
      </c>
      <c r="F79" s="21">
        <f t="shared" si="4"/>
        <v>2.31</v>
      </c>
    </row>
    <row r="80" spans="1:6" ht="14.25" customHeight="1" x14ac:dyDescent="0.2">
      <c r="A80" s="19">
        <v>14</v>
      </c>
      <c r="B80" s="181" t="s">
        <v>464</v>
      </c>
      <c r="C80" s="182"/>
      <c r="D80" s="14">
        <f t="shared" si="5"/>
        <v>0</v>
      </c>
      <c r="E80" s="17">
        <f>IF(F3="1",SUMIF(Data!A:A,'20'!$A$2,Data!EL:EL),0)</f>
        <v>0</v>
      </c>
      <c r="F80" s="21" t="str">
        <f t="shared" si="4"/>
        <v/>
      </c>
    </row>
    <row r="81" spans="1:6" x14ac:dyDescent="0.2">
      <c r="A81" s="19">
        <v>15</v>
      </c>
      <c r="B81" s="181" t="s">
        <v>13</v>
      </c>
      <c r="C81" s="182"/>
      <c r="D81" s="14">
        <f t="shared" si="5"/>
        <v>0</v>
      </c>
      <c r="E81" s="17">
        <f>IF(F3="1",SUMIF(Data!A:A,'20'!$A$2,Data!EM:EM),0)</f>
        <v>0</v>
      </c>
      <c r="F81" s="21" t="str">
        <f t="shared" si="4"/>
        <v/>
      </c>
    </row>
    <row r="82" spans="1:6" x14ac:dyDescent="0.2">
      <c r="A82" s="19">
        <v>16</v>
      </c>
      <c r="B82" s="181" t="s">
        <v>14</v>
      </c>
      <c r="C82" s="182"/>
      <c r="D82" s="14">
        <f t="shared" si="5"/>
        <v>75170</v>
      </c>
      <c r="E82" s="17">
        <f>IF(F3="1",SUMIF(Data!A:A,'20'!$A$2,Data!EN:EN),0)</f>
        <v>107952</v>
      </c>
      <c r="F82" s="21">
        <f t="shared" si="4"/>
        <v>1.44</v>
      </c>
    </row>
    <row r="83" spans="1:6" x14ac:dyDescent="0.2">
      <c r="A83" s="19">
        <v>17</v>
      </c>
      <c r="B83" s="181" t="s">
        <v>15</v>
      </c>
      <c r="C83" s="182"/>
      <c r="D83" s="14">
        <f t="shared" si="5"/>
        <v>0</v>
      </c>
      <c r="E83" s="17">
        <f>IF(F3="1",SUMIF(Data!A:A,'20'!$A$2,Data!EO:EO),0)</f>
        <v>0</v>
      </c>
      <c r="F83" s="21" t="str">
        <f t="shared" si="4"/>
        <v/>
      </c>
    </row>
    <row r="84" spans="1:6" x14ac:dyDescent="0.2">
      <c r="A84" s="19">
        <v>18</v>
      </c>
      <c r="B84" s="181" t="s">
        <v>16</v>
      </c>
      <c r="C84" s="182"/>
      <c r="D84" s="14">
        <f t="shared" si="5"/>
        <v>100064</v>
      </c>
      <c r="E84" s="17">
        <f>IF(F3="1",SUMIF(Data!A:A,'20'!$A$2,Data!EP:EP),0)</f>
        <v>373907</v>
      </c>
      <c r="F84" s="21">
        <f t="shared" si="4"/>
        <v>3.74</v>
      </c>
    </row>
    <row r="85" spans="1:6" x14ac:dyDescent="0.2">
      <c r="A85" s="19">
        <v>19</v>
      </c>
      <c r="B85" s="181" t="s">
        <v>17</v>
      </c>
      <c r="C85" s="182"/>
      <c r="D85" s="14">
        <f t="shared" si="5"/>
        <v>142624</v>
      </c>
      <c r="E85" s="17">
        <f>IF(F3="1",SUMIF(Data!A:A,'20'!$A$2,Data!EQ:EQ),0)</f>
        <v>196846</v>
      </c>
      <c r="F85" s="21">
        <f t="shared" si="4"/>
        <v>1.38</v>
      </c>
    </row>
    <row r="86" spans="1:6" x14ac:dyDescent="0.2">
      <c r="A86" s="19">
        <v>20</v>
      </c>
      <c r="B86" s="181" t="s">
        <v>18</v>
      </c>
      <c r="C86" s="182"/>
      <c r="D86" s="14">
        <f t="shared" si="5"/>
        <v>39124</v>
      </c>
      <c r="E86" s="17">
        <f>IF(F3="1",SUMIF(Data!A:A,'20'!$A$2,Data!ER:ER),0)</f>
        <v>125680</v>
      </c>
      <c r="F86" s="21">
        <f t="shared" si="4"/>
        <v>3.21</v>
      </c>
    </row>
    <row r="87" spans="1:6" ht="14.25" customHeight="1" x14ac:dyDescent="0.2">
      <c r="A87" s="19">
        <v>21</v>
      </c>
      <c r="B87" s="181" t="s">
        <v>461</v>
      </c>
      <c r="C87" s="182"/>
      <c r="D87" s="14">
        <f t="shared" si="5"/>
        <v>288</v>
      </c>
      <c r="E87" s="17">
        <f>IF(F3="1",SUMIF(Data!A:A,'20'!$A$2,Data!ES:ES),0)</f>
        <v>525</v>
      </c>
      <c r="F87" s="21">
        <f t="shared" si="4"/>
        <v>1.82</v>
      </c>
    </row>
    <row r="88" spans="1:6" x14ac:dyDescent="0.2">
      <c r="A88" s="19">
        <v>22</v>
      </c>
      <c r="B88" s="181" t="s">
        <v>19</v>
      </c>
      <c r="C88" s="182"/>
      <c r="D88" s="14">
        <f t="shared" si="5"/>
        <v>112</v>
      </c>
      <c r="E88" s="17">
        <f>IF(F3="1",SUMIF(Data!A:A,'20'!$A$2,Data!ET:ET),0)</f>
        <v>525</v>
      </c>
      <c r="F88" s="21">
        <f t="shared" si="4"/>
        <v>4.6900000000000004</v>
      </c>
    </row>
    <row r="89" spans="1:6" x14ac:dyDescent="0.2">
      <c r="A89" s="19">
        <v>23</v>
      </c>
      <c r="B89" s="181" t="s">
        <v>20</v>
      </c>
      <c r="C89" s="182"/>
      <c r="D89" s="14">
        <f t="shared" si="5"/>
        <v>50048</v>
      </c>
      <c r="E89" s="17">
        <f>IF(F3="1",SUMIF(Data!A:A,'20'!$A$2,Data!EU:EU),0)</f>
        <v>229460</v>
      </c>
      <c r="F89" s="21">
        <f t="shared" si="4"/>
        <v>4.58</v>
      </c>
    </row>
    <row r="90" spans="1:6" x14ac:dyDescent="0.2">
      <c r="A90" s="19">
        <v>24</v>
      </c>
      <c r="B90" s="181" t="s">
        <v>21</v>
      </c>
      <c r="C90" s="182"/>
      <c r="D90" s="14">
        <f t="shared" si="5"/>
        <v>64154</v>
      </c>
      <c r="E90" s="17">
        <f>IF(F3="1",SUMIF(Data!A:A,'20'!$A$2,Data!EV:EV),0)</f>
        <v>171703</v>
      </c>
      <c r="F90" s="21">
        <f t="shared" si="4"/>
        <v>2.68</v>
      </c>
    </row>
    <row r="91" spans="1:6" x14ac:dyDescent="0.2">
      <c r="A91" s="19">
        <v>25</v>
      </c>
      <c r="B91" s="181" t="s">
        <v>22</v>
      </c>
      <c r="C91" s="182"/>
      <c r="D91" s="14">
        <f t="shared" si="5"/>
        <v>151728</v>
      </c>
      <c r="E91" s="17">
        <f>IF(F3="1",SUMIF(Data!A:A,'20'!$A$2,Data!EW:EW),0)</f>
        <v>333503</v>
      </c>
      <c r="F91" s="21">
        <f t="shared" si="4"/>
        <v>2.2000000000000002</v>
      </c>
    </row>
    <row r="92" spans="1:6" x14ac:dyDescent="0.2">
      <c r="A92" s="19">
        <v>26</v>
      </c>
      <c r="B92" s="181" t="s">
        <v>23</v>
      </c>
      <c r="C92" s="182"/>
      <c r="D92" s="14">
        <f t="shared" si="5"/>
        <v>80016</v>
      </c>
      <c r="E92" s="17">
        <f>IF(F3="1",SUMIF(Data!A:A,'20'!$A$2,Data!EX:EX),0)</f>
        <v>224534</v>
      </c>
      <c r="F92" s="21">
        <f t="shared" si="4"/>
        <v>2.81</v>
      </c>
    </row>
    <row r="93" spans="1:6" x14ac:dyDescent="0.2">
      <c r="A93" s="19">
        <v>28</v>
      </c>
      <c r="B93" s="181" t="s">
        <v>24</v>
      </c>
      <c r="C93" s="182"/>
      <c r="D93" s="14">
        <f t="shared" si="5"/>
        <v>0</v>
      </c>
      <c r="E93" s="17">
        <f>IF(F3="1",SUMIF(Data!A:A,'20'!$A$2,Data!EZ:EZ),0)</f>
        <v>0</v>
      </c>
      <c r="F93" s="21" t="str">
        <f t="shared" si="4"/>
        <v/>
      </c>
    </row>
    <row r="94" spans="1:6" ht="15.75" customHeight="1" thickBot="1" x14ac:dyDescent="0.25">
      <c r="A94" s="22">
        <v>29</v>
      </c>
      <c r="B94" s="183" t="s">
        <v>25</v>
      </c>
      <c r="C94" s="184"/>
      <c r="D94" s="23">
        <f t="shared" si="5"/>
        <v>0</v>
      </c>
      <c r="E94" s="24">
        <f>IF(F3="1",SUMIF(Data!A:A,'20'!$A$2,Data!FA:FA),0)</f>
        <v>0</v>
      </c>
      <c r="F94" s="25" t="str">
        <f t="shared" si="4"/>
        <v/>
      </c>
    </row>
    <row r="95" spans="1:6" x14ac:dyDescent="0.2">
      <c r="B95" s="30" t="s">
        <v>35</v>
      </c>
      <c r="C95" s="30"/>
      <c r="D95" s="59">
        <f>SUM(D67:D94)</f>
        <v>1456603</v>
      </c>
      <c r="E95" s="31">
        <f>SUM(E67:E94)</f>
        <v>3395631</v>
      </c>
      <c r="F95" s="32">
        <f t="shared" si="4"/>
        <v>2.33</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IF(F3="1",SUMIF(Data!A:A,'20'!$A$2,Data!AH:AH),0)</f>
        <v>1311068</v>
      </c>
      <c r="F98" s="20">
        <f>IF(OR(E98=0,E98=0),"",ROUND(E98/$D$105,2))</f>
        <v>0.9</v>
      </c>
    </row>
    <row r="99" spans="2:6" x14ac:dyDescent="0.2">
      <c r="B99" s="187" t="s">
        <v>31</v>
      </c>
      <c r="C99" s="188"/>
      <c r="D99" s="36"/>
      <c r="E99" s="17">
        <f>IF(F3="1",SUMIF(Data!A:A,'20'!$A$2,Data!AI:AI),0)</f>
        <v>812115</v>
      </c>
      <c r="F99" s="21">
        <f t="shared" ref="F99:F104" si="6">IF(OR(E99=0,E99=0),"",ROUND(E99/$D$105,2))</f>
        <v>0.56000000000000005</v>
      </c>
    </row>
    <row r="100" spans="2:6" x14ac:dyDescent="0.2">
      <c r="B100" s="187" t="s">
        <v>1078</v>
      </c>
      <c r="C100" s="188"/>
      <c r="D100" s="36"/>
      <c r="E100" s="17">
        <f>IF(F3="1",SUMIF(Data!A:A,'20'!$A$2,Data!AJ:AJ),0)</f>
        <v>609707</v>
      </c>
      <c r="F100" s="21">
        <f t="shared" si="6"/>
        <v>0.42</v>
      </c>
    </row>
    <row r="101" spans="2:6" x14ac:dyDescent="0.2">
      <c r="B101" s="187" t="s">
        <v>1079</v>
      </c>
      <c r="C101" s="188"/>
      <c r="D101" s="36"/>
      <c r="E101" s="17">
        <f>IF(F3="1",SUMIF(Data!A:A,'20'!$A$2,Data!AK:AK),0)</f>
        <v>361228</v>
      </c>
      <c r="F101" s="21">
        <f t="shared" si="6"/>
        <v>0.25</v>
      </c>
    </row>
    <row r="102" spans="2:6" x14ac:dyDescent="0.2">
      <c r="B102" s="187" t="s">
        <v>1080</v>
      </c>
      <c r="C102" s="188"/>
      <c r="D102" s="36"/>
      <c r="E102" s="17">
        <f>IF(F3="1",SUMIF(Data!A:A,'20'!$A$2,Data!AL:AL),0)</f>
        <v>0</v>
      </c>
      <c r="F102" s="21" t="str">
        <f t="shared" si="6"/>
        <v/>
      </c>
    </row>
    <row r="103" spans="2:6" x14ac:dyDescent="0.2">
      <c r="B103" s="189" t="s">
        <v>34</v>
      </c>
      <c r="C103" s="190"/>
      <c r="D103" s="36"/>
      <c r="E103" s="17">
        <f>IF(F3="1",SUMIF(Data!A:A,'20'!$A$2,Data!AM:AM),0)</f>
        <v>0</v>
      </c>
      <c r="F103" s="21" t="str">
        <f t="shared" si="6"/>
        <v/>
      </c>
    </row>
    <row r="104" spans="2:6" ht="15.75" customHeight="1" thickBot="1" x14ac:dyDescent="0.25">
      <c r="B104" s="179" t="s">
        <v>29</v>
      </c>
      <c r="C104" s="180"/>
      <c r="D104" s="37"/>
      <c r="E104" s="24">
        <f>IF(F3="1",SUMIF(Data!A:A,'20'!$A$2,Data!Q:Q),0)</f>
        <v>103436</v>
      </c>
      <c r="F104" s="25">
        <f t="shared" si="6"/>
        <v>7.0000000000000007E-2</v>
      </c>
    </row>
    <row r="105" spans="2:6" x14ac:dyDescent="0.2">
      <c r="B105" s="30" t="s">
        <v>35</v>
      </c>
      <c r="C105" s="30"/>
      <c r="D105" s="34">
        <f>D95</f>
        <v>1456603</v>
      </c>
      <c r="E105" s="31">
        <f>SUM(E98:E104)</f>
        <v>3197554</v>
      </c>
      <c r="F105" s="32">
        <f>IF($D$105=0,"",ROUND(E105/$D$105,2))</f>
        <v>2.2000000000000002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3395631</v>
      </c>
      <c r="D109" s="15">
        <f>IF(F3="1",SUMIF(Data!$A:$A,$A$2,Data!HJ:HJ),0)</f>
        <v>0</v>
      </c>
      <c r="E109" s="15">
        <f>IF(F3="1",SUMIF(Data!$A:$A,$A$2,Data!IN:IN),0)</f>
        <v>0</v>
      </c>
      <c r="F109" s="47">
        <f>SUM(C109:E109)</f>
        <v>3395631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103436</v>
      </c>
      <c r="E117" s="52"/>
      <c r="F117" s="49">
        <f>SUM(C117:E117)</f>
        <v>103436</v>
      </c>
    </row>
    <row r="118" spans="1:6" x14ac:dyDescent="0.2">
      <c r="B118" s="13" t="s">
        <v>35</v>
      </c>
      <c r="C118" s="4">
        <f>SUM(C109:C116)</f>
        <v>3395631</v>
      </c>
      <c r="D118" s="4">
        <f>SUM(D109:D116)</f>
        <v>0</v>
      </c>
      <c r="E118" s="4">
        <f>SUM(E109:E116)</f>
        <v>0</v>
      </c>
      <c r="F118" s="4">
        <f>SUM(F109:F116)</f>
        <v>3395631</v>
      </c>
    </row>
    <row r="119" spans="1:6" ht="15" thickBot="1" x14ac:dyDescent="0.25"/>
    <row r="120" spans="1:6" ht="15" thickBot="1" x14ac:dyDescent="0.25">
      <c r="B120" s="55" t="s">
        <v>934</v>
      </c>
      <c r="C120" s="53"/>
      <c r="D120" s="53"/>
      <c r="E120" s="53">
        <f>IF(F3="1",SUMIF(Data!A:A,'20'!$A$2,Data!AM:AM),0)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441</v>
      </c>
      <c r="B2" s="58" t="str">
        <f>VLOOKUP(A2,Data!A:G,7,0)</f>
        <v>Houston Community College System</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89936</v>
      </c>
      <c r="E5" s="15">
        <f>E36+E67+IFERROR($E$105/$D$105*D5,0)</f>
        <v>870246.23125029798</v>
      </c>
      <c r="F5" s="20">
        <f>IF(OR(D5=0,E5=0),"",ROUND(E5/D5,2))</f>
        <v>9.68</v>
      </c>
    </row>
    <row r="6" spans="1:6" x14ac:dyDescent="0.2">
      <c r="A6" s="19">
        <v>2</v>
      </c>
      <c r="B6" s="181" t="s">
        <v>1</v>
      </c>
      <c r="C6" s="182"/>
      <c r="D6" s="14">
        <f t="shared" ref="D6:D32" si="0">D37</f>
        <v>669834</v>
      </c>
      <c r="E6" s="17">
        <f t="shared" ref="E6:E32" si="1">E37+E68+IFERROR($E$105/$D$105*D6,0)</f>
        <v>4015206.1261932054</v>
      </c>
      <c r="F6" s="21">
        <f t="shared" ref="F6:F33" si="2">IF(OR(D6=0,E6=0),"",ROUND(E6/D6,2))</f>
        <v>5.99</v>
      </c>
    </row>
    <row r="7" spans="1:6" ht="14.25" customHeight="1" x14ac:dyDescent="0.2">
      <c r="A7" s="19">
        <v>3</v>
      </c>
      <c r="B7" s="181" t="s">
        <v>2</v>
      </c>
      <c r="C7" s="182"/>
      <c r="D7" s="14">
        <f t="shared" si="0"/>
        <v>1733024</v>
      </c>
      <c r="E7" s="17">
        <f t="shared" si="1"/>
        <v>13593360.081416968</v>
      </c>
      <c r="F7" s="21">
        <f t="shared" si="2"/>
        <v>7.84</v>
      </c>
    </row>
    <row r="8" spans="1:6" ht="14.25" customHeight="1" x14ac:dyDescent="0.2">
      <c r="A8" s="19">
        <v>4</v>
      </c>
      <c r="B8" s="181" t="s">
        <v>3</v>
      </c>
      <c r="C8" s="182"/>
      <c r="D8" s="14">
        <f t="shared" si="0"/>
        <v>1617525</v>
      </c>
      <c r="E8" s="17">
        <f t="shared" si="1"/>
        <v>12377517.756161474</v>
      </c>
      <c r="F8" s="21">
        <f t="shared" si="2"/>
        <v>7.65</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422204</v>
      </c>
      <c r="E10" s="17">
        <f t="shared" si="1"/>
        <v>6215213.7959304489</v>
      </c>
      <c r="F10" s="21">
        <f t="shared" si="2"/>
        <v>14.72</v>
      </c>
    </row>
    <row r="11" spans="1:6" x14ac:dyDescent="0.2">
      <c r="A11" s="19">
        <v>7</v>
      </c>
      <c r="B11" s="181" t="s">
        <v>6</v>
      </c>
      <c r="C11" s="182"/>
      <c r="D11" s="14">
        <f t="shared" si="0"/>
        <v>606984</v>
      </c>
      <c r="E11" s="17">
        <f t="shared" si="1"/>
        <v>9150777.1105367243</v>
      </c>
      <c r="F11" s="21">
        <f t="shared" si="2"/>
        <v>15.08</v>
      </c>
    </row>
    <row r="12" spans="1:6" x14ac:dyDescent="0.2">
      <c r="A12" s="19">
        <v>8</v>
      </c>
      <c r="B12" s="181" t="s">
        <v>7</v>
      </c>
      <c r="C12" s="182"/>
      <c r="D12" s="14">
        <f t="shared" si="0"/>
        <v>566286</v>
      </c>
      <c r="E12" s="17">
        <f t="shared" si="1"/>
        <v>4261011.5153865665</v>
      </c>
      <c r="F12" s="21">
        <f t="shared" si="2"/>
        <v>7.52</v>
      </c>
    </row>
    <row r="13" spans="1:6" x14ac:dyDescent="0.2">
      <c r="A13" s="19">
        <v>9</v>
      </c>
      <c r="B13" s="181" t="s">
        <v>8</v>
      </c>
      <c r="C13" s="182"/>
      <c r="D13" s="14">
        <f t="shared" si="0"/>
        <v>589497</v>
      </c>
      <c r="E13" s="17">
        <f t="shared" si="1"/>
        <v>4489805.9981137356</v>
      </c>
      <c r="F13" s="21">
        <f t="shared" si="2"/>
        <v>7.62</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331558</v>
      </c>
      <c r="E15" s="17">
        <f t="shared" si="1"/>
        <v>4156080.2755613578</v>
      </c>
      <c r="F15" s="21">
        <f t="shared" si="2"/>
        <v>12.54</v>
      </c>
    </row>
    <row r="16" spans="1:6" ht="14.25" customHeight="1" x14ac:dyDescent="0.2">
      <c r="A16" s="19">
        <v>12</v>
      </c>
      <c r="B16" s="181" t="s">
        <v>11</v>
      </c>
      <c r="C16" s="182"/>
      <c r="D16" s="14">
        <f t="shared" si="0"/>
        <v>3266112</v>
      </c>
      <c r="E16" s="17">
        <f t="shared" si="1"/>
        <v>25272296.546982002</v>
      </c>
      <c r="F16" s="21">
        <f t="shared" si="2"/>
        <v>7.74</v>
      </c>
    </row>
    <row r="17" spans="1:6" x14ac:dyDescent="0.2">
      <c r="A17" s="19">
        <v>13</v>
      </c>
      <c r="B17" s="181" t="s">
        <v>12</v>
      </c>
      <c r="C17" s="182"/>
      <c r="D17" s="14">
        <f t="shared" si="0"/>
        <v>283788</v>
      </c>
      <c r="E17" s="17">
        <f t="shared" si="1"/>
        <v>2207577.1893575387</v>
      </c>
      <c r="F17" s="21">
        <f t="shared" si="2"/>
        <v>7.78</v>
      </c>
    </row>
    <row r="18" spans="1:6" ht="14.25" customHeight="1" x14ac:dyDescent="0.2">
      <c r="A18" s="19">
        <v>14</v>
      </c>
      <c r="B18" s="181" t="s">
        <v>464</v>
      </c>
      <c r="C18" s="182"/>
      <c r="D18" s="14">
        <f t="shared" si="0"/>
        <v>244840</v>
      </c>
      <c r="E18" s="17">
        <f t="shared" si="1"/>
        <v>3354002.6025987696</v>
      </c>
      <c r="F18" s="21">
        <f t="shared" si="2"/>
        <v>13.7</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748333</v>
      </c>
      <c r="E20" s="17">
        <f t="shared" si="1"/>
        <v>6829187.1311736042</v>
      </c>
      <c r="F20" s="21">
        <f t="shared" si="2"/>
        <v>9.1300000000000008</v>
      </c>
    </row>
    <row r="21" spans="1:6" x14ac:dyDescent="0.2">
      <c r="A21" s="19">
        <v>17</v>
      </c>
      <c r="B21" s="181" t="s">
        <v>15</v>
      </c>
      <c r="C21" s="182"/>
      <c r="D21" s="14">
        <f t="shared" si="0"/>
        <v>31968</v>
      </c>
      <c r="E21" s="17">
        <f t="shared" si="1"/>
        <v>582672.12471768283</v>
      </c>
      <c r="F21" s="21">
        <f t="shared" si="2"/>
        <v>18.23</v>
      </c>
    </row>
    <row r="22" spans="1:6" x14ac:dyDescent="0.2">
      <c r="A22" s="19">
        <v>18</v>
      </c>
      <c r="B22" s="181" t="s">
        <v>16</v>
      </c>
      <c r="C22" s="182"/>
      <c r="D22" s="14">
        <f t="shared" si="0"/>
        <v>113344</v>
      </c>
      <c r="E22" s="17">
        <f t="shared" si="1"/>
        <v>1251844.7434935262</v>
      </c>
      <c r="F22" s="21">
        <f t="shared" si="2"/>
        <v>11.04</v>
      </c>
    </row>
    <row r="23" spans="1:6" x14ac:dyDescent="0.2">
      <c r="A23" s="19">
        <v>19</v>
      </c>
      <c r="B23" s="181" t="s">
        <v>17</v>
      </c>
      <c r="C23" s="182"/>
      <c r="D23" s="14">
        <f t="shared" si="0"/>
        <v>1937920</v>
      </c>
      <c r="E23" s="17">
        <f t="shared" si="1"/>
        <v>14102774.435338214</v>
      </c>
      <c r="F23" s="21">
        <f t="shared" si="2"/>
        <v>7.28</v>
      </c>
    </row>
    <row r="24" spans="1:6" x14ac:dyDescent="0.2">
      <c r="A24" s="19">
        <v>20</v>
      </c>
      <c r="B24" s="181" t="s">
        <v>18</v>
      </c>
      <c r="C24" s="182"/>
      <c r="D24" s="14">
        <f t="shared" si="0"/>
        <v>249710</v>
      </c>
      <c r="E24" s="17">
        <f t="shared" si="1"/>
        <v>2902489.7688079514</v>
      </c>
      <c r="F24" s="21">
        <f t="shared" si="2"/>
        <v>11.62</v>
      </c>
    </row>
    <row r="25" spans="1:6" ht="14.25" customHeight="1" x14ac:dyDescent="0.2">
      <c r="A25" s="19">
        <v>21</v>
      </c>
      <c r="B25" s="181" t="s">
        <v>461</v>
      </c>
      <c r="C25" s="182"/>
      <c r="D25" s="14">
        <f t="shared" si="0"/>
        <v>933340</v>
      </c>
      <c r="E25" s="17">
        <f t="shared" si="1"/>
        <v>9635432.3325826488</v>
      </c>
      <c r="F25" s="21">
        <f t="shared" si="2"/>
        <v>10.32</v>
      </c>
    </row>
    <row r="26" spans="1:6" x14ac:dyDescent="0.2">
      <c r="A26" s="19">
        <v>22</v>
      </c>
      <c r="B26" s="181" t="s">
        <v>19</v>
      </c>
      <c r="C26" s="182"/>
      <c r="D26" s="14">
        <f t="shared" si="0"/>
        <v>37096</v>
      </c>
      <c r="E26" s="17">
        <f t="shared" si="1"/>
        <v>976041.26359256636</v>
      </c>
      <c r="F26" s="21">
        <f t="shared" si="2"/>
        <v>26.31</v>
      </c>
    </row>
    <row r="27" spans="1:6" x14ac:dyDescent="0.2">
      <c r="A27" s="19">
        <v>23</v>
      </c>
      <c r="B27" s="181" t="s">
        <v>20</v>
      </c>
      <c r="C27" s="182"/>
      <c r="D27" s="14">
        <f t="shared" si="0"/>
        <v>43824</v>
      </c>
      <c r="E27" s="17">
        <f t="shared" si="1"/>
        <v>608487.12442529202</v>
      </c>
      <c r="F27" s="21">
        <f t="shared" si="2"/>
        <v>13.88</v>
      </c>
    </row>
    <row r="28" spans="1:6" x14ac:dyDescent="0.2">
      <c r="A28" s="19">
        <v>24</v>
      </c>
      <c r="B28" s="181" t="s">
        <v>21</v>
      </c>
      <c r="C28" s="182"/>
      <c r="D28" s="14">
        <f t="shared" si="0"/>
        <v>310333</v>
      </c>
      <c r="E28" s="17">
        <f t="shared" si="1"/>
        <v>5042828.7452143608</v>
      </c>
      <c r="F28" s="21">
        <f t="shared" si="2"/>
        <v>16.25</v>
      </c>
    </row>
    <row r="29" spans="1:6" x14ac:dyDescent="0.2">
      <c r="A29" s="19">
        <v>25</v>
      </c>
      <c r="B29" s="181" t="s">
        <v>22</v>
      </c>
      <c r="C29" s="182"/>
      <c r="D29" s="14">
        <f t="shared" si="0"/>
        <v>2811464</v>
      </c>
      <c r="E29" s="17">
        <f t="shared" si="1"/>
        <v>20113223.82405141</v>
      </c>
      <c r="F29" s="21">
        <f t="shared" si="2"/>
        <v>7.15</v>
      </c>
    </row>
    <row r="30" spans="1:6" x14ac:dyDescent="0.2">
      <c r="A30" s="19">
        <v>26</v>
      </c>
      <c r="B30" s="181" t="s">
        <v>23</v>
      </c>
      <c r="C30" s="182"/>
      <c r="D30" s="14">
        <f t="shared" si="0"/>
        <v>713225</v>
      </c>
      <c r="E30" s="17">
        <f t="shared" si="1"/>
        <v>7247994.2771136565</v>
      </c>
      <c r="F30" s="21">
        <f t="shared" si="2"/>
        <v>10.16</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18352145</v>
      </c>
      <c r="E33" s="31">
        <f>SUM(E5:E32)</f>
        <v>159256071</v>
      </c>
      <c r="F33" s="32">
        <f t="shared" si="2"/>
        <v>8.68</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IF(F3="1",SUMIF(Data!A:A,'21'!$A$2,Data!CU:CU),0)</f>
        <v>89936</v>
      </c>
      <c r="E36" s="15">
        <f>IF(F3="1",SUMIF(Data!$A:$A,$A$2,Data!IO:IO),0)</f>
        <v>240888</v>
      </c>
      <c r="F36" s="20">
        <f t="shared" ref="F36:F64" si="3">IF(OR(D36=0,E36=0),"",ROUND(E36/D36,2))</f>
        <v>2.68</v>
      </c>
    </row>
    <row r="37" spans="1:6" x14ac:dyDescent="0.2">
      <c r="A37" s="19">
        <v>2</v>
      </c>
      <c r="B37" s="181" t="s">
        <v>1</v>
      </c>
      <c r="C37" s="182"/>
      <c r="D37" s="14">
        <f>IF(F3="1",SUMIF(Data!A:A,'21'!$A$2,Data!CV:CV),0)</f>
        <v>669834</v>
      </c>
      <c r="E37" s="17">
        <f>IF(F3="1",SUMIF(Data!$A:$A,$A$2,Data!IP:IP),0)</f>
        <v>449675</v>
      </c>
      <c r="F37" s="21">
        <f t="shared" si="3"/>
        <v>0.67</v>
      </c>
    </row>
    <row r="38" spans="1:6" ht="14.25" customHeight="1" x14ac:dyDescent="0.2">
      <c r="A38" s="19">
        <v>3</v>
      </c>
      <c r="B38" s="181" t="s">
        <v>2</v>
      </c>
      <c r="C38" s="182"/>
      <c r="D38" s="14">
        <f>IF(F3="1",SUMIF(Data!A:A,'21'!$A$2,Data!CW:CW),0)</f>
        <v>1733024</v>
      </c>
      <c r="E38" s="17">
        <f>IF($F$3="1",SUMIF(Data!$A:$A,$A$2,Data!IQ:IQ),0)</f>
        <v>1267788</v>
      </c>
      <c r="F38" s="21">
        <f t="shared" si="3"/>
        <v>0.73</v>
      </c>
    </row>
    <row r="39" spans="1:6" ht="14.25" customHeight="1" x14ac:dyDescent="0.2">
      <c r="A39" s="19">
        <v>4</v>
      </c>
      <c r="B39" s="181" t="s">
        <v>3</v>
      </c>
      <c r="C39" s="182"/>
      <c r="D39" s="14">
        <f>IF(F3="1",SUMIF(Data!A:A,'21'!$A$2,Data!CX:CX),0)</f>
        <v>1617525</v>
      </c>
      <c r="E39" s="17">
        <f>IF($F$3="1",SUMIF(Data!$A:$A,$A$2,Data!IR:IR),0)</f>
        <v>758345</v>
      </c>
      <c r="F39" s="21">
        <f t="shared" si="3"/>
        <v>0.47</v>
      </c>
    </row>
    <row r="40" spans="1:6" x14ac:dyDescent="0.2">
      <c r="A40" s="19">
        <v>5</v>
      </c>
      <c r="B40" s="181" t="s">
        <v>4</v>
      </c>
      <c r="C40" s="182"/>
      <c r="D40" s="14">
        <f>IF(F3="1",SUMIF(Data!A:A,'21'!$A$2,Data!CY:CY),0)</f>
        <v>0</v>
      </c>
      <c r="E40" s="17">
        <f>IF($F$3="1",SUMIF(Data!$A:$A,$A$2,Data!IS:IS),0)</f>
        <v>0</v>
      </c>
      <c r="F40" s="21" t="str">
        <f t="shared" si="3"/>
        <v/>
      </c>
    </row>
    <row r="41" spans="1:6" x14ac:dyDescent="0.2">
      <c r="A41" s="19">
        <v>6</v>
      </c>
      <c r="B41" s="181" t="s">
        <v>5</v>
      </c>
      <c r="C41" s="182"/>
      <c r="D41" s="14">
        <f>IF(F3="1",SUMIF(Data!A:A,'21'!$A$2,Data!CZ:CZ),0)</f>
        <v>422204</v>
      </c>
      <c r="E41" s="17">
        <f>IF($F$3="1",SUMIF(Data!$A:$A,$A$2,Data!IT:IT),0)</f>
        <v>3752477</v>
      </c>
      <c r="F41" s="21">
        <f t="shared" si="3"/>
        <v>8.89</v>
      </c>
    </row>
    <row r="42" spans="1:6" x14ac:dyDescent="0.2">
      <c r="A42" s="19">
        <v>7</v>
      </c>
      <c r="B42" s="181" t="s">
        <v>6</v>
      </c>
      <c r="C42" s="182"/>
      <c r="D42" s="14">
        <f>IF(F3="1",SUMIF(Data!A:A,'21'!$A$2,Data!DA:DA),0)</f>
        <v>606984</v>
      </c>
      <c r="E42" s="17">
        <f>IF($F$3="1",SUMIF(Data!$A:$A,$A$2,Data!IU:IU),0)</f>
        <v>3344720</v>
      </c>
      <c r="F42" s="21">
        <f t="shared" si="3"/>
        <v>5.51</v>
      </c>
    </row>
    <row r="43" spans="1:6" x14ac:dyDescent="0.2">
      <c r="A43" s="19">
        <v>8</v>
      </c>
      <c r="B43" s="181" t="s">
        <v>7</v>
      </c>
      <c r="C43" s="182"/>
      <c r="D43" s="14">
        <f>IF(F3="1",SUMIF(Data!A:A,'21'!$A$2,Data!DB:DB),0)</f>
        <v>566286</v>
      </c>
      <c r="E43" s="17">
        <f>IF($F$3="1",SUMIF(Data!$A:$A,$A$2,Data!IV:IV),0)</f>
        <v>851505</v>
      </c>
      <c r="F43" s="21">
        <f t="shared" si="3"/>
        <v>1.5</v>
      </c>
    </row>
    <row r="44" spans="1:6" x14ac:dyDescent="0.2">
      <c r="A44" s="19">
        <v>9</v>
      </c>
      <c r="B44" s="181" t="s">
        <v>8</v>
      </c>
      <c r="C44" s="182"/>
      <c r="D44" s="14">
        <f>IF(F3="1",SUMIF(Data!A:A,'21'!$A$2,Data!DC:DC),0)</f>
        <v>589497</v>
      </c>
      <c r="E44" s="17">
        <f>IF($F$3="1",SUMIF(Data!$A:$A,$A$2,Data!IW:IW),0)</f>
        <v>649128</v>
      </c>
      <c r="F44" s="21">
        <f t="shared" si="3"/>
        <v>1.1000000000000001</v>
      </c>
    </row>
    <row r="45" spans="1:6" x14ac:dyDescent="0.2">
      <c r="A45" s="19">
        <v>10</v>
      </c>
      <c r="B45" s="181" t="s">
        <v>9</v>
      </c>
      <c r="C45" s="182"/>
      <c r="D45" s="14">
        <f>IF(F3="1",SUMIF(Data!A:A,'21'!$A$2,Data!DD:DD),0)</f>
        <v>0</v>
      </c>
      <c r="E45" s="17">
        <f>IF($F$3="1",SUMIF(Data!$A:$A,$A$2,Data!IX:IX),0)</f>
        <v>0</v>
      </c>
      <c r="F45" s="21" t="str">
        <f t="shared" si="3"/>
        <v/>
      </c>
    </row>
    <row r="46" spans="1:6" x14ac:dyDescent="0.2">
      <c r="A46" s="19">
        <v>11</v>
      </c>
      <c r="B46" s="181" t="s">
        <v>10</v>
      </c>
      <c r="C46" s="182"/>
      <c r="D46" s="14">
        <f>IF(F3="1",SUMIF(Data!A:A,'21'!$A$2,Data!DE:DE),0)</f>
        <v>331558</v>
      </c>
      <c r="E46" s="17">
        <f>IF($F$3="1",SUMIF(Data!$A:$A,$A$2,Data!IY:IY),0)</f>
        <v>1049290</v>
      </c>
      <c r="F46" s="21">
        <f t="shared" si="3"/>
        <v>3.16</v>
      </c>
    </row>
    <row r="47" spans="1:6" ht="14.25" customHeight="1" x14ac:dyDescent="0.2">
      <c r="A47" s="19">
        <v>12</v>
      </c>
      <c r="B47" s="181" t="s">
        <v>11</v>
      </c>
      <c r="C47" s="182"/>
      <c r="D47" s="14">
        <f>IF(F3="1",SUMIF(Data!A:A,'21'!$A$2,Data!DF:DF),0)</f>
        <v>3266112</v>
      </c>
      <c r="E47" s="17">
        <f>IF($F$3="1",SUMIF(Data!$A:$A,$A$2,Data!IZ:IZ),0)</f>
        <v>1282565</v>
      </c>
      <c r="F47" s="21">
        <f t="shared" si="3"/>
        <v>0.39</v>
      </c>
    </row>
    <row r="48" spans="1:6" x14ac:dyDescent="0.2">
      <c r="A48" s="19">
        <v>13</v>
      </c>
      <c r="B48" s="181" t="s">
        <v>12</v>
      </c>
      <c r="C48" s="182"/>
      <c r="D48" s="14">
        <f>IF(F3="1",SUMIF(Data!A:A,'21'!$A$2,Data!DG:DG),0)</f>
        <v>283788</v>
      </c>
      <c r="E48" s="17">
        <f>IF($F$3="1",SUMIF(Data!$A:$A,$A$2,Data!JA:JA),0)</f>
        <v>156715</v>
      </c>
      <c r="F48" s="21">
        <f t="shared" si="3"/>
        <v>0.55000000000000004</v>
      </c>
    </row>
    <row r="49" spans="1:6" ht="14.25" customHeight="1" x14ac:dyDescent="0.2">
      <c r="A49" s="19">
        <v>14</v>
      </c>
      <c r="B49" s="181" t="s">
        <v>464</v>
      </c>
      <c r="C49" s="182"/>
      <c r="D49" s="14">
        <f>IF(F3="1",SUMIF(Data!A:A,'21'!$A$2,Data!DH:DH),0)</f>
        <v>244840</v>
      </c>
      <c r="E49" s="17">
        <f>IF($F$3="1",SUMIF(Data!$A:$A,$A$2,Data!JB:JB),0)</f>
        <v>473272</v>
      </c>
      <c r="F49" s="21">
        <f t="shared" si="3"/>
        <v>1.93</v>
      </c>
    </row>
    <row r="50" spans="1:6" x14ac:dyDescent="0.2">
      <c r="A50" s="19">
        <v>15</v>
      </c>
      <c r="B50" s="181" t="s">
        <v>13</v>
      </c>
      <c r="C50" s="182"/>
      <c r="D50" s="14">
        <f>IF(F3="1",SUMIF(Data!A:A,'21'!$A$2,Data!DI:DI),0)</f>
        <v>0</v>
      </c>
      <c r="E50" s="17">
        <f>IF($F$3="1",SUMIF(Data!$A:$A,$A$2,Data!JC:JC),0)</f>
        <v>0</v>
      </c>
      <c r="F50" s="21" t="str">
        <f t="shared" si="3"/>
        <v/>
      </c>
    </row>
    <row r="51" spans="1:6" x14ac:dyDescent="0.2">
      <c r="A51" s="19">
        <v>16</v>
      </c>
      <c r="B51" s="181" t="s">
        <v>14</v>
      </c>
      <c r="C51" s="182"/>
      <c r="D51" s="14">
        <f>IF(F3="1",SUMIF(Data!A:A,'21'!$A$2,Data!DJ:DJ),0)</f>
        <v>748333</v>
      </c>
      <c r="E51" s="17">
        <f>IF($F$3="1",SUMIF(Data!$A:$A,$A$2,Data!JD:JD),0)</f>
        <v>548212</v>
      </c>
      <c r="F51" s="21">
        <f t="shared" si="3"/>
        <v>0.73</v>
      </c>
    </row>
    <row r="52" spans="1:6" x14ac:dyDescent="0.2">
      <c r="A52" s="19">
        <v>17</v>
      </c>
      <c r="B52" s="181" t="s">
        <v>15</v>
      </c>
      <c r="C52" s="182"/>
      <c r="D52" s="14">
        <f>IF(F3="1",SUMIF(Data!A:A,'21'!$A$2,Data!DK:DK),0)</f>
        <v>31968</v>
      </c>
      <c r="E52" s="17">
        <f>IF($F$3="1",SUMIF(Data!$A:$A,$A$2,Data!JE:JE),0)</f>
        <v>72374</v>
      </c>
      <c r="F52" s="21">
        <f t="shared" si="3"/>
        <v>2.2599999999999998</v>
      </c>
    </row>
    <row r="53" spans="1:6" x14ac:dyDescent="0.2">
      <c r="A53" s="19">
        <v>18</v>
      </c>
      <c r="B53" s="181" t="s">
        <v>16</v>
      </c>
      <c r="C53" s="182"/>
      <c r="D53" s="14">
        <f>IF(F3="1",SUMIF(Data!A:A,'21'!$A$2,Data!DL:DL),0)</f>
        <v>113344</v>
      </c>
      <c r="E53" s="17">
        <f>IF($F$3="1",SUMIF(Data!$A:$A,$A$2,Data!JF:JF),0)</f>
        <v>108316</v>
      </c>
      <c r="F53" s="21">
        <f t="shared" si="3"/>
        <v>0.96</v>
      </c>
    </row>
    <row r="54" spans="1:6" x14ac:dyDescent="0.2">
      <c r="A54" s="19">
        <v>19</v>
      </c>
      <c r="B54" s="181" t="s">
        <v>17</v>
      </c>
      <c r="C54" s="182"/>
      <c r="D54" s="14">
        <f>IF(F3="1",SUMIF(Data!A:A,'21'!$A$2,Data!DM:DM),0)</f>
        <v>1937920</v>
      </c>
      <c r="E54" s="17">
        <f>IF($F$3="1",SUMIF(Data!$A:$A,$A$2,Data!JG:JG),0)</f>
        <v>536069</v>
      </c>
      <c r="F54" s="21">
        <f t="shared" si="3"/>
        <v>0.28000000000000003</v>
      </c>
    </row>
    <row r="55" spans="1:6" x14ac:dyDescent="0.2">
      <c r="A55" s="19">
        <v>20</v>
      </c>
      <c r="B55" s="181" t="s">
        <v>18</v>
      </c>
      <c r="C55" s="182"/>
      <c r="D55" s="14">
        <f>IF(F3="1",SUMIF(Data!A:A,'21'!$A$2,Data!DN:DN),0)</f>
        <v>249710</v>
      </c>
      <c r="E55" s="17">
        <f>IF($F$3="1",SUMIF(Data!$A:$A,$A$2,Data!JH:JH),0)</f>
        <v>608470</v>
      </c>
      <c r="F55" s="21">
        <f t="shared" si="3"/>
        <v>2.44</v>
      </c>
    </row>
    <row r="56" spans="1:6" ht="14.25" customHeight="1" x14ac:dyDescent="0.2">
      <c r="A56" s="19">
        <v>21</v>
      </c>
      <c r="B56" s="181" t="s">
        <v>461</v>
      </c>
      <c r="C56" s="182"/>
      <c r="D56" s="14">
        <f>IF(F3="1",SUMIF(Data!A:A,'21'!$A$2,Data!DO:DO),0)</f>
        <v>933340</v>
      </c>
      <c r="E56" s="17">
        <f>IF($F$3="1",SUMIF(Data!$A:$A,$A$2,Data!JI:JI),0)</f>
        <v>5679661</v>
      </c>
      <c r="F56" s="21">
        <f t="shared" si="3"/>
        <v>6.09</v>
      </c>
    </row>
    <row r="57" spans="1:6" x14ac:dyDescent="0.2">
      <c r="A57" s="19">
        <v>22</v>
      </c>
      <c r="B57" s="181" t="s">
        <v>19</v>
      </c>
      <c r="C57" s="182"/>
      <c r="D57" s="14">
        <f>IF(F3="1",SUMIF(Data!A:A,'21'!$A$2,Data!DP:DP),0)</f>
        <v>37096</v>
      </c>
      <c r="E57" s="17">
        <f>IF($F$3="1",SUMIF(Data!$A:$A,$A$2,Data!JJ:JJ),0)</f>
        <v>131403</v>
      </c>
      <c r="F57" s="21">
        <f t="shared" si="3"/>
        <v>3.54</v>
      </c>
    </row>
    <row r="58" spans="1:6" x14ac:dyDescent="0.2">
      <c r="A58" s="19">
        <v>23</v>
      </c>
      <c r="B58" s="181" t="s">
        <v>20</v>
      </c>
      <c r="C58" s="182"/>
      <c r="D58" s="14">
        <f>IF(F3="1",SUMIF(Data!A:A,'21'!$A$2,Data!DQ:DQ),0)</f>
        <v>43824</v>
      </c>
      <c r="E58" s="17">
        <f>IF($F$3="1",SUMIF(Data!$A:$A,$A$2,Data!JK:JK),0)</f>
        <v>172672</v>
      </c>
      <c r="F58" s="21">
        <f t="shared" si="3"/>
        <v>3.94</v>
      </c>
    </row>
    <row r="59" spans="1:6" x14ac:dyDescent="0.2">
      <c r="A59" s="19">
        <v>24</v>
      </c>
      <c r="B59" s="181" t="s">
        <v>21</v>
      </c>
      <c r="C59" s="182"/>
      <c r="D59" s="14">
        <f>IF(F3="1",SUMIF(Data!A:A,'21'!$A$2,Data!DR:DR),0)</f>
        <v>310333</v>
      </c>
      <c r="E59" s="17">
        <f>IF($F$3="1",SUMIF(Data!$A:$A,$A$2,Data!JL:JL),0)</f>
        <v>946365</v>
      </c>
      <c r="F59" s="21">
        <f t="shared" si="3"/>
        <v>3.05</v>
      </c>
    </row>
    <row r="60" spans="1:6" x14ac:dyDescent="0.2">
      <c r="A60" s="19">
        <v>25</v>
      </c>
      <c r="B60" s="181" t="s">
        <v>22</v>
      </c>
      <c r="C60" s="182"/>
      <c r="D60" s="14">
        <f>IF(F3="1",SUMIF(Data!A:A,'21'!$A$2,Data!DS:DS),0)</f>
        <v>2811464</v>
      </c>
      <c r="E60" s="17">
        <f>IF($F$3="1",SUMIF(Data!$A:$A,$A$2,Data!JM:JM),0)</f>
        <v>457812</v>
      </c>
      <c r="F60" s="21">
        <f t="shared" si="3"/>
        <v>0.16</v>
      </c>
    </row>
    <row r="61" spans="1:6" x14ac:dyDescent="0.2">
      <c r="A61" s="19">
        <v>26</v>
      </c>
      <c r="B61" s="181" t="s">
        <v>23</v>
      </c>
      <c r="C61" s="182"/>
      <c r="D61" s="14">
        <f>IF(F3="1",SUMIF(Data!A:A,'21'!$A$2,Data!DT:DT),0)</f>
        <v>713225</v>
      </c>
      <c r="E61" s="17">
        <f>IF($F$3="1",SUMIF(Data!$A:$A,$A$2,Data!JN:JN),0)</f>
        <v>976835</v>
      </c>
      <c r="F61" s="21">
        <f t="shared" si="3"/>
        <v>1.37</v>
      </c>
    </row>
    <row r="62" spans="1:6" x14ac:dyDescent="0.2">
      <c r="A62" s="19">
        <v>28</v>
      </c>
      <c r="B62" s="181" t="s">
        <v>24</v>
      </c>
      <c r="C62" s="182"/>
      <c r="D62" s="14">
        <f>IF(F3="1",SUMIF(Data!A:A,'21'!$A$2,Data!DV:DV),0)</f>
        <v>0</v>
      </c>
      <c r="E62" s="17">
        <f>IF($F$3="1",SUMIF(Data!$A:$A,$A$2,Data!JP:JP),0)</f>
        <v>0</v>
      </c>
      <c r="F62" s="21" t="str">
        <f t="shared" si="3"/>
        <v/>
      </c>
    </row>
    <row r="63" spans="1:6" ht="15.75" customHeight="1" thickBot="1" x14ac:dyDescent="0.25">
      <c r="A63" s="22">
        <v>29</v>
      </c>
      <c r="B63" s="183" t="s">
        <v>25</v>
      </c>
      <c r="C63" s="184"/>
      <c r="D63" s="23">
        <f>IF(F3="1",SUMIF(Data!A:A,'21'!$A$2,Data!DW:DW),0)</f>
        <v>0</v>
      </c>
      <c r="E63" s="24">
        <f>IF($F$3="1",SUMIF(Data!$A:$A,$A$2,Data!JQ:JQ),0)</f>
        <v>0</v>
      </c>
      <c r="F63" s="25" t="str">
        <f t="shared" si="3"/>
        <v/>
      </c>
    </row>
    <row r="64" spans="1:6" x14ac:dyDescent="0.2">
      <c r="B64" s="30" t="s">
        <v>35</v>
      </c>
      <c r="C64" s="30"/>
      <c r="D64" s="59">
        <f>SUM(D36:D63)</f>
        <v>18352145</v>
      </c>
      <c r="E64" s="31">
        <f>SUM(E36:E63)</f>
        <v>24514557</v>
      </c>
      <c r="F64" s="32">
        <f t="shared" si="3"/>
        <v>1.34</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89936</v>
      </c>
      <c r="E67" s="15">
        <f>IF(F3="1",SUMIF(Data!A:A,'21'!$A$2,Data!DY:DY),0)</f>
        <v>249057</v>
      </c>
      <c r="F67" s="20">
        <f t="shared" ref="F67:F95" si="4">IF(OR(D67=0,E67=0),"",ROUND(E67/D67,2))</f>
        <v>2.77</v>
      </c>
    </row>
    <row r="68" spans="1:6" x14ac:dyDescent="0.2">
      <c r="A68" s="19">
        <v>2</v>
      </c>
      <c r="B68" s="181" t="s">
        <v>1</v>
      </c>
      <c r="C68" s="182"/>
      <c r="D68" s="14">
        <f t="shared" ref="D68:D94" si="5">D37</f>
        <v>669834</v>
      </c>
      <c r="E68" s="17">
        <f>IF(F3="1",SUMIF(Data!A:A,'21'!$A$2,Data!DZ:DZ),0)</f>
        <v>733087</v>
      </c>
      <c r="F68" s="21">
        <f t="shared" si="4"/>
        <v>1.0900000000000001</v>
      </c>
    </row>
    <row r="69" spans="1:6" ht="14.25" customHeight="1" x14ac:dyDescent="0.2">
      <c r="A69" s="19">
        <v>3</v>
      </c>
      <c r="B69" s="181" t="s">
        <v>2</v>
      </c>
      <c r="C69" s="182"/>
      <c r="D69" s="14">
        <f t="shared" si="5"/>
        <v>1733024</v>
      </c>
      <c r="E69" s="17">
        <f>IF(F3="1",SUMIF(Data!A:A,'21'!$A$2,Data!EA:EA),0)</f>
        <v>4997348</v>
      </c>
      <c r="F69" s="21">
        <f t="shared" si="4"/>
        <v>2.88</v>
      </c>
    </row>
    <row r="70" spans="1:6" ht="14.25" customHeight="1" x14ac:dyDescent="0.2">
      <c r="A70" s="19">
        <v>4</v>
      </c>
      <c r="B70" s="181" t="s">
        <v>3</v>
      </c>
      <c r="C70" s="182"/>
      <c r="D70" s="14">
        <f t="shared" si="5"/>
        <v>1617525</v>
      </c>
      <c r="E70" s="17">
        <f>IF(F3="1",SUMIF(Data!A:A,'21'!$A$2,Data!EB:EB),0)</f>
        <v>4779345</v>
      </c>
      <c r="F70" s="21">
        <f t="shared" si="4"/>
        <v>2.95</v>
      </c>
    </row>
    <row r="71" spans="1:6" x14ac:dyDescent="0.2">
      <c r="A71" s="19">
        <v>5</v>
      </c>
      <c r="B71" s="181" t="s">
        <v>4</v>
      </c>
      <c r="C71" s="182"/>
      <c r="D71" s="14">
        <f t="shared" si="5"/>
        <v>0</v>
      </c>
      <c r="E71" s="17">
        <f>IF(F3="1",SUMIF(Data!A:A,'21'!$A$2,Data!EC:EC),0)</f>
        <v>0</v>
      </c>
      <c r="F71" s="21" t="str">
        <f t="shared" si="4"/>
        <v/>
      </c>
    </row>
    <row r="72" spans="1:6" x14ac:dyDescent="0.2">
      <c r="A72" s="19">
        <v>6</v>
      </c>
      <c r="B72" s="181" t="s">
        <v>5</v>
      </c>
      <c r="C72" s="182"/>
      <c r="D72" s="14">
        <f t="shared" si="5"/>
        <v>422204</v>
      </c>
      <c r="E72" s="17">
        <f>IF(F3="1",SUMIF(Data!A:A,'21'!$A$2,Data!ED:ED),0)</f>
        <v>677415</v>
      </c>
      <c r="F72" s="21">
        <f t="shared" si="4"/>
        <v>1.6</v>
      </c>
    </row>
    <row r="73" spans="1:6" x14ac:dyDescent="0.2">
      <c r="A73" s="19">
        <v>7</v>
      </c>
      <c r="B73" s="181" t="s">
        <v>6</v>
      </c>
      <c r="C73" s="182"/>
      <c r="D73" s="14">
        <f t="shared" si="5"/>
        <v>606984</v>
      </c>
      <c r="E73" s="17">
        <f>IF(F3="1",SUMIF(Data!A:A,'21'!$A$2,Data!EE:EE),0)</f>
        <v>3239379</v>
      </c>
      <c r="F73" s="21">
        <f t="shared" si="4"/>
        <v>5.34</v>
      </c>
    </row>
    <row r="74" spans="1:6" x14ac:dyDescent="0.2">
      <c r="A74" s="19">
        <v>8</v>
      </c>
      <c r="B74" s="181" t="s">
        <v>7</v>
      </c>
      <c r="C74" s="182"/>
      <c r="D74" s="14">
        <f t="shared" si="5"/>
        <v>566286</v>
      </c>
      <c r="E74" s="17">
        <f>IF(F3="1",SUMIF(Data!A:A,'21'!$A$2,Data!EF:EF),0)</f>
        <v>1014923</v>
      </c>
      <c r="F74" s="21">
        <f t="shared" si="4"/>
        <v>1.79</v>
      </c>
    </row>
    <row r="75" spans="1:6" x14ac:dyDescent="0.2">
      <c r="A75" s="19">
        <v>9</v>
      </c>
      <c r="B75" s="181" t="s">
        <v>8</v>
      </c>
      <c r="C75" s="182"/>
      <c r="D75" s="14">
        <f t="shared" si="5"/>
        <v>589497</v>
      </c>
      <c r="E75" s="17">
        <f>IF(F3="1",SUMIF(Data!A:A,'21'!$A$2,Data!EG:EG),0)</f>
        <v>1347945</v>
      </c>
      <c r="F75" s="21">
        <f t="shared" si="4"/>
        <v>2.29</v>
      </c>
    </row>
    <row r="76" spans="1:6" x14ac:dyDescent="0.2">
      <c r="A76" s="19">
        <v>10</v>
      </c>
      <c r="B76" s="181" t="s">
        <v>9</v>
      </c>
      <c r="C76" s="182"/>
      <c r="D76" s="14">
        <f t="shared" si="5"/>
        <v>0</v>
      </c>
      <c r="E76" s="17">
        <f>IF(F3="1",SUMIF(Data!A:A,'21'!$A$2,Data!EH:EH),0)</f>
        <v>0</v>
      </c>
      <c r="F76" s="21" t="str">
        <f t="shared" si="4"/>
        <v/>
      </c>
    </row>
    <row r="77" spans="1:6" x14ac:dyDescent="0.2">
      <c r="A77" s="19">
        <v>11</v>
      </c>
      <c r="B77" s="181" t="s">
        <v>10</v>
      </c>
      <c r="C77" s="182"/>
      <c r="D77" s="14">
        <f t="shared" si="5"/>
        <v>331558</v>
      </c>
      <c r="E77" s="17">
        <f>IF(F3="1",SUMIF(Data!A:A,'21'!$A$2,Data!EI:EI),0)</f>
        <v>1704772</v>
      </c>
      <c r="F77" s="21">
        <f t="shared" si="4"/>
        <v>5.14</v>
      </c>
    </row>
    <row r="78" spans="1:6" ht="14.25" customHeight="1" x14ac:dyDescent="0.2">
      <c r="A78" s="19">
        <v>12</v>
      </c>
      <c r="B78" s="181" t="s">
        <v>11</v>
      </c>
      <c r="C78" s="182"/>
      <c r="D78" s="14">
        <f t="shared" si="5"/>
        <v>3266112</v>
      </c>
      <c r="E78" s="17">
        <f>IF(F3="1",SUMIF(Data!A:A,'21'!$A$2,Data!EJ:EJ),0)</f>
        <v>10178728</v>
      </c>
      <c r="F78" s="21">
        <f t="shared" si="4"/>
        <v>3.12</v>
      </c>
    </row>
    <row r="79" spans="1:6" x14ac:dyDescent="0.2">
      <c r="A79" s="19">
        <v>13</v>
      </c>
      <c r="B79" s="181" t="s">
        <v>12</v>
      </c>
      <c r="C79" s="182"/>
      <c r="D79" s="14">
        <f t="shared" si="5"/>
        <v>283788</v>
      </c>
      <c r="E79" s="17">
        <f>IF(F3="1",SUMIF(Data!A:A,'21'!$A$2,Data!EK:EK),0)</f>
        <v>850843</v>
      </c>
      <c r="F79" s="21">
        <f t="shared" si="4"/>
        <v>3</v>
      </c>
    </row>
    <row r="80" spans="1:6" ht="14.25" customHeight="1" x14ac:dyDescent="0.2">
      <c r="A80" s="19">
        <v>14</v>
      </c>
      <c r="B80" s="181" t="s">
        <v>464</v>
      </c>
      <c r="C80" s="182"/>
      <c r="D80" s="14">
        <f t="shared" si="5"/>
        <v>244840</v>
      </c>
      <c r="E80" s="17">
        <f>IF(F3="1",SUMIF(Data!A:A,'21'!$A$2,Data!EL:EL),0)</f>
        <v>1845406</v>
      </c>
      <c r="F80" s="21">
        <f t="shared" si="4"/>
        <v>7.54</v>
      </c>
    </row>
    <row r="81" spans="1:6" x14ac:dyDescent="0.2">
      <c r="A81" s="19">
        <v>15</v>
      </c>
      <c r="B81" s="181" t="s">
        <v>13</v>
      </c>
      <c r="C81" s="182"/>
      <c r="D81" s="14">
        <f t="shared" si="5"/>
        <v>0</v>
      </c>
      <c r="E81" s="17">
        <f>IF(F3="1",SUMIF(Data!A:A,'21'!$A$2,Data!EM:EM),0)</f>
        <v>0</v>
      </c>
      <c r="F81" s="21" t="str">
        <f t="shared" si="4"/>
        <v/>
      </c>
    </row>
    <row r="82" spans="1:6" x14ac:dyDescent="0.2">
      <c r="A82" s="19">
        <v>16</v>
      </c>
      <c r="B82" s="181" t="s">
        <v>14</v>
      </c>
      <c r="C82" s="182"/>
      <c r="D82" s="14">
        <f t="shared" si="5"/>
        <v>748333</v>
      </c>
      <c r="E82" s="17">
        <f>IF(F3="1",SUMIF(Data!A:A,'21'!$A$2,Data!EN:EN),0)</f>
        <v>3116592</v>
      </c>
      <c r="F82" s="21">
        <f t="shared" si="4"/>
        <v>4.16</v>
      </c>
    </row>
    <row r="83" spans="1:6" x14ac:dyDescent="0.2">
      <c r="A83" s="19">
        <v>17</v>
      </c>
      <c r="B83" s="181" t="s">
        <v>15</v>
      </c>
      <c r="C83" s="182"/>
      <c r="D83" s="14">
        <f t="shared" si="5"/>
        <v>31968</v>
      </c>
      <c r="E83" s="17">
        <f>IF(F3="1",SUMIF(Data!A:A,'21'!$A$2,Data!EO:EO),0)</f>
        <v>375119</v>
      </c>
      <c r="F83" s="21">
        <f t="shared" si="4"/>
        <v>11.73</v>
      </c>
    </row>
    <row r="84" spans="1:6" x14ac:dyDescent="0.2">
      <c r="A84" s="19">
        <v>18</v>
      </c>
      <c r="B84" s="181" t="s">
        <v>16</v>
      </c>
      <c r="C84" s="182"/>
      <c r="D84" s="14">
        <f t="shared" si="5"/>
        <v>113344</v>
      </c>
      <c r="E84" s="17">
        <f>IF(F3="1",SUMIF(Data!A:A,'21'!$A$2,Data!EP:EP),0)</f>
        <v>664245</v>
      </c>
      <c r="F84" s="21">
        <f t="shared" si="4"/>
        <v>5.86</v>
      </c>
    </row>
    <row r="85" spans="1:6" x14ac:dyDescent="0.2">
      <c r="A85" s="19">
        <v>19</v>
      </c>
      <c r="B85" s="181" t="s">
        <v>17</v>
      </c>
      <c r="C85" s="182"/>
      <c r="D85" s="14">
        <f t="shared" si="5"/>
        <v>1937920</v>
      </c>
      <c r="E85" s="17">
        <f>IF(F3="1",SUMIF(Data!A:A,'21'!$A$2,Data!EQ:EQ),0)</f>
        <v>5372063</v>
      </c>
      <c r="F85" s="21">
        <f t="shared" si="4"/>
        <v>2.77</v>
      </c>
    </row>
    <row r="86" spans="1:6" x14ac:dyDescent="0.2">
      <c r="A86" s="19">
        <v>20</v>
      </c>
      <c r="B86" s="181" t="s">
        <v>18</v>
      </c>
      <c r="C86" s="182"/>
      <c r="D86" s="14">
        <f t="shared" si="5"/>
        <v>249710</v>
      </c>
      <c r="E86" s="17">
        <f>IF(F3="1",SUMIF(Data!A:A,'21'!$A$2,Data!ER:ER),0)</f>
        <v>1238102</v>
      </c>
      <c r="F86" s="21">
        <f t="shared" si="4"/>
        <v>4.96</v>
      </c>
    </row>
    <row r="87" spans="1:6" ht="14.25" customHeight="1" x14ac:dyDescent="0.2">
      <c r="A87" s="19">
        <v>21</v>
      </c>
      <c r="B87" s="181" t="s">
        <v>461</v>
      </c>
      <c r="C87" s="182"/>
      <c r="D87" s="14">
        <f t="shared" si="5"/>
        <v>933340</v>
      </c>
      <c r="E87" s="17">
        <f>IF(F3="1",SUMIF(Data!A:A,'21'!$A$2,Data!ES:ES),0)</f>
        <v>9072</v>
      </c>
      <c r="F87" s="21">
        <f t="shared" si="4"/>
        <v>0.01</v>
      </c>
    </row>
    <row r="88" spans="1:6" x14ac:dyDescent="0.2">
      <c r="A88" s="19">
        <v>22</v>
      </c>
      <c r="B88" s="181" t="s">
        <v>19</v>
      </c>
      <c r="C88" s="182"/>
      <c r="D88" s="14">
        <f t="shared" si="5"/>
        <v>37096</v>
      </c>
      <c r="E88" s="17">
        <f>IF(F3="1",SUMIF(Data!A:A,'21'!$A$2,Data!ET:ET),0)</f>
        <v>687775</v>
      </c>
      <c r="F88" s="21">
        <f t="shared" si="4"/>
        <v>18.54</v>
      </c>
    </row>
    <row r="89" spans="1:6" x14ac:dyDescent="0.2">
      <c r="A89" s="19">
        <v>23</v>
      </c>
      <c r="B89" s="181" t="s">
        <v>20</v>
      </c>
      <c r="C89" s="182"/>
      <c r="D89" s="14">
        <f t="shared" si="5"/>
        <v>43824</v>
      </c>
      <c r="E89" s="17">
        <f>IF(F3="1",SUMIF(Data!A:A,'21'!$A$2,Data!EU:EU),0)</f>
        <v>250502</v>
      </c>
      <c r="F89" s="21">
        <f t="shared" si="4"/>
        <v>5.72</v>
      </c>
    </row>
    <row r="90" spans="1:6" x14ac:dyDescent="0.2">
      <c r="A90" s="19">
        <v>24</v>
      </c>
      <c r="B90" s="181" t="s">
        <v>21</v>
      </c>
      <c r="C90" s="182"/>
      <c r="D90" s="14">
        <f t="shared" si="5"/>
        <v>310333</v>
      </c>
      <c r="E90" s="17">
        <f>IF(F3="1",SUMIF(Data!A:A,'21'!$A$2,Data!EV:EV),0)</f>
        <v>2784197</v>
      </c>
      <c r="F90" s="21">
        <f t="shared" si="4"/>
        <v>8.9700000000000006</v>
      </c>
    </row>
    <row r="91" spans="1:6" x14ac:dyDescent="0.2">
      <c r="A91" s="19">
        <v>25</v>
      </c>
      <c r="B91" s="181" t="s">
        <v>22</v>
      </c>
      <c r="C91" s="182"/>
      <c r="D91" s="14">
        <f t="shared" si="5"/>
        <v>2811464</v>
      </c>
      <c r="E91" s="17">
        <f>IF(F3="1",SUMIF(Data!A:A,'21'!$A$2,Data!EW:EW),0)</f>
        <v>7766922</v>
      </c>
      <c r="F91" s="21">
        <f t="shared" si="4"/>
        <v>2.76</v>
      </c>
    </row>
    <row r="92" spans="1:6" x14ac:dyDescent="0.2">
      <c r="A92" s="19">
        <v>26</v>
      </c>
      <c r="B92" s="181" t="s">
        <v>23</v>
      </c>
      <c r="C92" s="182"/>
      <c r="D92" s="14">
        <f t="shared" si="5"/>
        <v>713225</v>
      </c>
      <c r="E92" s="17">
        <f>IF(F3="1",SUMIF(Data!A:A,'21'!$A$2,Data!EX:EX),0)</f>
        <v>3255233</v>
      </c>
      <c r="F92" s="21">
        <f t="shared" si="4"/>
        <v>4.5599999999999996</v>
      </c>
    </row>
    <row r="93" spans="1:6" x14ac:dyDescent="0.2">
      <c r="A93" s="19">
        <v>28</v>
      </c>
      <c r="B93" s="181" t="s">
        <v>24</v>
      </c>
      <c r="C93" s="182"/>
      <c r="D93" s="14">
        <f t="shared" si="5"/>
        <v>0</v>
      </c>
      <c r="E93" s="17">
        <f>IF(F3="1",SUMIF(Data!A:A,'21'!$A$2,Data!EZ:EZ),0)</f>
        <v>0</v>
      </c>
      <c r="F93" s="21" t="str">
        <f t="shared" si="4"/>
        <v/>
      </c>
    </row>
    <row r="94" spans="1:6" ht="15.75" customHeight="1" thickBot="1" x14ac:dyDescent="0.25">
      <c r="A94" s="22">
        <v>29</v>
      </c>
      <c r="B94" s="183" t="s">
        <v>25</v>
      </c>
      <c r="C94" s="184"/>
      <c r="D94" s="23">
        <f t="shared" si="5"/>
        <v>0</v>
      </c>
      <c r="E94" s="24">
        <f>IF(F3="1",SUMIF(Data!A:A,'21'!$A$2,Data!FA:FA),0)</f>
        <v>0</v>
      </c>
      <c r="F94" s="25" t="str">
        <f t="shared" si="4"/>
        <v/>
      </c>
    </row>
    <row r="95" spans="1:6" x14ac:dyDescent="0.2">
      <c r="B95" s="30" t="s">
        <v>35</v>
      </c>
      <c r="C95" s="30"/>
      <c r="D95" s="59">
        <f>SUM(D67:D94)</f>
        <v>18352145</v>
      </c>
      <c r="E95" s="31">
        <f>SUM(E67:E94)</f>
        <v>57138070</v>
      </c>
      <c r="F95" s="32">
        <f t="shared" si="4"/>
        <v>3.11</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IF(F3="1",SUMIF(Data!A:A,'21'!$A$2,Data!AH:AH),0)</f>
        <v>34434219</v>
      </c>
      <c r="F98" s="20">
        <f>IF(OR(E98=0,E98=0),"",ROUND(E98/$D$105,2))</f>
        <v>1.88</v>
      </c>
    </row>
    <row r="99" spans="2:6" x14ac:dyDescent="0.2">
      <c r="B99" s="187" t="s">
        <v>31</v>
      </c>
      <c r="C99" s="188"/>
      <c r="D99" s="36"/>
      <c r="E99" s="17">
        <f>IF(F3="1",SUMIF(Data!A:A,'21'!$A$2,Data!AI:AI),0)</f>
        <v>19928534</v>
      </c>
      <c r="F99" s="21">
        <f t="shared" ref="F99:F104" si="6">IF(OR(E99=0,E99=0),"",ROUND(E99/$D$105,2))</f>
        <v>1.0900000000000001</v>
      </c>
    </row>
    <row r="100" spans="2:6" x14ac:dyDescent="0.2">
      <c r="B100" s="187" t="s">
        <v>1078</v>
      </c>
      <c r="C100" s="188"/>
      <c r="D100" s="36"/>
      <c r="E100" s="17">
        <f>IF(F3="1",SUMIF(Data!A:A,'21'!$A$2,Data!AJ:AJ),0)</f>
        <v>4135671</v>
      </c>
      <c r="F100" s="21">
        <f t="shared" si="6"/>
        <v>0.23</v>
      </c>
    </row>
    <row r="101" spans="2:6" x14ac:dyDescent="0.2">
      <c r="B101" s="187" t="s">
        <v>1079</v>
      </c>
      <c r="C101" s="188"/>
      <c r="D101" s="36"/>
      <c r="E101" s="17">
        <f>IF(F3="1",SUMIF(Data!A:A,'21'!$A$2,Data!AK:AK),0)</f>
        <v>2721848</v>
      </c>
      <c r="F101" s="21">
        <f t="shared" si="6"/>
        <v>0.15</v>
      </c>
    </row>
    <row r="102" spans="2:6" x14ac:dyDescent="0.2">
      <c r="B102" s="187" t="s">
        <v>1080</v>
      </c>
      <c r="C102" s="188"/>
      <c r="D102" s="36"/>
      <c r="E102" s="17">
        <f>IF(F3="1",SUMIF(Data!A:A,'21'!$A$2,Data!AL:AL),0)</f>
        <v>0</v>
      </c>
      <c r="F102" s="21" t="str">
        <f t="shared" si="6"/>
        <v/>
      </c>
    </row>
    <row r="103" spans="2:6" x14ac:dyDescent="0.2">
      <c r="B103" s="189" t="s">
        <v>34</v>
      </c>
      <c r="C103" s="190"/>
      <c r="D103" s="36"/>
      <c r="E103" s="17">
        <f>IF(F3="1",SUMIF(Data!A:A,'21'!$A$2,Data!AM:AM),0)</f>
        <v>0</v>
      </c>
      <c r="F103" s="21" t="str">
        <f t="shared" si="6"/>
        <v/>
      </c>
    </row>
    <row r="104" spans="2:6" ht="15.75" customHeight="1" thickBot="1" x14ac:dyDescent="0.25">
      <c r="B104" s="179" t="s">
        <v>29</v>
      </c>
      <c r="C104" s="180"/>
      <c r="D104" s="37"/>
      <c r="E104" s="24">
        <f>IF(F3="1",SUMIF(Data!A:A,'21'!$A$2,Data!Q:Q),0)</f>
        <v>16383172</v>
      </c>
      <c r="F104" s="25">
        <f t="shared" si="6"/>
        <v>0.89</v>
      </c>
    </row>
    <row r="105" spans="2:6" x14ac:dyDescent="0.2">
      <c r="B105" s="30" t="s">
        <v>35</v>
      </c>
      <c r="C105" s="30"/>
      <c r="D105" s="34">
        <f>D95</f>
        <v>18352145</v>
      </c>
      <c r="E105" s="31">
        <f>SUM(E98:E104)</f>
        <v>77603444</v>
      </c>
      <c r="F105" s="32">
        <f>IF($D$105=0,"",ROUND(E105/$D$105,2))</f>
        <v>4.2300000000000004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57138070</v>
      </c>
      <c r="D109" s="15">
        <f>IF(F3="1",SUMIF(Data!$A:$A,$A$2,Data!HJ:HJ),0)</f>
        <v>0</v>
      </c>
      <c r="E109" s="15">
        <f>IF(F3="1",SUMIF(Data!$A:$A,$A$2,Data!IN:IN),0)</f>
        <v>0</v>
      </c>
      <c r="F109" s="47">
        <f>SUM(C109:E109)</f>
        <v>57138070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16383172</v>
      </c>
      <c r="E117" s="52"/>
      <c r="F117" s="49">
        <f>SUM(C117:E117)</f>
        <v>16383172</v>
      </c>
    </row>
    <row r="118" spans="1:6" x14ac:dyDescent="0.2">
      <c r="B118" s="13" t="s">
        <v>35</v>
      </c>
      <c r="C118" s="4">
        <f>SUM(C109:C116)</f>
        <v>57138070</v>
      </c>
      <c r="D118" s="4">
        <f>SUM(D109:D116)</f>
        <v>0</v>
      </c>
      <c r="E118" s="4">
        <f>SUM(E109:E116)</f>
        <v>0</v>
      </c>
      <c r="F118" s="4">
        <f>SUM(F109:F116)</f>
        <v>57138070</v>
      </c>
    </row>
    <row r="119" spans="1:6" ht="15" thickBot="1" x14ac:dyDescent="0.25"/>
    <row r="120" spans="1:6" ht="15" thickBot="1" x14ac:dyDescent="0.25">
      <c r="B120" s="55" t="s">
        <v>934</v>
      </c>
      <c r="C120" s="53"/>
      <c r="D120" s="53"/>
      <c r="E120" s="53">
        <f>IF(F3="1",SUMIF(Data!A:A,'21'!$A$2,Data!AM:AM),0)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374</v>
      </c>
      <c r="B2" s="58" t="str">
        <f>VLOOKUP(A2,Data!A:G,7,0)</f>
        <v>Howard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67793</v>
      </c>
      <c r="E5" s="15">
        <f>E36+E67+IFERROR($E$105/$D$105*D5,0)</f>
        <v>422512.70834076835</v>
      </c>
      <c r="F5" s="20">
        <f>IF(OR(D5=0,E5=0),"",ROUND(E5/D5,2))</f>
        <v>6.23</v>
      </c>
    </row>
    <row r="6" spans="1:6" x14ac:dyDescent="0.2">
      <c r="A6" s="19">
        <v>2</v>
      </c>
      <c r="B6" s="181" t="s">
        <v>1</v>
      </c>
      <c r="C6" s="182"/>
      <c r="D6" s="14">
        <f t="shared" ref="D6:D32" si="0">D37</f>
        <v>51669</v>
      </c>
      <c r="E6" s="17">
        <f t="shared" ref="E6:E32" si="1">E37+E68+IFERROR($E$105/$D$105*D6,0)</f>
        <v>313122.6392143608</v>
      </c>
      <c r="F6" s="21">
        <f t="shared" ref="F6:F33" si="2">IF(OR(D6=0,E6=0),"",ROUND(E6/D6,2))</f>
        <v>6.06</v>
      </c>
    </row>
    <row r="7" spans="1:6" ht="14.25" customHeight="1" x14ac:dyDescent="0.2">
      <c r="A7" s="19">
        <v>3</v>
      </c>
      <c r="B7" s="181" t="s">
        <v>2</v>
      </c>
      <c r="C7" s="182"/>
      <c r="D7" s="14">
        <f t="shared" si="0"/>
        <v>105672</v>
      </c>
      <c r="E7" s="17">
        <f t="shared" si="1"/>
        <v>657596.99359499768</v>
      </c>
      <c r="F7" s="21">
        <f t="shared" si="2"/>
        <v>6.22</v>
      </c>
    </row>
    <row r="8" spans="1:6" ht="14.25" customHeight="1" x14ac:dyDescent="0.2">
      <c r="A8" s="19">
        <v>4</v>
      </c>
      <c r="B8" s="181" t="s">
        <v>3</v>
      </c>
      <c r="C8" s="182"/>
      <c r="D8" s="14">
        <f t="shared" si="0"/>
        <v>197833</v>
      </c>
      <c r="E8" s="17">
        <f t="shared" si="1"/>
        <v>875403.4950685061</v>
      </c>
      <c r="F8" s="21">
        <f t="shared" si="2"/>
        <v>4.42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8192</v>
      </c>
      <c r="E10" s="17">
        <f t="shared" si="1"/>
        <v>26911.384165438536</v>
      </c>
      <c r="F10" s="21">
        <f t="shared" si="2"/>
        <v>3.29</v>
      </c>
    </row>
    <row r="11" spans="1:6" x14ac:dyDescent="0.2">
      <c r="A11" s="19">
        <v>7</v>
      </c>
      <c r="B11" s="181" t="s">
        <v>6</v>
      </c>
      <c r="C11" s="182"/>
      <c r="D11" s="14">
        <f t="shared" si="0"/>
        <v>224308</v>
      </c>
      <c r="E11" s="17">
        <f t="shared" si="1"/>
        <v>1265715.4813697739</v>
      </c>
      <c r="F11" s="21">
        <f t="shared" si="2"/>
        <v>5.64</v>
      </c>
    </row>
    <row r="12" spans="1:6" x14ac:dyDescent="0.2">
      <c r="A12" s="19">
        <v>8</v>
      </c>
      <c r="B12" s="181" t="s">
        <v>7</v>
      </c>
      <c r="C12" s="182"/>
      <c r="D12" s="14">
        <f t="shared" si="0"/>
        <v>103422</v>
      </c>
      <c r="E12" s="17">
        <f t="shared" si="1"/>
        <v>622412.36586401169</v>
      </c>
      <c r="F12" s="21">
        <f t="shared" si="2"/>
        <v>6.02</v>
      </c>
    </row>
    <row r="13" spans="1:6" x14ac:dyDescent="0.2">
      <c r="A13" s="19">
        <v>9</v>
      </c>
      <c r="B13" s="181" t="s">
        <v>8</v>
      </c>
      <c r="C13" s="182"/>
      <c r="D13" s="14">
        <f t="shared" si="0"/>
        <v>169222</v>
      </c>
      <c r="E13" s="17">
        <f t="shared" si="1"/>
        <v>661250.85684128897</v>
      </c>
      <c r="F13" s="21">
        <f t="shared" si="2"/>
        <v>3.91</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102699</v>
      </c>
      <c r="E15" s="17">
        <f t="shared" si="1"/>
        <v>579032.75615312159</v>
      </c>
      <c r="F15" s="21">
        <f t="shared" si="2"/>
        <v>5.64</v>
      </c>
    </row>
    <row r="16" spans="1:6" ht="14.25" customHeight="1" x14ac:dyDescent="0.2">
      <c r="A16" s="19">
        <v>12</v>
      </c>
      <c r="B16" s="181" t="s">
        <v>11</v>
      </c>
      <c r="C16" s="182"/>
      <c r="D16" s="14">
        <f t="shared" si="0"/>
        <v>260942</v>
      </c>
      <c r="E16" s="17">
        <f t="shared" si="1"/>
        <v>1404793.8992795241</v>
      </c>
      <c r="F16" s="21">
        <f t="shared" si="2"/>
        <v>5.38</v>
      </c>
    </row>
    <row r="17" spans="1:6" x14ac:dyDescent="0.2">
      <c r="A17" s="19">
        <v>13</v>
      </c>
      <c r="B17" s="181" t="s">
        <v>12</v>
      </c>
      <c r="C17" s="182"/>
      <c r="D17" s="14">
        <f t="shared" si="0"/>
        <v>13056</v>
      </c>
      <c r="E17" s="17">
        <f t="shared" si="1"/>
        <v>54793.018513667666</v>
      </c>
      <c r="F17" s="21">
        <f t="shared" si="2"/>
        <v>4.2</v>
      </c>
    </row>
    <row r="18" spans="1:6" ht="14.25" customHeight="1" x14ac:dyDescent="0.2">
      <c r="A18" s="19">
        <v>14</v>
      </c>
      <c r="B18" s="181" t="s">
        <v>464</v>
      </c>
      <c r="C18" s="182"/>
      <c r="D18" s="14">
        <f t="shared" si="0"/>
        <v>22431</v>
      </c>
      <c r="E18" s="17">
        <f t="shared" si="1"/>
        <v>278711.63405944238</v>
      </c>
      <c r="F18" s="21">
        <f t="shared" si="2"/>
        <v>12.43</v>
      </c>
    </row>
    <row r="19" spans="1:6" x14ac:dyDescent="0.2">
      <c r="A19" s="19">
        <v>15</v>
      </c>
      <c r="B19" s="181" t="s">
        <v>13</v>
      </c>
      <c r="C19" s="182"/>
      <c r="D19" s="14">
        <f t="shared" si="0"/>
        <v>21872</v>
      </c>
      <c r="E19" s="17">
        <f t="shared" si="1"/>
        <v>273467.48076983297</v>
      </c>
      <c r="F19" s="21">
        <f t="shared" si="2"/>
        <v>12.5</v>
      </c>
    </row>
    <row r="20" spans="1:6" x14ac:dyDescent="0.2">
      <c r="A20" s="19">
        <v>16</v>
      </c>
      <c r="B20" s="181" t="s">
        <v>14</v>
      </c>
      <c r="C20" s="182"/>
      <c r="D20" s="14">
        <f t="shared" si="0"/>
        <v>127194</v>
      </c>
      <c r="E20" s="17">
        <f t="shared" si="1"/>
        <v>776716.1100511218</v>
      </c>
      <c r="F20" s="21">
        <f t="shared" si="2"/>
        <v>6.11</v>
      </c>
    </row>
    <row r="21" spans="1:6" x14ac:dyDescent="0.2">
      <c r="A21" s="19">
        <v>17</v>
      </c>
      <c r="B21" s="181" t="s">
        <v>15</v>
      </c>
      <c r="C21" s="182"/>
      <c r="D21" s="14">
        <f t="shared" si="0"/>
        <v>15416</v>
      </c>
      <c r="E21" s="17">
        <f t="shared" si="1"/>
        <v>150829.90360039068</v>
      </c>
      <c r="F21" s="21">
        <f t="shared" si="2"/>
        <v>9.7799999999999994</v>
      </c>
    </row>
    <row r="22" spans="1:6" x14ac:dyDescent="0.2">
      <c r="A22" s="19">
        <v>18</v>
      </c>
      <c r="B22" s="181" t="s">
        <v>16</v>
      </c>
      <c r="C22" s="182"/>
      <c r="D22" s="14">
        <f t="shared" si="0"/>
        <v>56816</v>
      </c>
      <c r="E22" s="17">
        <f t="shared" si="1"/>
        <v>444738.85385053174</v>
      </c>
      <c r="F22" s="21">
        <f t="shared" si="2"/>
        <v>7.83</v>
      </c>
    </row>
    <row r="23" spans="1:6" x14ac:dyDescent="0.2">
      <c r="A23" s="19">
        <v>19</v>
      </c>
      <c r="B23" s="181" t="s">
        <v>17</v>
      </c>
      <c r="C23" s="182"/>
      <c r="D23" s="14">
        <f t="shared" si="0"/>
        <v>115592</v>
      </c>
      <c r="E23" s="17">
        <f t="shared" si="1"/>
        <v>607778.7478578334</v>
      </c>
      <c r="F23" s="21">
        <f t="shared" si="2"/>
        <v>5.26</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5376</v>
      </c>
      <c r="E25" s="17">
        <f t="shared" si="1"/>
        <v>18243.595858569039</v>
      </c>
      <c r="F25" s="21">
        <f t="shared" si="2"/>
        <v>3.39</v>
      </c>
    </row>
    <row r="26" spans="1:6" x14ac:dyDescent="0.2">
      <c r="A26" s="19">
        <v>22</v>
      </c>
      <c r="B26" s="181" t="s">
        <v>19</v>
      </c>
      <c r="C26" s="182"/>
      <c r="D26" s="14">
        <f t="shared" si="0"/>
        <v>7287</v>
      </c>
      <c r="E26" s="17">
        <f t="shared" si="1"/>
        <v>23839.585011419753</v>
      </c>
      <c r="F26" s="21">
        <f t="shared" si="2"/>
        <v>3.27</v>
      </c>
    </row>
    <row r="27" spans="1:6" x14ac:dyDescent="0.2">
      <c r="A27" s="19">
        <v>23</v>
      </c>
      <c r="B27" s="181" t="s">
        <v>20</v>
      </c>
      <c r="C27" s="182"/>
      <c r="D27" s="14">
        <f t="shared" si="0"/>
        <v>39920</v>
      </c>
      <c r="E27" s="17">
        <f t="shared" si="1"/>
        <v>531669.12400931469</v>
      </c>
      <c r="F27" s="21">
        <f t="shared" si="2"/>
        <v>13.32</v>
      </c>
    </row>
    <row r="28" spans="1:6" x14ac:dyDescent="0.2">
      <c r="A28" s="19">
        <v>24</v>
      </c>
      <c r="B28" s="181" t="s">
        <v>21</v>
      </c>
      <c r="C28" s="182"/>
      <c r="D28" s="14">
        <f t="shared" si="0"/>
        <v>73355</v>
      </c>
      <c r="E28" s="17">
        <f t="shared" si="1"/>
        <v>389517.2120917656</v>
      </c>
      <c r="F28" s="21">
        <f t="shared" si="2"/>
        <v>5.31</v>
      </c>
    </row>
    <row r="29" spans="1:6" x14ac:dyDescent="0.2">
      <c r="A29" s="19">
        <v>25</v>
      </c>
      <c r="B29" s="181" t="s">
        <v>22</v>
      </c>
      <c r="C29" s="182"/>
      <c r="D29" s="14">
        <f t="shared" si="0"/>
        <v>183270</v>
      </c>
      <c r="E29" s="17">
        <f t="shared" si="1"/>
        <v>808327.05078124022</v>
      </c>
      <c r="F29" s="21">
        <f t="shared" si="2"/>
        <v>4.41</v>
      </c>
    </row>
    <row r="30" spans="1:6" x14ac:dyDescent="0.2">
      <c r="A30" s="19">
        <v>26</v>
      </c>
      <c r="B30" s="181" t="s">
        <v>23</v>
      </c>
      <c r="C30" s="182"/>
      <c r="D30" s="14">
        <f t="shared" si="0"/>
        <v>38528</v>
      </c>
      <c r="E30" s="17">
        <f t="shared" si="1"/>
        <v>289026.10365307808</v>
      </c>
      <c r="F30" s="21">
        <f t="shared" si="2"/>
        <v>7.5</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2011865</v>
      </c>
      <c r="E33" s="31">
        <f>SUM(E5:E32)</f>
        <v>11476411</v>
      </c>
      <c r="F33" s="32">
        <f t="shared" si="2"/>
        <v>5.7</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IF(F3="1",SUMIF(Data!A:A,'22'!$A$2,Data!CU:CU),0)</f>
        <v>67793</v>
      </c>
      <c r="E36" s="15">
        <f>IF(F3="1",SUMIF(Data!$A:$A,$A$2,Data!IO:IO),0)</f>
        <v>79986</v>
      </c>
      <c r="F36" s="20">
        <f t="shared" ref="F36:F64" si="3">IF(OR(D36=0,E36=0),"",ROUND(E36/D36,2))</f>
        <v>1.18</v>
      </c>
    </row>
    <row r="37" spans="1:6" x14ac:dyDescent="0.2">
      <c r="A37" s="19">
        <v>2</v>
      </c>
      <c r="B37" s="181" t="s">
        <v>1</v>
      </c>
      <c r="C37" s="182"/>
      <c r="D37" s="14">
        <f>IF(F3="1",SUMIF(Data!A:A,'22'!$A$2,Data!CV:CV),0)</f>
        <v>51669</v>
      </c>
      <c r="E37" s="17">
        <f>IF(F3="1",SUMIF(Data!$A:$A,$A$2,Data!IP:IP),0)</f>
        <v>36811</v>
      </c>
      <c r="F37" s="21">
        <f t="shared" si="3"/>
        <v>0.71</v>
      </c>
    </row>
    <row r="38" spans="1:6" ht="14.25" customHeight="1" x14ac:dyDescent="0.2">
      <c r="A38" s="19">
        <v>3</v>
      </c>
      <c r="B38" s="181" t="s">
        <v>2</v>
      </c>
      <c r="C38" s="182"/>
      <c r="D38" s="14">
        <f>IF(F3="1",SUMIF(Data!A:A,'22'!$A$2,Data!CW:CW),0)</f>
        <v>105672</v>
      </c>
      <c r="E38" s="17">
        <f>IF($F$3="1",SUMIF(Data!$A:$A,$A$2,Data!IQ:IQ),0)</f>
        <v>53515</v>
      </c>
      <c r="F38" s="21">
        <f t="shared" si="3"/>
        <v>0.51</v>
      </c>
    </row>
    <row r="39" spans="1:6" ht="14.25" customHeight="1" x14ac:dyDescent="0.2">
      <c r="A39" s="19">
        <v>4</v>
      </c>
      <c r="B39" s="181" t="s">
        <v>3</v>
      </c>
      <c r="C39" s="182"/>
      <c r="D39" s="14">
        <f>IF(F3="1",SUMIF(Data!A:A,'22'!$A$2,Data!CX:CX),0)</f>
        <v>197833</v>
      </c>
      <c r="E39" s="17">
        <f>IF($F$3="1",SUMIF(Data!$A:$A,$A$2,Data!IR:IR),0)</f>
        <v>69741</v>
      </c>
      <c r="F39" s="21">
        <f t="shared" si="3"/>
        <v>0.35</v>
      </c>
    </row>
    <row r="40" spans="1:6" x14ac:dyDescent="0.2">
      <c r="A40" s="19">
        <v>5</v>
      </c>
      <c r="B40" s="181" t="s">
        <v>4</v>
      </c>
      <c r="C40" s="182"/>
      <c r="D40" s="14">
        <f>IF(F3="1",SUMIF(Data!A:A,'22'!$A$2,Data!CY:CY),0)</f>
        <v>0</v>
      </c>
      <c r="E40" s="17">
        <f>IF($F$3="1",SUMIF(Data!$A:$A,$A$2,Data!IS:IS),0)</f>
        <v>0</v>
      </c>
      <c r="F40" s="21" t="str">
        <f t="shared" si="3"/>
        <v/>
      </c>
    </row>
    <row r="41" spans="1:6" x14ac:dyDescent="0.2">
      <c r="A41" s="19">
        <v>6</v>
      </c>
      <c r="B41" s="181" t="s">
        <v>5</v>
      </c>
      <c r="C41" s="182"/>
      <c r="D41" s="14">
        <f>IF(F3="1",SUMIF(Data!A:A,'22'!$A$2,Data!CZ:CZ),0)</f>
        <v>8192</v>
      </c>
      <c r="E41" s="17">
        <f>IF($F$3="1",SUMIF(Data!$A:$A,$A$2,Data!IT:IT),0)</f>
        <v>3286</v>
      </c>
      <c r="F41" s="21">
        <f t="shared" si="3"/>
        <v>0.4</v>
      </c>
    </row>
    <row r="42" spans="1:6" x14ac:dyDescent="0.2">
      <c r="A42" s="19">
        <v>7</v>
      </c>
      <c r="B42" s="181" t="s">
        <v>6</v>
      </c>
      <c r="C42" s="182"/>
      <c r="D42" s="14">
        <f>IF(F3="1",SUMIF(Data!A:A,'22'!$A$2,Data!DA:DA),0)</f>
        <v>224308</v>
      </c>
      <c r="E42" s="17">
        <f>IF($F$3="1",SUMIF(Data!$A:$A,$A$2,Data!IU:IU),0)</f>
        <v>216143</v>
      </c>
      <c r="F42" s="21">
        <f t="shared" si="3"/>
        <v>0.96</v>
      </c>
    </row>
    <row r="43" spans="1:6" x14ac:dyDescent="0.2">
      <c r="A43" s="19">
        <v>8</v>
      </c>
      <c r="B43" s="181" t="s">
        <v>7</v>
      </c>
      <c r="C43" s="182"/>
      <c r="D43" s="14">
        <f>IF(F3="1",SUMIF(Data!A:A,'22'!$A$2,Data!DB:DB),0)</f>
        <v>103422</v>
      </c>
      <c r="E43" s="17">
        <f>IF($F$3="1",SUMIF(Data!$A:$A,$A$2,Data!IV:IV),0)</f>
        <v>56118</v>
      </c>
      <c r="F43" s="21">
        <f t="shared" si="3"/>
        <v>0.54</v>
      </c>
    </row>
    <row r="44" spans="1:6" x14ac:dyDescent="0.2">
      <c r="A44" s="19">
        <v>9</v>
      </c>
      <c r="B44" s="181" t="s">
        <v>8</v>
      </c>
      <c r="C44" s="182"/>
      <c r="D44" s="14">
        <f>IF(F3="1",SUMIF(Data!A:A,'22'!$A$2,Data!DC:DC),0)</f>
        <v>169222</v>
      </c>
      <c r="E44" s="17">
        <f>IF($F$3="1",SUMIF(Data!$A:$A,$A$2,Data!IW:IW),0)</f>
        <v>61794</v>
      </c>
      <c r="F44" s="21">
        <f t="shared" si="3"/>
        <v>0.37</v>
      </c>
    </row>
    <row r="45" spans="1:6" x14ac:dyDescent="0.2">
      <c r="A45" s="19">
        <v>10</v>
      </c>
      <c r="B45" s="181" t="s">
        <v>9</v>
      </c>
      <c r="C45" s="182"/>
      <c r="D45" s="14">
        <f>IF(F3="1",SUMIF(Data!A:A,'22'!$A$2,Data!DD:DD),0)</f>
        <v>0</v>
      </c>
      <c r="E45" s="17">
        <f>IF($F$3="1",SUMIF(Data!$A:$A,$A$2,Data!IX:IX),0)</f>
        <v>0</v>
      </c>
      <c r="F45" s="21" t="str">
        <f t="shared" si="3"/>
        <v/>
      </c>
    </row>
    <row r="46" spans="1:6" x14ac:dyDescent="0.2">
      <c r="A46" s="19">
        <v>11</v>
      </c>
      <c r="B46" s="181" t="s">
        <v>10</v>
      </c>
      <c r="C46" s="182"/>
      <c r="D46" s="14">
        <f>IF(F3="1",SUMIF(Data!A:A,'22'!$A$2,Data!DE:DE),0)</f>
        <v>102699</v>
      </c>
      <c r="E46" s="17">
        <f>IF($F$3="1",SUMIF(Data!$A:$A,$A$2,Data!IY:IY),0)</f>
        <v>63352</v>
      </c>
      <c r="F46" s="21">
        <f t="shared" si="3"/>
        <v>0.62</v>
      </c>
    </row>
    <row r="47" spans="1:6" ht="14.25" customHeight="1" x14ac:dyDescent="0.2">
      <c r="A47" s="19">
        <v>12</v>
      </c>
      <c r="B47" s="181" t="s">
        <v>11</v>
      </c>
      <c r="C47" s="182"/>
      <c r="D47" s="14">
        <f>IF(F3="1",SUMIF(Data!A:A,'22'!$A$2,Data!DF:DF),0)</f>
        <v>260942</v>
      </c>
      <c r="E47" s="17">
        <f>IF($F$3="1",SUMIF(Data!$A:$A,$A$2,Data!IZ:IZ),0)</f>
        <v>232260</v>
      </c>
      <c r="F47" s="21">
        <f t="shared" si="3"/>
        <v>0.89</v>
      </c>
    </row>
    <row r="48" spans="1:6" x14ac:dyDescent="0.2">
      <c r="A48" s="19">
        <v>13</v>
      </c>
      <c r="B48" s="181" t="s">
        <v>12</v>
      </c>
      <c r="C48" s="182"/>
      <c r="D48" s="14">
        <f>IF(F3="1",SUMIF(Data!A:A,'22'!$A$2,Data!DG:DG),0)</f>
        <v>13056</v>
      </c>
      <c r="E48" s="17">
        <f>IF($F$3="1",SUMIF(Data!$A:$A,$A$2,Data!JA:JA),0)</f>
        <v>2342</v>
      </c>
      <c r="F48" s="21">
        <f t="shared" si="3"/>
        <v>0.18</v>
      </c>
    </row>
    <row r="49" spans="1:6" ht="14.25" customHeight="1" x14ac:dyDescent="0.2">
      <c r="A49" s="19">
        <v>14</v>
      </c>
      <c r="B49" s="181" t="s">
        <v>464</v>
      </c>
      <c r="C49" s="182"/>
      <c r="D49" s="14">
        <f>IF(F3="1",SUMIF(Data!A:A,'22'!$A$2,Data!DH:DH),0)</f>
        <v>22431</v>
      </c>
      <c r="E49" s="17">
        <f>IF($F$3="1",SUMIF(Data!$A:$A,$A$2,Data!JB:JB),0)</f>
        <v>54907</v>
      </c>
      <c r="F49" s="21">
        <f t="shared" si="3"/>
        <v>2.4500000000000002</v>
      </c>
    </row>
    <row r="50" spans="1:6" x14ac:dyDescent="0.2">
      <c r="A50" s="19">
        <v>15</v>
      </c>
      <c r="B50" s="181" t="s">
        <v>13</v>
      </c>
      <c r="C50" s="182"/>
      <c r="D50" s="14">
        <f>IF(F3="1",SUMIF(Data!A:A,'22'!$A$2,Data!DI:DI),0)</f>
        <v>21872</v>
      </c>
      <c r="E50" s="17">
        <f>IF($F$3="1",SUMIF(Data!$A:$A,$A$2,Data!JC:JC),0)</f>
        <v>56657</v>
      </c>
      <c r="F50" s="21">
        <f t="shared" si="3"/>
        <v>2.59</v>
      </c>
    </row>
    <row r="51" spans="1:6" x14ac:dyDescent="0.2">
      <c r="A51" s="19">
        <v>16</v>
      </c>
      <c r="B51" s="181" t="s">
        <v>14</v>
      </c>
      <c r="C51" s="182"/>
      <c r="D51" s="14">
        <f>IF(F3="1",SUMIF(Data!A:A,'22'!$A$2,Data!DJ:DJ),0)</f>
        <v>127194</v>
      </c>
      <c r="E51" s="17">
        <f>IF($F$3="1",SUMIF(Data!$A:$A,$A$2,Data!JD:JD),0)</f>
        <v>226900</v>
      </c>
      <c r="F51" s="21">
        <f t="shared" si="3"/>
        <v>1.78</v>
      </c>
    </row>
    <row r="52" spans="1:6" x14ac:dyDescent="0.2">
      <c r="A52" s="19">
        <v>17</v>
      </c>
      <c r="B52" s="181" t="s">
        <v>15</v>
      </c>
      <c r="C52" s="182"/>
      <c r="D52" s="14">
        <f>IF(F3="1",SUMIF(Data!A:A,'22'!$A$2,Data!DK:DK),0)</f>
        <v>15416</v>
      </c>
      <c r="E52" s="17">
        <f>IF($F$3="1",SUMIF(Data!$A:$A,$A$2,Data!JE:JE),0)</f>
        <v>18422</v>
      </c>
      <c r="F52" s="21">
        <f t="shared" si="3"/>
        <v>1.19</v>
      </c>
    </row>
    <row r="53" spans="1:6" x14ac:dyDescent="0.2">
      <c r="A53" s="19">
        <v>18</v>
      </c>
      <c r="B53" s="181" t="s">
        <v>16</v>
      </c>
      <c r="C53" s="182"/>
      <c r="D53" s="14">
        <f>IF(F3="1",SUMIF(Data!A:A,'22'!$A$2,Data!DL:DL),0)</f>
        <v>56816</v>
      </c>
      <c r="E53" s="17">
        <f>IF($F$3="1",SUMIF(Data!$A:$A,$A$2,Data!JF:JF),0)</f>
        <v>40976</v>
      </c>
      <c r="F53" s="21">
        <f t="shared" si="3"/>
        <v>0.72</v>
      </c>
    </row>
    <row r="54" spans="1:6" x14ac:dyDescent="0.2">
      <c r="A54" s="19">
        <v>19</v>
      </c>
      <c r="B54" s="181" t="s">
        <v>17</v>
      </c>
      <c r="C54" s="182"/>
      <c r="D54" s="14">
        <f>IF(F3="1",SUMIF(Data!A:A,'22'!$A$2,Data!DM:DM),0)</f>
        <v>115592</v>
      </c>
      <c r="E54" s="17">
        <f>IF($F$3="1",SUMIF(Data!$A:$A,$A$2,Data!JG:JG),0)</f>
        <v>63568</v>
      </c>
      <c r="F54" s="21">
        <f t="shared" si="3"/>
        <v>0.55000000000000004</v>
      </c>
    </row>
    <row r="55" spans="1:6" x14ac:dyDescent="0.2">
      <c r="A55" s="19">
        <v>20</v>
      </c>
      <c r="B55" s="181" t="s">
        <v>18</v>
      </c>
      <c r="C55" s="182"/>
      <c r="D55" s="14">
        <f>IF(F3="1",SUMIF(Data!A:A,'22'!$A$2,Data!DN:DN),0)</f>
        <v>0</v>
      </c>
      <c r="E55" s="17">
        <f>IF($F$3="1",SUMIF(Data!$A:$A,$A$2,Data!JH:JH),0)</f>
        <v>0</v>
      </c>
      <c r="F55" s="21" t="str">
        <f t="shared" si="3"/>
        <v/>
      </c>
    </row>
    <row r="56" spans="1:6" ht="14.25" customHeight="1" x14ac:dyDescent="0.2">
      <c r="A56" s="19">
        <v>21</v>
      </c>
      <c r="B56" s="181" t="s">
        <v>461</v>
      </c>
      <c r="C56" s="182"/>
      <c r="D56" s="14">
        <f>IF(F3="1",SUMIF(Data!A:A,'22'!$A$2,Data!DO:DO),0)</f>
        <v>5376</v>
      </c>
      <c r="E56" s="17">
        <f>IF($F$3="1",SUMIF(Data!$A:$A,$A$2,Data!JI:JI),0)</f>
        <v>2739</v>
      </c>
      <c r="F56" s="21">
        <f t="shared" si="3"/>
        <v>0.51</v>
      </c>
    </row>
    <row r="57" spans="1:6" x14ac:dyDescent="0.2">
      <c r="A57" s="19">
        <v>22</v>
      </c>
      <c r="B57" s="181" t="s">
        <v>19</v>
      </c>
      <c r="C57" s="182"/>
      <c r="D57" s="14">
        <f>IF(F3="1",SUMIF(Data!A:A,'22'!$A$2,Data!DP:DP),0)</f>
        <v>7287</v>
      </c>
      <c r="E57" s="17">
        <f>IF($F$3="1",SUMIF(Data!$A:$A,$A$2,Data!JJ:JJ),0)</f>
        <v>2824</v>
      </c>
      <c r="F57" s="21">
        <f t="shared" si="3"/>
        <v>0.39</v>
      </c>
    </row>
    <row r="58" spans="1:6" x14ac:dyDescent="0.2">
      <c r="A58" s="19">
        <v>23</v>
      </c>
      <c r="B58" s="181" t="s">
        <v>20</v>
      </c>
      <c r="C58" s="182"/>
      <c r="D58" s="14">
        <f>IF(F3="1",SUMIF(Data!A:A,'22'!$A$2,Data!DQ:DQ),0)</f>
        <v>39920</v>
      </c>
      <c r="E58" s="17">
        <f>IF($F$3="1",SUMIF(Data!$A:$A,$A$2,Data!JK:JK),0)</f>
        <v>64583</v>
      </c>
      <c r="F58" s="21">
        <f t="shared" si="3"/>
        <v>1.62</v>
      </c>
    </row>
    <row r="59" spans="1:6" x14ac:dyDescent="0.2">
      <c r="A59" s="19">
        <v>24</v>
      </c>
      <c r="B59" s="181" t="s">
        <v>21</v>
      </c>
      <c r="C59" s="182"/>
      <c r="D59" s="14">
        <f>IF(F3="1",SUMIF(Data!A:A,'22'!$A$2,Data!DR:DR),0)</f>
        <v>73355</v>
      </c>
      <c r="E59" s="17">
        <f>IF($F$3="1",SUMIF(Data!$A:$A,$A$2,Data!JL:JL),0)</f>
        <v>59159</v>
      </c>
      <c r="F59" s="21">
        <f t="shared" si="3"/>
        <v>0.81</v>
      </c>
    </row>
    <row r="60" spans="1:6" x14ac:dyDescent="0.2">
      <c r="A60" s="19">
        <v>25</v>
      </c>
      <c r="B60" s="181" t="s">
        <v>22</v>
      </c>
      <c r="C60" s="182"/>
      <c r="D60" s="14">
        <f>IF(F3="1",SUMIF(Data!A:A,'22'!$A$2,Data!DS:DS),0)</f>
        <v>183270</v>
      </c>
      <c r="E60" s="17">
        <f>IF($F$3="1",SUMIF(Data!$A:$A,$A$2,Data!JM:JM),0)</f>
        <v>38427</v>
      </c>
      <c r="F60" s="21">
        <f t="shared" si="3"/>
        <v>0.21</v>
      </c>
    </row>
    <row r="61" spans="1:6" x14ac:dyDescent="0.2">
      <c r="A61" s="19">
        <v>26</v>
      </c>
      <c r="B61" s="181" t="s">
        <v>23</v>
      </c>
      <c r="C61" s="182"/>
      <c r="D61" s="14">
        <f>IF(F3="1",SUMIF(Data!A:A,'22'!$A$2,Data!DT:DT),0)</f>
        <v>38528</v>
      </c>
      <c r="E61" s="17">
        <f>IF($F$3="1",SUMIF(Data!$A:$A,$A$2,Data!JN:JN),0)</f>
        <v>37217</v>
      </c>
      <c r="F61" s="21">
        <f t="shared" si="3"/>
        <v>0.97</v>
      </c>
    </row>
    <row r="62" spans="1:6" x14ac:dyDescent="0.2">
      <c r="A62" s="19">
        <v>28</v>
      </c>
      <c r="B62" s="181" t="s">
        <v>24</v>
      </c>
      <c r="C62" s="182"/>
      <c r="D62" s="14">
        <f>IF(F3="1",SUMIF(Data!A:A,'22'!$A$2,Data!DV:DV),0)</f>
        <v>0</v>
      </c>
      <c r="E62" s="17">
        <f>IF($F$3="1",SUMIF(Data!$A:$A,$A$2,Data!JP:JP),0)</f>
        <v>0</v>
      </c>
      <c r="F62" s="21" t="str">
        <f t="shared" si="3"/>
        <v/>
      </c>
    </row>
    <row r="63" spans="1:6" ht="15.75" customHeight="1" thickBot="1" x14ac:dyDescent="0.25">
      <c r="A63" s="22">
        <v>29</v>
      </c>
      <c r="B63" s="183" t="s">
        <v>25</v>
      </c>
      <c r="C63" s="184"/>
      <c r="D63" s="23">
        <f>IF(F3="1",SUMIF(Data!A:A,'22'!$A$2,Data!DW:DW),0)</f>
        <v>0</v>
      </c>
      <c r="E63" s="24">
        <f>IF($F$3="1",SUMIF(Data!$A:$A,$A$2,Data!JQ:JQ),0)</f>
        <v>0</v>
      </c>
      <c r="F63" s="25" t="str">
        <f t="shared" si="3"/>
        <v/>
      </c>
    </row>
    <row r="64" spans="1:6" x14ac:dyDescent="0.2">
      <c r="B64" s="30" t="s">
        <v>35</v>
      </c>
      <c r="C64" s="30"/>
      <c r="D64" s="59">
        <f>SUM(D36:D63)</f>
        <v>2011865</v>
      </c>
      <c r="E64" s="31">
        <f>SUM(E36:E63)</f>
        <v>1541727</v>
      </c>
      <c r="F64" s="32">
        <f t="shared" si="3"/>
        <v>0.77</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67793</v>
      </c>
      <c r="E67" s="15">
        <f>IF(F3="1",SUMIF(Data!A:A,'22'!$A$2,Data!DY:DY),0)</f>
        <v>177816</v>
      </c>
      <c r="F67" s="20">
        <f t="shared" ref="F67:F95" si="4">IF(OR(D67=0,E67=0),"",ROUND(E67/D67,2))</f>
        <v>2.62</v>
      </c>
    </row>
    <row r="68" spans="1:6" x14ac:dyDescent="0.2">
      <c r="A68" s="19">
        <v>2</v>
      </c>
      <c r="B68" s="181" t="s">
        <v>1</v>
      </c>
      <c r="C68" s="182"/>
      <c r="D68" s="14">
        <f t="shared" ref="D68:D94" si="5">D37</f>
        <v>51669</v>
      </c>
      <c r="E68" s="17">
        <f>IF(F3="1",SUMIF(Data!A:A,'22'!$A$2,Data!DZ:DZ),0)</f>
        <v>150776</v>
      </c>
      <c r="F68" s="21">
        <f t="shared" si="4"/>
        <v>2.92</v>
      </c>
    </row>
    <row r="69" spans="1:6" ht="14.25" customHeight="1" x14ac:dyDescent="0.2">
      <c r="A69" s="19">
        <v>3</v>
      </c>
      <c r="B69" s="181" t="s">
        <v>2</v>
      </c>
      <c r="C69" s="182"/>
      <c r="D69" s="14">
        <f t="shared" si="5"/>
        <v>105672</v>
      </c>
      <c r="E69" s="17">
        <f>IF(F3="1",SUMIF(Data!A:A,'22'!$A$2,Data!EA:EA),0)</f>
        <v>347340</v>
      </c>
      <c r="F69" s="21">
        <f t="shared" si="4"/>
        <v>3.29</v>
      </c>
    </row>
    <row r="70" spans="1:6" ht="14.25" customHeight="1" x14ac:dyDescent="0.2">
      <c r="A70" s="19">
        <v>4</v>
      </c>
      <c r="B70" s="181" t="s">
        <v>3</v>
      </c>
      <c r="C70" s="182"/>
      <c r="D70" s="14">
        <f t="shared" si="5"/>
        <v>197833</v>
      </c>
      <c r="E70" s="17">
        <f>IF(F3="1",SUMIF(Data!A:A,'22'!$A$2,Data!EB:EB),0)</f>
        <v>325005</v>
      </c>
      <c r="F70" s="21">
        <f t="shared" si="4"/>
        <v>1.64</v>
      </c>
    </row>
    <row r="71" spans="1:6" x14ac:dyDescent="0.2">
      <c r="A71" s="19">
        <v>5</v>
      </c>
      <c r="B71" s="181" t="s">
        <v>4</v>
      </c>
      <c r="C71" s="182"/>
      <c r="D71" s="14">
        <f t="shared" si="5"/>
        <v>0</v>
      </c>
      <c r="E71" s="17">
        <f>IF(F3="1",SUMIF(Data!A:A,'22'!$A$2,Data!EC:EC),0)</f>
        <v>0</v>
      </c>
      <c r="F71" s="21" t="str">
        <f t="shared" si="4"/>
        <v/>
      </c>
    </row>
    <row r="72" spans="1:6" x14ac:dyDescent="0.2">
      <c r="A72" s="19">
        <v>6</v>
      </c>
      <c r="B72" s="181" t="s">
        <v>5</v>
      </c>
      <c r="C72" s="182"/>
      <c r="D72" s="14">
        <f t="shared" si="5"/>
        <v>8192</v>
      </c>
      <c r="E72" s="17">
        <f>IF(F3="1",SUMIF(Data!A:A,'22'!$A$2,Data!ED:ED),0)</f>
        <v>3722</v>
      </c>
      <c r="F72" s="21">
        <f t="shared" si="4"/>
        <v>0.45</v>
      </c>
    </row>
    <row r="73" spans="1:6" x14ac:dyDescent="0.2">
      <c r="A73" s="19">
        <v>7</v>
      </c>
      <c r="B73" s="181" t="s">
        <v>6</v>
      </c>
      <c r="C73" s="182"/>
      <c r="D73" s="14">
        <f t="shared" si="5"/>
        <v>224308</v>
      </c>
      <c r="E73" s="17">
        <f>IF(F3="1",SUMIF(Data!A:A,'22'!$A$2,Data!EE:EE),0)</f>
        <v>504591</v>
      </c>
      <c r="F73" s="21">
        <f t="shared" si="4"/>
        <v>2.25</v>
      </c>
    </row>
    <row r="74" spans="1:6" x14ac:dyDescent="0.2">
      <c r="A74" s="19">
        <v>8</v>
      </c>
      <c r="B74" s="181" t="s">
        <v>7</v>
      </c>
      <c r="C74" s="182"/>
      <c r="D74" s="14">
        <f t="shared" si="5"/>
        <v>103422</v>
      </c>
      <c r="E74" s="17">
        <f>IF(F3="1",SUMIF(Data!A:A,'22'!$A$2,Data!EF:EF),0)</f>
        <v>315019</v>
      </c>
      <c r="F74" s="21">
        <f t="shared" si="4"/>
        <v>3.05</v>
      </c>
    </row>
    <row r="75" spans="1:6" x14ac:dyDescent="0.2">
      <c r="A75" s="19">
        <v>9</v>
      </c>
      <c r="B75" s="181" t="s">
        <v>8</v>
      </c>
      <c r="C75" s="182"/>
      <c r="D75" s="14">
        <f t="shared" si="5"/>
        <v>169222</v>
      </c>
      <c r="E75" s="17">
        <f>IF(F3="1",SUMIF(Data!A:A,'22'!$A$2,Data!EG:EG),0)</f>
        <v>188313</v>
      </c>
      <c r="F75" s="21">
        <f t="shared" si="4"/>
        <v>1.1100000000000001</v>
      </c>
    </row>
    <row r="76" spans="1:6" x14ac:dyDescent="0.2">
      <c r="A76" s="19">
        <v>10</v>
      </c>
      <c r="B76" s="181" t="s">
        <v>9</v>
      </c>
      <c r="C76" s="182"/>
      <c r="D76" s="14">
        <f t="shared" si="5"/>
        <v>0</v>
      </c>
      <c r="E76" s="17">
        <f>IF(F3="1",SUMIF(Data!A:A,'22'!$A$2,Data!EH:EH),0)</f>
        <v>0</v>
      </c>
      <c r="F76" s="21" t="str">
        <f t="shared" si="4"/>
        <v/>
      </c>
    </row>
    <row r="77" spans="1:6" x14ac:dyDescent="0.2">
      <c r="A77" s="19">
        <v>11</v>
      </c>
      <c r="B77" s="181" t="s">
        <v>10</v>
      </c>
      <c r="C77" s="182"/>
      <c r="D77" s="14">
        <f t="shared" si="5"/>
        <v>102699</v>
      </c>
      <c r="E77" s="17">
        <f>IF(F3="1",SUMIF(Data!A:A,'22'!$A$2,Data!EI:EI),0)</f>
        <v>266162</v>
      </c>
      <c r="F77" s="21">
        <f t="shared" si="4"/>
        <v>2.59</v>
      </c>
    </row>
    <row r="78" spans="1:6" ht="14.25" customHeight="1" x14ac:dyDescent="0.2">
      <c r="A78" s="19">
        <v>12</v>
      </c>
      <c r="B78" s="181" t="s">
        <v>11</v>
      </c>
      <c r="C78" s="182"/>
      <c r="D78" s="14">
        <f t="shared" si="5"/>
        <v>260942</v>
      </c>
      <c r="E78" s="17">
        <f>IF(F3="1",SUMIF(Data!A:A,'22'!$A$2,Data!EJ:EJ),0)</f>
        <v>538546</v>
      </c>
      <c r="F78" s="21">
        <f t="shared" si="4"/>
        <v>2.06</v>
      </c>
    </row>
    <row r="79" spans="1:6" x14ac:dyDescent="0.2">
      <c r="A79" s="19">
        <v>13</v>
      </c>
      <c r="B79" s="181" t="s">
        <v>12</v>
      </c>
      <c r="C79" s="182"/>
      <c r="D79" s="14">
        <f t="shared" si="5"/>
        <v>13056</v>
      </c>
      <c r="E79" s="17">
        <f>IF(F3="1",SUMIF(Data!A:A,'22'!$A$2,Data!EK:EK),0)</f>
        <v>20730</v>
      </c>
      <c r="F79" s="21">
        <f t="shared" si="4"/>
        <v>1.59</v>
      </c>
    </row>
    <row r="80" spans="1:6" ht="14.25" customHeight="1" x14ac:dyDescent="0.2">
      <c r="A80" s="19">
        <v>14</v>
      </c>
      <c r="B80" s="181" t="s">
        <v>464</v>
      </c>
      <c r="C80" s="182"/>
      <c r="D80" s="14">
        <f t="shared" si="5"/>
        <v>22431</v>
      </c>
      <c r="E80" s="17">
        <f>IF(F3="1",SUMIF(Data!A:A,'22'!$A$2,Data!EL:EL),0)</f>
        <v>169306</v>
      </c>
      <c r="F80" s="21">
        <f t="shared" si="4"/>
        <v>7.55</v>
      </c>
    </row>
    <row r="81" spans="1:6" x14ac:dyDescent="0.2">
      <c r="A81" s="19">
        <v>15</v>
      </c>
      <c r="B81" s="181" t="s">
        <v>13</v>
      </c>
      <c r="C81" s="182"/>
      <c r="D81" s="14">
        <f t="shared" si="5"/>
        <v>21872</v>
      </c>
      <c r="E81" s="17">
        <f>IF(F3="1",SUMIF(Data!A:A,'22'!$A$2,Data!EM:EM),0)</f>
        <v>163670</v>
      </c>
      <c r="F81" s="21">
        <f t="shared" si="4"/>
        <v>7.48</v>
      </c>
    </row>
    <row r="82" spans="1:6" x14ac:dyDescent="0.2">
      <c r="A82" s="19">
        <v>16</v>
      </c>
      <c r="B82" s="181" t="s">
        <v>14</v>
      </c>
      <c r="C82" s="182"/>
      <c r="D82" s="14">
        <f t="shared" si="5"/>
        <v>127194</v>
      </c>
      <c r="E82" s="17">
        <f>IF(F3="1",SUMIF(Data!A:A,'22'!$A$2,Data!EN:EN),0)</f>
        <v>240784</v>
      </c>
      <c r="F82" s="21">
        <f t="shared" si="4"/>
        <v>1.89</v>
      </c>
    </row>
    <row r="83" spans="1:6" x14ac:dyDescent="0.2">
      <c r="A83" s="19">
        <v>17</v>
      </c>
      <c r="B83" s="181" t="s">
        <v>15</v>
      </c>
      <c r="C83" s="182"/>
      <c r="D83" s="14">
        <f t="shared" si="5"/>
        <v>15416</v>
      </c>
      <c r="E83" s="17">
        <f>IF(F3="1",SUMIF(Data!A:A,'22'!$A$2,Data!EO:EO),0)</f>
        <v>94953</v>
      </c>
      <c r="F83" s="21">
        <f t="shared" si="4"/>
        <v>6.16</v>
      </c>
    </row>
    <row r="84" spans="1:6" x14ac:dyDescent="0.2">
      <c r="A84" s="19">
        <v>18</v>
      </c>
      <c r="B84" s="181" t="s">
        <v>16</v>
      </c>
      <c r="C84" s="182"/>
      <c r="D84" s="14">
        <f t="shared" si="5"/>
        <v>56816</v>
      </c>
      <c r="E84" s="17">
        <f>IF(F3="1",SUMIF(Data!A:A,'22'!$A$2,Data!EP:EP),0)</f>
        <v>265722</v>
      </c>
      <c r="F84" s="21">
        <f t="shared" si="4"/>
        <v>4.68</v>
      </c>
    </row>
    <row r="85" spans="1:6" x14ac:dyDescent="0.2">
      <c r="A85" s="19">
        <v>19</v>
      </c>
      <c r="B85" s="181" t="s">
        <v>17</v>
      </c>
      <c r="C85" s="182"/>
      <c r="D85" s="14">
        <f t="shared" si="5"/>
        <v>115592</v>
      </c>
      <c r="E85" s="17">
        <f>IF(F3="1",SUMIF(Data!A:A,'22'!$A$2,Data!EQ:EQ),0)</f>
        <v>263367</v>
      </c>
      <c r="F85" s="21">
        <f t="shared" si="4"/>
        <v>2.2799999999999998</v>
      </c>
    </row>
    <row r="86" spans="1:6" x14ac:dyDescent="0.2">
      <c r="A86" s="19">
        <v>20</v>
      </c>
      <c r="B86" s="181" t="s">
        <v>18</v>
      </c>
      <c r="C86" s="182"/>
      <c r="D86" s="14">
        <f t="shared" si="5"/>
        <v>0</v>
      </c>
      <c r="E86" s="17">
        <f>IF(F3="1",SUMIF(Data!A:A,'22'!$A$2,Data!ER:ER),0)</f>
        <v>0</v>
      </c>
      <c r="F86" s="21" t="str">
        <f t="shared" si="4"/>
        <v/>
      </c>
    </row>
    <row r="87" spans="1:6" ht="14.25" customHeight="1" x14ac:dyDescent="0.2">
      <c r="A87" s="19">
        <v>21</v>
      </c>
      <c r="B87" s="181" t="s">
        <v>461</v>
      </c>
      <c r="C87" s="182"/>
      <c r="D87" s="14">
        <f t="shared" si="5"/>
        <v>5376</v>
      </c>
      <c r="E87" s="17">
        <f>IF(F3="1",SUMIF(Data!A:A,'22'!$A$2,Data!ES:ES),0)</f>
        <v>2443</v>
      </c>
      <c r="F87" s="21">
        <f t="shared" si="4"/>
        <v>0.45</v>
      </c>
    </row>
    <row r="88" spans="1:6" x14ac:dyDescent="0.2">
      <c r="A88" s="19">
        <v>22</v>
      </c>
      <c r="B88" s="181" t="s">
        <v>19</v>
      </c>
      <c r="C88" s="182"/>
      <c r="D88" s="14">
        <f t="shared" si="5"/>
        <v>7287</v>
      </c>
      <c r="E88" s="17">
        <f>IF(F3="1",SUMIF(Data!A:A,'22'!$A$2,Data!ET:ET),0)</f>
        <v>3311</v>
      </c>
      <c r="F88" s="21">
        <f t="shared" si="4"/>
        <v>0.45</v>
      </c>
    </row>
    <row r="89" spans="1:6" x14ac:dyDescent="0.2">
      <c r="A89" s="19">
        <v>23</v>
      </c>
      <c r="B89" s="181" t="s">
        <v>20</v>
      </c>
      <c r="C89" s="182"/>
      <c r="D89" s="14">
        <f t="shared" si="5"/>
        <v>39920</v>
      </c>
      <c r="E89" s="17">
        <f>IF(F3="1",SUMIF(Data!A:A,'22'!$A$2,Data!EU:EU),0)</f>
        <v>370096</v>
      </c>
      <c r="F89" s="21">
        <f t="shared" si="4"/>
        <v>9.27</v>
      </c>
    </row>
    <row r="90" spans="1:6" x14ac:dyDescent="0.2">
      <c r="A90" s="19">
        <v>24</v>
      </c>
      <c r="B90" s="181" t="s">
        <v>21</v>
      </c>
      <c r="C90" s="182"/>
      <c r="D90" s="14">
        <f t="shared" si="5"/>
        <v>73355</v>
      </c>
      <c r="E90" s="17">
        <f>IF(F3="1",SUMIF(Data!A:A,'22'!$A$2,Data!EV:EV),0)</f>
        <v>152134</v>
      </c>
      <c r="F90" s="21">
        <f t="shared" si="4"/>
        <v>2.0699999999999998</v>
      </c>
    </row>
    <row r="91" spans="1:6" x14ac:dyDescent="0.2">
      <c r="A91" s="19">
        <v>25</v>
      </c>
      <c r="B91" s="181" t="s">
        <v>22</v>
      </c>
      <c r="C91" s="182"/>
      <c r="D91" s="14">
        <f t="shared" si="5"/>
        <v>183270</v>
      </c>
      <c r="E91" s="17">
        <f>IF(F3="1",SUMIF(Data!A:A,'22'!$A$2,Data!EW:EW),0)</f>
        <v>324625</v>
      </c>
      <c r="F91" s="21">
        <f t="shared" si="4"/>
        <v>1.77</v>
      </c>
    </row>
    <row r="92" spans="1:6" x14ac:dyDescent="0.2">
      <c r="A92" s="19">
        <v>26</v>
      </c>
      <c r="B92" s="181" t="s">
        <v>23</v>
      </c>
      <c r="C92" s="182"/>
      <c r="D92" s="14">
        <f t="shared" si="5"/>
        <v>38528</v>
      </c>
      <c r="E92" s="17">
        <f>IF(F3="1",SUMIF(Data!A:A,'22'!$A$2,Data!EX:EX),0)</f>
        <v>158201</v>
      </c>
      <c r="F92" s="21">
        <f t="shared" si="4"/>
        <v>4.1100000000000003</v>
      </c>
    </row>
    <row r="93" spans="1:6" x14ac:dyDescent="0.2">
      <c r="A93" s="19">
        <v>28</v>
      </c>
      <c r="B93" s="181" t="s">
        <v>24</v>
      </c>
      <c r="C93" s="182"/>
      <c r="D93" s="14">
        <f t="shared" si="5"/>
        <v>0</v>
      </c>
      <c r="E93" s="17">
        <f>IF(F3="1",SUMIF(Data!A:A,'22'!$A$2,Data!EZ:EZ),0)</f>
        <v>0</v>
      </c>
      <c r="F93" s="21" t="str">
        <f t="shared" si="4"/>
        <v/>
      </c>
    </row>
    <row r="94" spans="1:6" ht="15.75" customHeight="1" thickBot="1" x14ac:dyDescent="0.25">
      <c r="A94" s="22">
        <v>29</v>
      </c>
      <c r="B94" s="183" t="s">
        <v>25</v>
      </c>
      <c r="C94" s="184"/>
      <c r="D94" s="23">
        <f t="shared" si="5"/>
        <v>0</v>
      </c>
      <c r="E94" s="24">
        <f>IF(F3="1",SUMIF(Data!A:A,'22'!$A$2,Data!FA:FA),0)</f>
        <v>0</v>
      </c>
      <c r="F94" s="25" t="str">
        <f t="shared" si="4"/>
        <v/>
      </c>
    </row>
    <row r="95" spans="1:6" x14ac:dyDescent="0.2">
      <c r="B95" s="30" t="s">
        <v>35</v>
      </c>
      <c r="C95" s="30"/>
      <c r="D95" s="59">
        <f>SUM(D67:D94)</f>
        <v>2011865</v>
      </c>
      <c r="E95" s="31">
        <f>SUM(E67:E94)</f>
        <v>5046632</v>
      </c>
      <c r="F95" s="32">
        <f t="shared" si="4"/>
        <v>2.5099999999999998</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IF(F3="1",SUMIF(Data!A:A,'22'!$A$2,Data!AH:AH),0)</f>
        <v>2662695</v>
      </c>
      <c r="F98" s="20">
        <f>IF(OR(E98=0,E98=0),"",ROUND(E98/$D$105,2))</f>
        <v>1.32</v>
      </c>
    </row>
    <row r="99" spans="2:6" x14ac:dyDescent="0.2">
      <c r="B99" s="187" t="s">
        <v>31</v>
      </c>
      <c r="C99" s="188"/>
      <c r="D99" s="36"/>
      <c r="E99" s="17">
        <f>IF(F3="1",SUMIF(Data!A:A,'22'!$A$2,Data!AI:AI),0)</f>
        <v>867439</v>
      </c>
      <c r="F99" s="21">
        <f t="shared" ref="F99:F104" si="6">IF(OR(E99=0,E99=0),"",ROUND(E99/$D$105,2))</f>
        <v>0.43</v>
      </c>
    </row>
    <row r="100" spans="2:6" x14ac:dyDescent="0.2">
      <c r="B100" s="187" t="s">
        <v>1078</v>
      </c>
      <c r="C100" s="188"/>
      <c r="D100" s="36"/>
      <c r="E100" s="17">
        <f>IF(F3="1",SUMIF(Data!A:A,'22'!$A$2,Data!AJ:AJ),0)</f>
        <v>187816</v>
      </c>
      <c r="F100" s="21">
        <f t="shared" si="6"/>
        <v>0.09</v>
      </c>
    </row>
    <row r="101" spans="2:6" x14ac:dyDescent="0.2">
      <c r="B101" s="187" t="s">
        <v>1079</v>
      </c>
      <c r="C101" s="188"/>
      <c r="D101" s="36"/>
      <c r="E101" s="17">
        <f>IF(F3="1",SUMIF(Data!A:A,'22'!$A$2,Data!AK:AK),0)</f>
        <v>440280</v>
      </c>
      <c r="F101" s="21">
        <f t="shared" si="6"/>
        <v>0.22</v>
      </c>
    </row>
    <row r="102" spans="2:6" x14ac:dyDescent="0.2">
      <c r="B102" s="187" t="s">
        <v>1080</v>
      </c>
      <c r="C102" s="188"/>
      <c r="D102" s="36"/>
      <c r="E102" s="17">
        <f>IF(F3="1",SUMIF(Data!A:A,'22'!$A$2,Data!AL:AL),0)</f>
        <v>0</v>
      </c>
      <c r="F102" s="21" t="str">
        <f t="shared" si="6"/>
        <v/>
      </c>
    </row>
    <row r="103" spans="2:6" x14ac:dyDescent="0.2">
      <c r="B103" s="189" t="s">
        <v>34</v>
      </c>
      <c r="C103" s="190"/>
      <c r="D103" s="36"/>
      <c r="E103" s="17">
        <f>IF(F3="1",SUMIF(Data!A:A,'22'!$A$2,Data!AM:AM),0)</f>
        <v>0</v>
      </c>
      <c r="F103" s="21" t="str">
        <f t="shared" si="6"/>
        <v/>
      </c>
    </row>
    <row r="104" spans="2:6" ht="15.75" customHeight="1" thickBot="1" x14ac:dyDescent="0.25">
      <c r="B104" s="179" t="s">
        <v>29</v>
      </c>
      <c r="C104" s="180"/>
      <c r="D104" s="37"/>
      <c r="E104" s="24">
        <f>IF(F3="1",SUMIF(Data!A:A,'22'!$A$2,Data!Q:Q),0)</f>
        <v>729822</v>
      </c>
      <c r="F104" s="25">
        <f t="shared" si="6"/>
        <v>0.36</v>
      </c>
    </row>
    <row r="105" spans="2:6" x14ac:dyDescent="0.2">
      <c r="B105" s="30" t="s">
        <v>35</v>
      </c>
      <c r="C105" s="30"/>
      <c r="D105" s="34">
        <f>D95</f>
        <v>2011865</v>
      </c>
      <c r="E105" s="31">
        <f>SUM(E98:E104)</f>
        <v>4888052</v>
      </c>
      <c r="F105" s="32">
        <f>IF($D$105=0,"",ROUND(E105/$D$105,2))</f>
        <v>2.4300000000000002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5046632</v>
      </c>
      <c r="D109" s="15">
        <f>IF(F3="1",SUMIF(Data!$A:$A,$A$2,Data!HJ:HJ),0)</f>
        <v>0</v>
      </c>
      <c r="E109" s="15">
        <f>IF(F3="1",SUMIF(Data!$A:$A,$A$2,Data!IN:IN),0)</f>
        <v>0</v>
      </c>
      <c r="F109" s="47">
        <f>SUM(C109:E109)</f>
        <v>5046632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729822</v>
      </c>
      <c r="E117" s="52"/>
      <c r="F117" s="49">
        <f>SUM(C117:E117)</f>
        <v>729822</v>
      </c>
    </row>
    <row r="118" spans="1:6" x14ac:dyDescent="0.2">
      <c r="B118" s="13" t="s">
        <v>35</v>
      </c>
      <c r="C118" s="4">
        <f>SUM(C109:C116)</f>
        <v>5046632</v>
      </c>
      <c r="D118" s="4">
        <f>SUM(D109:D116)</f>
        <v>0</v>
      </c>
      <c r="E118" s="4">
        <f>SUM(E109:E116)</f>
        <v>0</v>
      </c>
      <c r="F118" s="4">
        <f>SUM(F109:F116)</f>
        <v>5046632</v>
      </c>
    </row>
    <row r="119" spans="1:6" ht="15" thickBot="1" x14ac:dyDescent="0.25"/>
    <row r="120" spans="1:6" ht="15" thickBot="1" x14ac:dyDescent="0.25">
      <c r="B120" s="55" t="s">
        <v>934</v>
      </c>
      <c r="C120" s="53"/>
      <c r="D120" s="53"/>
      <c r="E120" s="53">
        <f>IF(F3="1",SUMIF(Data!A:A,'22'!$A$2,Data!AM:AM),0)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376</v>
      </c>
      <c r="B2" s="58" t="str">
        <f>VLOOKUP(A2,Data!A:G,7,0)</f>
        <v>Kilgore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6674</v>
      </c>
      <c r="E5" s="15">
        <f>E36+E67+IFERROR($E$105/$D$105*D5,0)</f>
        <v>68751.409577256069</v>
      </c>
      <c r="F5" s="20">
        <f>IF(OR(D5=0,E5=0),"",ROUND(E5/D5,2))</f>
        <v>10.3</v>
      </c>
    </row>
    <row r="6" spans="1:6" x14ac:dyDescent="0.2">
      <c r="A6" s="19">
        <v>2</v>
      </c>
      <c r="B6" s="181" t="s">
        <v>1</v>
      </c>
      <c r="C6" s="182"/>
      <c r="D6" s="14">
        <f t="shared" ref="D6:D32" si="0">D37</f>
        <v>49084</v>
      </c>
      <c r="E6" s="17">
        <f t="shared" ref="E6:E32" si="1">E37+E68+IFERROR($E$105/$D$105*D6,0)</f>
        <v>233787.06767905853</v>
      </c>
      <c r="F6" s="21">
        <f t="shared" ref="F6:F33" si="2">IF(OR(D6=0,E6=0),"",ROUND(E6/D6,2))</f>
        <v>4.76</v>
      </c>
    </row>
    <row r="7" spans="1:6" ht="14.25" customHeight="1" x14ac:dyDescent="0.2">
      <c r="A7" s="19">
        <v>3</v>
      </c>
      <c r="B7" s="181" t="s">
        <v>2</v>
      </c>
      <c r="C7" s="182"/>
      <c r="D7" s="14">
        <f t="shared" si="0"/>
        <v>198448</v>
      </c>
      <c r="E7" s="17">
        <f t="shared" si="1"/>
        <v>1127671.4929258781</v>
      </c>
      <c r="F7" s="21">
        <f t="shared" si="2"/>
        <v>5.68</v>
      </c>
    </row>
    <row r="8" spans="1:6" ht="14.25" customHeight="1" x14ac:dyDescent="0.2">
      <c r="A8" s="19">
        <v>4</v>
      </c>
      <c r="B8" s="181" t="s">
        <v>3</v>
      </c>
      <c r="C8" s="182"/>
      <c r="D8" s="14">
        <f t="shared" si="0"/>
        <v>175787</v>
      </c>
      <c r="E8" s="17">
        <f t="shared" si="1"/>
        <v>969122.57886681333</v>
      </c>
      <c r="F8" s="21">
        <f t="shared" si="2"/>
        <v>5.51</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11328</v>
      </c>
      <c r="E10" s="17">
        <f t="shared" si="1"/>
        <v>135344.10094263661</v>
      </c>
      <c r="F10" s="21">
        <f t="shared" si="2"/>
        <v>11.95</v>
      </c>
    </row>
    <row r="11" spans="1:6" x14ac:dyDescent="0.2">
      <c r="A11" s="19">
        <v>7</v>
      </c>
      <c r="B11" s="181" t="s">
        <v>6</v>
      </c>
      <c r="C11" s="182"/>
      <c r="D11" s="14">
        <f t="shared" si="0"/>
        <v>134270</v>
      </c>
      <c r="E11" s="17">
        <f t="shared" si="1"/>
        <v>618963.71500422107</v>
      </c>
      <c r="F11" s="21">
        <f t="shared" si="2"/>
        <v>4.6100000000000003</v>
      </c>
    </row>
    <row r="12" spans="1:6" x14ac:dyDescent="0.2">
      <c r="A12" s="19">
        <v>8</v>
      </c>
      <c r="B12" s="181" t="s">
        <v>7</v>
      </c>
      <c r="C12" s="182"/>
      <c r="D12" s="14">
        <f t="shared" si="0"/>
        <v>45764</v>
      </c>
      <c r="E12" s="17">
        <f t="shared" si="1"/>
        <v>188420.18428132252</v>
      </c>
      <c r="F12" s="21">
        <f t="shared" si="2"/>
        <v>4.12</v>
      </c>
    </row>
    <row r="13" spans="1:6" x14ac:dyDescent="0.2">
      <c r="A13" s="19">
        <v>9</v>
      </c>
      <c r="B13" s="181" t="s">
        <v>8</v>
      </c>
      <c r="C13" s="182"/>
      <c r="D13" s="14">
        <f t="shared" si="0"/>
        <v>236280</v>
      </c>
      <c r="E13" s="17">
        <f t="shared" si="1"/>
        <v>873290.4847039351</v>
      </c>
      <c r="F13" s="21">
        <f t="shared" si="2"/>
        <v>3.7</v>
      </c>
    </row>
    <row r="14" spans="1:6" x14ac:dyDescent="0.2">
      <c r="A14" s="19">
        <v>10</v>
      </c>
      <c r="B14" s="181" t="s">
        <v>9</v>
      </c>
      <c r="C14" s="182"/>
      <c r="D14" s="14">
        <f t="shared" si="0"/>
        <v>880</v>
      </c>
      <c r="E14" s="17">
        <f t="shared" si="1"/>
        <v>39272.342587351712</v>
      </c>
      <c r="F14" s="21">
        <f t="shared" si="2"/>
        <v>44.63</v>
      </c>
    </row>
    <row r="15" spans="1:6" x14ac:dyDescent="0.2">
      <c r="A15" s="19">
        <v>11</v>
      </c>
      <c r="B15" s="181" t="s">
        <v>10</v>
      </c>
      <c r="C15" s="182"/>
      <c r="D15" s="14">
        <f t="shared" si="0"/>
        <v>90553</v>
      </c>
      <c r="E15" s="17">
        <f t="shared" si="1"/>
        <v>593594.49467324966</v>
      </c>
      <c r="F15" s="21">
        <f t="shared" si="2"/>
        <v>6.56</v>
      </c>
    </row>
    <row r="16" spans="1:6" ht="14.25" customHeight="1" x14ac:dyDescent="0.2">
      <c r="A16" s="19">
        <v>12</v>
      </c>
      <c r="B16" s="181" t="s">
        <v>11</v>
      </c>
      <c r="C16" s="182"/>
      <c r="D16" s="14">
        <f t="shared" si="0"/>
        <v>334882</v>
      </c>
      <c r="E16" s="17">
        <f t="shared" si="1"/>
        <v>1540474.236747178</v>
      </c>
      <c r="F16" s="21">
        <f t="shared" si="2"/>
        <v>4.5999999999999996</v>
      </c>
    </row>
    <row r="17" spans="1:6" x14ac:dyDescent="0.2">
      <c r="A17" s="19">
        <v>13</v>
      </c>
      <c r="B17" s="181" t="s">
        <v>12</v>
      </c>
      <c r="C17" s="182"/>
      <c r="D17" s="14">
        <f t="shared" si="0"/>
        <v>17472</v>
      </c>
      <c r="E17" s="17">
        <f t="shared" si="1"/>
        <v>205775.02009796494</v>
      </c>
      <c r="F17" s="21">
        <f t="shared" si="2"/>
        <v>11.78</v>
      </c>
    </row>
    <row r="18" spans="1:6" ht="14.25" customHeight="1" x14ac:dyDescent="0.2">
      <c r="A18" s="19">
        <v>14</v>
      </c>
      <c r="B18" s="181" t="s">
        <v>464</v>
      </c>
      <c r="C18" s="182"/>
      <c r="D18" s="14">
        <f t="shared" si="0"/>
        <v>84880</v>
      </c>
      <c r="E18" s="17">
        <f t="shared" si="1"/>
        <v>757839.86228910624</v>
      </c>
      <c r="F18" s="21">
        <f t="shared" si="2"/>
        <v>8.93</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141868</v>
      </c>
      <c r="E20" s="17">
        <f t="shared" si="1"/>
        <v>824864.53429819643</v>
      </c>
      <c r="F20" s="21">
        <f t="shared" si="2"/>
        <v>5.81</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73456</v>
      </c>
      <c r="E22" s="17">
        <f t="shared" si="1"/>
        <v>387645.88760966761</v>
      </c>
      <c r="F22" s="21">
        <f t="shared" si="2"/>
        <v>5.28</v>
      </c>
    </row>
    <row r="23" spans="1:6" x14ac:dyDescent="0.2">
      <c r="A23" s="19">
        <v>19</v>
      </c>
      <c r="B23" s="181" t="s">
        <v>17</v>
      </c>
      <c r="C23" s="182"/>
      <c r="D23" s="14">
        <f t="shared" si="0"/>
        <v>245464</v>
      </c>
      <c r="E23" s="17">
        <f t="shared" si="1"/>
        <v>1091210.4055246604</v>
      </c>
      <c r="F23" s="21">
        <f t="shared" si="2"/>
        <v>4.45</v>
      </c>
    </row>
    <row r="24" spans="1:6" x14ac:dyDescent="0.2">
      <c r="A24" s="19">
        <v>20</v>
      </c>
      <c r="B24" s="181" t="s">
        <v>18</v>
      </c>
      <c r="C24" s="182"/>
      <c r="D24" s="14">
        <f t="shared" si="0"/>
        <v>16704</v>
      </c>
      <c r="E24" s="17">
        <f t="shared" si="1"/>
        <v>233679.0302035489</v>
      </c>
      <c r="F24" s="21">
        <f t="shared" si="2"/>
        <v>13.99</v>
      </c>
    </row>
    <row r="25" spans="1:6" ht="14.25" customHeight="1" x14ac:dyDescent="0.2">
      <c r="A25" s="19">
        <v>21</v>
      </c>
      <c r="B25" s="181" t="s">
        <v>461</v>
      </c>
      <c r="C25" s="182"/>
      <c r="D25" s="14">
        <f t="shared" si="0"/>
        <v>11862</v>
      </c>
      <c r="E25" s="17">
        <f t="shared" si="1"/>
        <v>165814.96110359777</v>
      </c>
      <c r="F25" s="21">
        <f t="shared" si="2"/>
        <v>13.98</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93360</v>
      </c>
      <c r="E27" s="17">
        <f t="shared" si="1"/>
        <v>639013.70903995004</v>
      </c>
      <c r="F27" s="21">
        <f t="shared" si="2"/>
        <v>6.84</v>
      </c>
    </row>
    <row r="28" spans="1:6" x14ac:dyDescent="0.2">
      <c r="A28" s="19">
        <v>24</v>
      </c>
      <c r="B28" s="181" t="s">
        <v>21</v>
      </c>
      <c r="C28" s="182"/>
      <c r="D28" s="14">
        <f t="shared" si="0"/>
        <v>336397</v>
      </c>
      <c r="E28" s="17">
        <f t="shared" si="1"/>
        <v>2134175.0254060845</v>
      </c>
      <c r="F28" s="21">
        <f t="shared" si="2"/>
        <v>6.34</v>
      </c>
    </row>
    <row r="29" spans="1:6" x14ac:dyDescent="0.2">
      <c r="A29" s="19">
        <v>25</v>
      </c>
      <c r="B29" s="181" t="s">
        <v>22</v>
      </c>
      <c r="C29" s="182"/>
      <c r="D29" s="14">
        <f t="shared" si="0"/>
        <v>327792</v>
      </c>
      <c r="E29" s="17">
        <f t="shared" si="1"/>
        <v>1433050.3743104464</v>
      </c>
      <c r="F29" s="21">
        <f t="shared" si="2"/>
        <v>4.37</v>
      </c>
    </row>
    <row r="30" spans="1:6" x14ac:dyDescent="0.2">
      <c r="A30" s="19">
        <v>26</v>
      </c>
      <c r="B30" s="181" t="s">
        <v>23</v>
      </c>
      <c r="C30" s="182"/>
      <c r="D30" s="14">
        <f t="shared" si="0"/>
        <v>184742</v>
      </c>
      <c r="E30" s="17">
        <f t="shared" si="1"/>
        <v>1318075.0821278754</v>
      </c>
      <c r="F30" s="21">
        <f t="shared" si="2"/>
        <v>7.13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2817947</v>
      </c>
      <c r="E33" s="31">
        <f>SUM(E5:E32)</f>
        <v>15579836</v>
      </c>
      <c r="F33" s="32">
        <f t="shared" si="2"/>
        <v>5.53</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IF(F3="1",SUMIF(Data!A:A,'23'!$A$2,Data!CU:CU),0)</f>
        <v>6674</v>
      </c>
      <c r="E36" s="15">
        <f>IF(F3="1",SUMIF(Data!$A:$A,$A$2,Data!IO:IO),0)</f>
        <v>4736</v>
      </c>
      <c r="F36" s="20">
        <f t="shared" ref="F36:F64" si="3">IF(OR(D36=0,E36=0),"",ROUND(E36/D36,2))</f>
        <v>0.71</v>
      </c>
    </row>
    <row r="37" spans="1:6" x14ac:dyDescent="0.2">
      <c r="A37" s="19">
        <v>2</v>
      </c>
      <c r="B37" s="181" t="s">
        <v>1</v>
      </c>
      <c r="C37" s="182"/>
      <c r="D37" s="14">
        <f>IF(F3="1",SUMIF(Data!A:A,'23'!$A$2,Data!CV:CV),0)</f>
        <v>49084</v>
      </c>
      <c r="E37" s="17">
        <f>IF(F3="1",SUMIF(Data!$A:$A,$A$2,Data!IP:IP),0)</f>
        <v>15890</v>
      </c>
      <c r="F37" s="21">
        <f t="shared" si="3"/>
        <v>0.32</v>
      </c>
    </row>
    <row r="38" spans="1:6" ht="14.25" customHeight="1" x14ac:dyDescent="0.2">
      <c r="A38" s="19">
        <v>3</v>
      </c>
      <c r="B38" s="181" t="s">
        <v>2</v>
      </c>
      <c r="C38" s="182"/>
      <c r="D38" s="14">
        <f>IF(F3="1",SUMIF(Data!A:A,'23'!$A$2,Data!CW:CW),0)</f>
        <v>198448</v>
      </c>
      <c r="E38" s="17">
        <f>IF($F$3="1",SUMIF(Data!$A:$A,$A$2,Data!IQ:IQ),0)</f>
        <v>90796</v>
      </c>
      <c r="F38" s="21">
        <f t="shared" si="3"/>
        <v>0.46</v>
      </c>
    </row>
    <row r="39" spans="1:6" ht="14.25" customHeight="1" x14ac:dyDescent="0.2">
      <c r="A39" s="19">
        <v>4</v>
      </c>
      <c r="B39" s="181" t="s">
        <v>3</v>
      </c>
      <c r="C39" s="182"/>
      <c r="D39" s="14">
        <f>IF(F3="1",SUMIF(Data!A:A,'23'!$A$2,Data!CX:CX),0)</f>
        <v>175787</v>
      </c>
      <c r="E39" s="17">
        <f>IF($F$3="1",SUMIF(Data!$A:$A,$A$2,Data!IR:IR),0)</f>
        <v>68850</v>
      </c>
      <c r="F39" s="21">
        <f t="shared" si="3"/>
        <v>0.39</v>
      </c>
    </row>
    <row r="40" spans="1:6" x14ac:dyDescent="0.2">
      <c r="A40" s="19">
        <v>5</v>
      </c>
      <c r="B40" s="181" t="s">
        <v>4</v>
      </c>
      <c r="C40" s="182"/>
      <c r="D40" s="14">
        <f>IF(F3="1",SUMIF(Data!A:A,'23'!$A$2,Data!CY:CY),0)</f>
        <v>0</v>
      </c>
      <c r="E40" s="17">
        <f>IF($F$3="1",SUMIF(Data!$A:$A,$A$2,Data!IS:IS),0)</f>
        <v>0</v>
      </c>
      <c r="F40" s="21" t="str">
        <f t="shared" si="3"/>
        <v/>
      </c>
    </row>
    <row r="41" spans="1:6" x14ac:dyDescent="0.2">
      <c r="A41" s="19">
        <v>6</v>
      </c>
      <c r="B41" s="181" t="s">
        <v>5</v>
      </c>
      <c r="C41" s="182"/>
      <c r="D41" s="14">
        <f>IF(F3="1",SUMIF(Data!A:A,'23'!$A$2,Data!CZ:CZ),0)</f>
        <v>11328</v>
      </c>
      <c r="E41" s="17">
        <f>IF($F$3="1",SUMIF(Data!$A:$A,$A$2,Data!IT:IT),0)</f>
        <v>36525</v>
      </c>
      <c r="F41" s="21">
        <f t="shared" si="3"/>
        <v>3.22</v>
      </c>
    </row>
    <row r="42" spans="1:6" x14ac:dyDescent="0.2">
      <c r="A42" s="19">
        <v>7</v>
      </c>
      <c r="B42" s="181" t="s">
        <v>6</v>
      </c>
      <c r="C42" s="182"/>
      <c r="D42" s="14">
        <f>IF(F3="1",SUMIF(Data!A:A,'23'!$A$2,Data!DA:DA),0)</f>
        <v>134270</v>
      </c>
      <c r="E42" s="17">
        <f>IF($F$3="1",SUMIF(Data!$A:$A,$A$2,Data!IU:IU),0)</f>
        <v>48003</v>
      </c>
      <c r="F42" s="21">
        <f t="shared" si="3"/>
        <v>0.36</v>
      </c>
    </row>
    <row r="43" spans="1:6" x14ac:dyDescent="0.2">
      <c r="A43" s="19">
        <v>8</v>
      </c>
      <c r="B43" s="181" t="s">
        <v>7</v>
      </c>
      <c r="C43" s="182"/>
      <c r="D43" s="14">
        <f>IF(F3="1",SUMIF(Data!A:A,'23'!$A$2,Data!DB:DB),0)</f>
        <v>45764</v>
      </c>
      <c r="E43" s="17">
        <f>IF($F$3="1",SUMIF(Data!$A:$A,$A$2,Data!IV:IV),0)</f>
        <v>34087</v>
      </c>
      <c r="F43" s="21">
        <f t="shared" si="3"/>
        <v>0.74</v>
      </c>
    </row>
    <row r="44" spans="1:6" x14ac:dyDescent="0.2">
      <c r="A44" s="19">
        <v>9</v>
      </c>
      <c r="B44" s="181" t="s">
        <v>8</v>
      </c>
      <c r="C44" s="182"/>
      <c r="D44" s="14">
        <f>IF(F3="1",SUMIF(Data!A:A,'23'!$A$2,Data!DC:DC),0)</f>
        <v>236280</v>
      </c>
      <c r="E44" s="17">
        <f>IF($F$3="1",SUMIF(Data!$A:$A,$A$2,Data!IW:IW),0)</f>
        <v>23867</v>
      </c>
      <c r="F44" s="21">
        <f t="shared" si="3"/>
        <v>0.1</v>
      </c>
    </row>
    <row r="45" spans="1:6" x14ac:dyDescent="0.2">
      <c r="A45" s="19">
        <v>10</v>
      </c>
      <c r="B45" s="181" t="s">
        <v>9</v>
      </c>
      <c r="C45" s="182"/>
      <c r="D45" s="14">
        <f>IF(F3="1",SUMIF(Data!A:A,'23'!$A$2,Data!DD:DD),0)</f>
        <v>880</v>
      </c>
      <c r="E45" s="17">
        <f>IF($F$3="1",SUMIF(Data!$A:$A,$A$2,Data!IX:IX),0)</f>
        <v>2056</v>
      </c>
      <c r="F45" s="21">
        <f t="shared" si="3"/>
        <v>2.34</v>
      </c>
    </row>
    <row r="46" spans="1:6" x14ac:dyDescent="0.2">
      <c r="A46" s="19">
        <v>11</v>
      </c>
      <c r="B46" s="181" t="s">
        <v>10</v>
      </c>
      <c r="C46" s="182"/>
      <c r="D46" s="14">
        <f>IF(F3="1",SUMIF(Data!A:A,'23'!$A$2,Data!DE:DE),0)</f>
        <v>90553</v>
      </c>
      <c r="E46" s="17">
        <f>IF($F$3="1",SUMIF(Data!$A:$A,$A$2,Data!IY:IY),0)</f>
        <v>47488</v>
      </c>
      <c r="F46" s="21">
        <f t="shared" si="3"/>
        <v>0.52</v>
      </c>
    </row>
    <row r="47" spans="1:6" ht="14.25" customHeight="1" x14ac:dyDescent="0.2">
      <c r="A47" s="19">
        <v>12</v>
      </c>
      <c r="B47" s="181" t="s">
        <v>11</v>
      </c>
      <c r="C47" s="182"/>
      <c r="D47" s="14">
        <f>IF(F3="1",SUMIF(Data!A:A,'23'!$A$2,Data!DF:DF),0)</f>
        <v>334882</v>
      </c>
      <c r="E47" s="17">
        <f>IF($F$3="1",SUMIF(Data!$A:$A,$A$2,Data!IZ:IZ),0)</f>
        <v>34107</v>
      </c>
      <c r="F47" s="21">
        <f t="shared" si="3"/>
        <v>0.1</v>
      </c>
    </row>
    <row r="48" spans="1:6" x14ac:dyDescent="0.2">
      <c r="A48" s="19">
        <v>13</v>
      </c>
      <c r="B48" s="181" t="s">
        <v>12</v>
      </c>
      <c r="C48" s="182"/>
      <c r="D48" s="14">
        <f>IF(F3="1",SUMIF(Data!A:A,'23'!$A$2,Data!DG:DG),0)</f>
        <v>17472</v>
      </c>
      <c r="E48" s="17">
        <f>IF($F$3="1",SUMIF(Data!$A:$A,$A$2,Data!JA:JA),0)</f>
        <v>4194</v>
      </c>
      <c r="F48" s="21">
        <f t="shared" si="3"/>
        <v>0.24</v>
      </c>
    </row>
    <row r="49" spans="1:6" ht="14.25" customHeight="1" x14ac:dyDescent="0.2">
      <c r="A49" s="19">
        <v>14</v>
      </c>
      <c r="B49" s="181" t="s">
        <v>464</v>
      </c>
      <c r="C49" s="182"/>
      <c r="D49" s="14">
        <f>IF(F3="1",SUMIF(Data!A:A,'23'!$A$2,Data!DH:DH),0)</f>
        <v>84880</v>
      </c>
      <c r="E49" s="17">
        <f>IF($F$3="1",SUMIF(Data!$A:$A,$A$2,Data!JB:JB),0)</f>
        <v>80641</v>
      </c>
      <c r="F49" s="21">
        <f t="shared" si="3"/>
        <v>0.95</v>
      </c>
    </row>
    <row r="50" spans="1:6" x14ac:dyDescent="0.2">
      <c r="A50" s="19">
        <v>15</v>
      </c>
      <c r="B50" s="181" t="s">
        <v>13</v>
      </c>
      <c r="C50" s="182"/>
      <c r="D50" s="14">
        <f>IF(F3="1",SUMIF(Data!A:A,'23'!$A$2,Data!DI:DI),0)</f>
        <v>0</v>
      </c>
      <c r="E50" s="17">
        <f>IF($F$3="1",SUMIF(Data!$A:$A,$A$2,Data!JC:JC),0)</f>
        <v>0</v>
      </c>
      <c r="F50" s="21" t="str">
        <f t="shared" si="3"/>
        <v/>
      </c>
    </row>
    <row r="51" spans="1:6" x14ac:dyDescent="0.2">
      <c r="A51" s="19">
        <v>16</v>
      </c>
      <c r="B51" s="181" t="s">
        <v>14</v>
      </c>
      <c r="C51" s="182"/>
      <c r="D51" s="14">
        <f>IF(F3="1",SUMIF(Data!A:A,'23'!$A$2,Data!DJ:DJ),0)</f>
        <v>141868</v>
      </c>
      <c r="E51" s="17">
        <f>IF($F$3="1",SUMIF(Data!$A:$A,$A$2,Data!JD:JD),0)</f>
        <v>51778</v>
      </c>
      <c r="F51" s="21">
        <f t="shared" si="3"/>
        <v>0.36</v>
      </c>
    </row>
    <row r="52" spans="1:6" x14ac:dyDescent="0.2">
      <c r="A52" s="19">
        <v>17</v>
      </c>
      <c r="B52" s="181" t="s">
        <v>15</v>
      </c>
      <c r="C52" s="182"/>
      <c r="D52" s="14">
        <f>IF(F3="1",SUMIF(Data!A:A,'23'!$A$2,Data!DK:DK),0)</f>
        <v>0</v>
      </c>
      <c r="E52" s="17">
        <f>IF($F$3="1",SUMIF(Data!$A:$A,$A$2,Data!JE:JE),0)</f>
        <v>0</v>
      </c>
      <c r="F52" s="21" t="str">
        <f t="shared" si="3"/>
        <v/>
      </c>
    </row>
    <row r="53" spans="1:6" x14ac:dyDescent="0.2">
      <c r="A53" s="19">
        <v>18</v>
      </c>
      <c r="B53" s="181" t="s">
        <v>16</v>
      </c>
      <c r="C53" s="182"/>
      <c r="D53" s="14">
        <f>IF(F3="1",SUMIF(Data!A:A,'23'!$A$2,Data!DL:DL),0)</f>
        <v>73456</v>
      </c>
      <c r="E53" s="17">
        <f>IF($F$3="1",SUMIF(Data!$A:$A,$A$2,Data!JF:JF),0)</f>
        <v>6575</v>
      </c>
      <c r="F53" s="21">
        <f t="shared" si="3"/>
        <v>0.09</v>
      </c>
    </row>
    <row r="54" spans="1:6" x14ac:dyDescent="0.2">
      <c r="A54" s="19">
        <v>19</v>
      </c>
      <c r="B54" s="181" t="s">
        <v>17</v>
      </c>
      <c r="C54" s="182"/>
      <c r="D54" s="14">
        <f>IF(F3="1",SUMIF(Data!A:A,'23'!$A$2,Data!DM:DM),0)</f>
        <v>245464</v>
      </c>
      <c r="E54" s="17">
        <f>IF($F$3="1",SUMIF(Data!$A:$A,$A$2,Data!JG:JG),0)</f>
        <v>14604</v>
      </c>
      <c r="F54" s="21">
        <f t="shared" si="3"/>
        <v>0.06</v>
      </c>
    </row>
    <row r="55" spans="1:6" x14ac:dyDescent="0.2">
      <c r="A55" s="19">
        <v>20</v>
      </c>
      <c r="B55" s="181" t="s">
        <v>18</v>
      </c>
      <c r="C55" s="182"/>
      <c r="D55" s="14">
        <f>IF(F3="1",SUMIF(Data!A:A,'23'!$A$2,Data!DN:DN),0)</f>
        <v>16704</v>
      </c>
      <c r="E55" s="17">
        <f>IF($F$3="1",SUMIF(Data!$A:$A,$A$2,Data!JH:JH),0)</f>
        <v>115546</v>
      </c>
      <c r="F55" s="21">
        <f t="shared" si="3"/>
        <v>6.92</v>
      </c>
    </row>
    <row r="56" spans="1:6" ht="14.25" customHeight="1" x14ac:dyDescent="0.2">
      <c r="A56" s="19">
        <v>21</v>
      </c>
      <c r="B56" s="181" t="s">
        <v>461</v>
      </c>
      <c r="C56" s="182"/>
      <c r="D56" s="14">
        <f>IF(F3="1",SUMIF(Data!A:A,'23'!$A$2,Data!DO:DO),0)</f>
        <v>11862</v>
      </c>
      <c r="E56" s="17">
        <f>IF($F$3="1",SUMIF(Data!$A:$A,$A$2,Data!JI:JI),0)</f>
        <v>57652</v>
      </c>
      <c r="F56" s="21">
        <f t="shared" si="3"/>
        <v>4.8600000000000003</v>
      </c>
    </row>
    <row r="57" spans="1:6" x14ac:dyDescent="0.2">
      <c r="A57" s="19">
        <v>22</v>
      </c>
      <c r="B57" s="181" t="s">
        <v>19</v>
      </c>
      <c r="C57" s="182"/>
      <c r="D57" s="14">
        <f>IF(F3="1",SUMIF(Data!A:A,'23'!$A$2,Data!DP:DP),0)</f>
        <v>0</v>
      </c>
      <c r="E57" s="17">
        <f>IF($F$3="1",SUMIF(Data!$A:$A,$A$2,Data!JJ:JJ),0)</f>
        <v>0</v>
      </c>
      <c r="F57" s="21" t="str">
        <f t="shared" si="3"/>
        <v/>
      </c>
    </row>
    <row r="58" spans="1:6" x14ac:dyDescent="0.2">
      <c r="A58" s="19">
        <v>23</v>
      </c>
      <c r="B58" s="181" t="s">
        <v>20</v>
      </c>
      <c r="C58" s="182"/>
      <c r="D58" s="14">
        <f>IF(F3="1",SUMIF(Data!A:A,'23'!$A$2,Data!DQ:DQ),0)</f>
        <v>93360</v>
      </c>
      <c r="E58" s="17">
        <f>IF($F$3="1",SUMIF(Data!$A:$A,$A$2,Data!JK:JK),0)</f>
        <v>23498</v>
      </c>
      <c r="F58" s="21">
        <f t="shared" si="3"/>
        <v>0.25</v>
      </c>
    </row>
    <row r="59" spans="1:6" x14ac:dyDescent="0.2">
      <c r="A59" s="19">
        <v>24</v>
      </c>
      <c r="B59" s="181" t="s">
        <v>21</v>
      </c>
      <c r="C59" s="182"/>
      <c r="D59" s="14">
        <f>IF(F3="1",SUMIF(Data!A:A,'23'!$A$2,Data!DR:DR),0)</f>
        <v>336397</v>
      </c>
      <c r="E59" s="17">
        <f>IF($F$3="1",SUMIF(Data!$A:$A,$A$2,Data!JL:JL),0)</f>
        <v>682734</v>
      </c>
      <c r="F59" s="21">
        <f t="shared" si="3"/>
        <v>2.0299999999999998</v>
      </c>
    </row>
    <row r="60" spans="1:6" x14ac:dyDescent="0.2">
      <c r="A60" s="19">
        <v>25</v>
      </c>
      <c r="B60" s="181" t="s">
        <v>22</v>
      </c>
      <c r="C60" s="182"/>
      <c r="D60" s="14">
        <f>IF(F3="1",SUMIF(Data!A:A,'23'!$A$2,Data!DS:DS),0)</f>
        <v>327792</v>
      </c>
      <c r="E60" s="17">
        <f>IF($F$3="1",SUMIF(Data!$A:$A,$A$2,Data!JM:JM),0)</f>
        <v>23423</v>
      </c>
      <c r="F60" s="21">
        <f t="shared" si="3"/>
        <v>7.0000000000000007E-2</v>
      </c>
    </row>
    <row r="61" spans="1:6" x14ac:dyDescent="0.2">
      <c r="A61" s="19">
        <v>26</v>
      </c>
      <c r="B61" s="181" t="s">
        <v>23</v>
      </c>
      <c r="C61" s="182"/>
      <c r="D61" s="14">
        <f>IF(F3="1",SUMIF(Data!A:A,'23'!$A$2,Data!DT:DT),0)</f>
        <v>184742</v>
      </c>
      <c r="E61" s="17">
        <f>IF($F$3="1",SUMIF(Data!$A:$A,$A$2,Data!JN:JN),0)</f>
        <v>223955</v>
      </c>
      <c r="F61" s="21">
        <f t="shared" si="3"/>
        <v>1.21</v>
      </c>
    </row>
    <row r="62" spans="1:6" x14ac:dyDescent="0.2">
      <c r="A62" s="19">
        <v>28</v>
      </c>
      <c r="B62" s="181" t="s">
        <v>24</v>
      </c>
      <c r="C62" s="182"/>
      <c r="D62" s="14">
        <f>IF(F3="1",SUMIF(Data!A:A,'23'!$A$2,Data!DV:DV),0)</f>
        <v>0</v>
      </c>
      <c r="E62" s="17">
        <f>IF($F$3="1",SUMIF(Data!$A:$A,$A$2,Data!JP:JP),0)</f>
        <v>0</v>
      </c>
      <c r="F62" s="21" t="str">
        <f t="shared" si="3"/>
        <v/>
      </c>
    </row>
    <row r="63" spans="1:6" ht="15.75" customHeight="1" thickBot="1" x14ac:dyDescent="0.25">
      <c r="A63" s="22">
        <v>29</v>
      </c>
      <c r="B63" s="183" t="s">
        <v>25</v>
      </c>
      <c r="C63" s="184"/>
      <c r="D63" s="23">
        <f>IF(F3="1",SUMIF(Data!A:A,'23'!$A$2,Data!DW:DW),0)</f>
        <v>0</v>
      </c>
      <c r="E63" s="24">
        <f>IF($F$3="1",SUMIF(Data!$A:$A,$A$2,Data!JQ:JQ),0)</f>
        <v>0</v>
      </c>
      <c r="F63" s="25" t="str">
        <f t="shared" si="3"/>
        <v/>
      </c>
    </row>
    <row r="64" spans="1:6" x14ac:dyDescent="0.2">
      <c r="B64" s="30" t="s">
        <v>35</v>
      </c>
      <c r="C64" s="30"/>
      <c r="D64" s="59">
        <f>SUM(D36:D63)</f>
        <v>2817947</v>
      </c>
      <c r="E64" s="31">
        <f>SUM(E36:E63)</f>
        <v>1691005</v>
      </c>
      <c r="F64" s="32">
        <f t="shared" si="3"/>
        <v>0.6</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6674</v>
      </c>
      <c r="E67" s="15">
        <f>IF(F3="1",SUMIF(Data!A:A,'23'!$A$2,Data!DY:DY),0)</f>
        <v>48382</v>
      </c>
      <c r="F67" s="20">
        <f t="shared" ref="F67:F95" si="4">IF(OR(D67=0,E67=0),"",ROUND(E67/D67,2))</f>
        <v>7.25</v>
      </c>
    </row>
    <row r="68" spans="1:6" x14ac:dyDescent="0.2">
      <c r="A68" s="19">
        <v>2</v>
      </c>
      <c r="B68" s="181" t="s">
        <v>1</v>
      </c>
      <c r="C68" s="182"/>
      <c r="D68" s="14">
        <f t="shared" ref="D68:D94" si="5">D37</f>
        <v>49084</v>
      </c>
      <c r="E68" s="17">
        <f>IF(F3="1",SUMIF(Data!A:A,'23'!$A$2,Data!DZ:DZ),0)</f>
        <v>102921</v>
      </c>
      <c r="F68" s="21">
        <f t="shared" si="4"/>
        <v>2.1</v>
      </c>
    </row>
    <row r="69" spans="1:6" ht="14.25" customHeight="1" x14ac:dyDescent="0.2">
      <c r="A69" s="19">
        <v>3</v>
      </c>
      <c r="B69" s="181" t="s">
        <v>2</v>
      </c>
      <c r="C69" s="182"/>
      <c r="D69" s="14">
        <f t="shared" si="5"/>
        <v>198448</v>
      </c>
      <c r="E69" s="17">
        <f>IF(F3="1",SUMIF(Data!A:A,'23'!$A$2,Data!EA:EA),0)</f>
        <v>572024</v>
      </c>
      <c r="F69" s="21">
        <f t="shared" si="4"/>
        <v>2.88</v>
      </c>
    </row>
    <row r="70" spans="1:6" ht="14.25" customHeight="1" x14ac:dyDescent="0.2">
      <c r="A70" s="19">
        <v>4</v>
      </c>
      <c r="B70" s="181" t="s">
        <v>3</v>
      </c>
      <c r="C70" s="182"/>
      <c r="D70" s="14">
        <f t="shared" si="5"/>
        <v>175787</v>
      </c>
      <c r="E70" s="17">
        <f>IF(F3="1",SUMIF(Data!A:A,'23'!$A$2,Data!EB:EB),0)</f>
        <v>488503</v>
      </c>
      <c r="F70" s="21">
        <f t="shared" si="4"/>
        <v>2.78</v>
      </c>
    </row>
    <row r="71" spans="1:6" x14ac:dyDescent="0.2">
      <c r="A71" s="19">
        <v>5</v>
      </c>
      <c r="B71" s="181" t="s">
        <v>4</v>
      </c>
      <c r="C71" s="182"/>
      <c r="D71" s="14">
        <f t="shared" si="5"/>
        <v>0</v>
      </c>
      <c r="E71" s="17">
        <f>IF(F3="1",SUMIF(Data!A:A,'23'!$A$2,Data!EC:EC),0)</f>
        <v>0</v>
      </c>
      <c r="F71" s="21" t="str">
        <f t="shared" si="4"/>
        <v/>
      </c>
    </row>
    <row r="72" spans="1:6" x14ac:dyDescent="0.2">
      <c r="A72" s="19">
        <v>6</v>
      </c>
      <c r="B72" s="181" t="s">
        <v>5</v>
      </c>
      <c r="C72" s="182"/>
      <c r="D72" s="14">
        <f t="shared" si="5"/>
        <v>11328</v>
      </c>
      <c r="E72" s="17">
        <f>IF(F3="1",SUMIF(Data!A:A,'23'!$A$2,Data!ED:ED),0)</f>
        <v>72284</v>
      </c>
      <c r="F72" s="21">
        <f t="shared" si="4"/>
        <v>6.38</v>
      </c>
    </row>
    <row r="73" spans="1:6" x14ac:dyDescent="0.2">
      <c r="A73" s="19">
        <v>7</v>
      </c>
      <c r="B73" s="181" t="s">
        <v>6</v>
      </c>
      <c r="C73" s="182"/>
      <c r="D73" s="14">
        <f t="shared" si="5"/>
        <v>134270</v>
      </c>
      <c r="E73" s="17">
        <f>IF(F3="1",SUMIF(Data!A:A,'23'!$A$2,Data!EE:EE),0)</f>
        <v>256442</v>
      </c>
      <c r="F73" s="21">
        <f t="shared" si="4"/>
        <v>1.91</v>
      </c>
    </row>
    <row r="74" spans="1:6" x14ac:dyDescent="0.2">
      <c r="A74" s="19">
        <v>8</v>
      </c>
      <c r="B74" s="181" t="s">
        <v>7</v>
      </c>
      <c r="C74" s="182"/>
      <c r="D74" s="14">
        <f t="shared" si="5"/>
        <v>45764</v>
      </c>
      <c r="E74" s="17">
        <f>IF(F3="1",SUMIF(Data!A:A,'23'!$A$2,Data!EF:EF),0)</f>
        <v>47134</v>
      </c>
      <c r="F74" s="21">
        <f t="shared" si="4"/>
        <v>1.03</v>
      </c>
    </row>
    <row r="75" spans="1:6" x14ac:dyDescent="0.2">
      <c r="A75" s="19">
        <v>9</v>
      </c>
      <c r="B75" s="181" t="s">
        <v>8</v>
      </c>
      <c r="C75" s="182"/>
      <c r="D75" s="14">
        <f t="shared" si="5"/>
        <v>236280</v>
      </c>
      <c r="E75" s="17">
        <f>IF(F3="1",SUMIF(Data!A:A,'23'!$A$2,Data!EG:EG),0)</f>
        <v>295953</v>
      </c>
      <c r="F75" s="21">
        <f t="shared" si="4"/>
        <v>1.25</v>
      </c>
    </row>
    <row r="76" spans="1:6" x14ac:dyDescent="0.2">
      <c r="A76" s="19">
        <v>10</v>
      </c>
      <c r="B76" s="181" t="s">
        <v>9</v>
      </c>
      <c r="C76" s="182"/>
      <c r="D76" s="14">
        <f t="shared" si="5"/>
        <v>880</v>
      </c>
      <c r="E76" s="17">
        <f>IF(F3="1",SUMIF(Data!A:A,'23'!$A$2,Data!EH:EH),0)</f>
        <v>35155</v>
      </c>
      <c r="F76" s="21">
        <f t="shared" si="4"/>
        <v>39.950000000000003</v>
      </c>
    </row>
    <row r="77" spans="1:6" x14ac:dyDescent="0.2">
      <c r="A77" s="19">
        <v>11</v>
      </c>
      <c r="B77" s="181" t="s">
        <v>10</v>
      </c>
      <c r="C77" s="182"/>
      <c r="D77" s="14">
        <f t="shared" si="5"/>
        <v>90553</v>
      </c>
      <c r="E77" s="17">
        <f>IF(F3="1",SUMIF(Data!A:A,'23'!$A$2,Data!EI:EI),0)</f>
        <v>333992</v>
      </c>
      <c r="F77" s="21">
        <f t="shared" si="4"/>
        <v>3.69</v>
      </c>
    </row>
    <row r="78" spans="1:6" ht="14.25" customHeight="1" x14ac:dyDescent="0.2">
      <c r="A78" s="19">
        <v>12</v>
      </c>
      <c r="B78" s="181" t="s">
        <v>11</v>
      </c>
      <c r="C78" s="182"/>
      <c r="D78" s="14">
        <f t="shared" si="5"/>
        <v>334882</v>
      </c>
      <c r="E78" s="17">
        <f>IF(F3="1",SUMIF(Data!A:A,'23'!$A$2,Data!EJ:EJ),0)</f>
        <v>721928</v>
      </c>
      <c r="F78" s="21">
        <f t="shared" si="4"/>
        <v>2.16</v>
      </c>
    </row>
    <row r="79" spans="1:6" x14ac:dyDescent="0.2">
      <c r="A79" s="19">
        <v>13</v>
      </c>
      <c r="B79" s="181" t="s">
        <v>12</v>
      </c>
      <c r="C79" s="182"/>
      <c r="D79" s="14">
        <f t="shared" si="5"/>
        <v>17472</v>
      </c>
      <c r="E79" s="17">
        <f>IF(F3="1",SUMIF(Data!A:A,'23'!$A$2,Data!EK:EK),0)</f>
        <v>160654</v>
      </c>
      <c r="F79" s="21">
        <f t="shared" si="4"/>
        <v>9.19</v>
      </c>
    </row>
    <row r="80" spans="1:6" ht="14.25" customHeight="1" x14ac:dyDescent="0.2">
      <c r="A80" s="19">
        <v>14</v>
      </c>
      <c r="B80" s="181" t="s">
        <v>464</v>
      </c>
      <c r="C80" s="182"/>
      <c r="D80" s="14">
        <f t="shared" si="5"/>
        <v>84880</v>
      </c>
      <c r="E80" s="17">
        <f>IF(F3="1",SUMIF(Data!A:A,'23'!$A$2,Data!EL:EL),0)</f>
        <v>478373</v>
      </c>
      <c r="F80" s="21">
        <f t="shared" si="4"/>
        <v>5.64</v>
      </c>
    </row>
    <row r="81" spans="1:6" x14ac:dyDescent="0.2">
      <c r="A81" s="19">
        <v>15</v>
      </c>
      <c r="B81" s="181" t="s">
        <v>13</v>
      </c>
      <c r="C81" s="182"/>
      <c r="D81" s="14">
        <f t="shared" si="5"/>
        <v>0</v>
      </c>
      <c r="E81" s="17">
        <f>IF(F3="1",SUMIF(Data!A:A,'23'!$A$2,Data!EM:EM),0)</f>
        <v>0</v>
      </c>
      <c r="F81" s="21" t="str">
        <f t="shared" si="4"/>
        <v/>
      </c>
    </row>
    <row r="82" spans="1:6" x14ac:dyDescent="0.2">
      <c r="A82" s="19">
        <v>16</v>
      </c>
      <c r="B82" s="181" t="s">
        <v>14</v>
      </c>
      <c r="C82" s="182"/>
      <c r="D82" s="14">
        <f t="shared" si="5"/>
        <v>141868</v>
      </c>
      <c r="E82" s="17">
        <f>IF(F3="1",SUMIF(Data!A:A,'23'!$A$2,Data!EN:EN),0)</f>
        <v>440770</v>
      </c>
      <c r="F82" s="21">
        <f t="shared" si="4"/>
        <v>3.11</v>
      </c>
    </row>
    <row r="83" spans="1:6" x14ac:dyDescent="0.2">
      <c r="A83" s="19">
        <v>17</v>
      </c>
      <c r="B83" s="181" t="s">
        <v>15</v>
      </c>
      <c r="C83" s="182"/>
      <c r="D83" s="14">
        <f t="shared" si="5"/>
        <v>0</v>
      </c>
      <c r="E83" s="17">
        <f>IF(F3="1",SUMIF(Data!A:A,'23'!$A$2,Data!EO:EO),0)</f>
        <v>0</v>
      </c>
      <c r="F83" s="21" t="str">
        <f t="shared" si="4"/>
        <v/>
      </c>
    </row>
    <row r="84" spans="1:6" x14ac:dyDescent="0.2">
      <c r="A84" s="19">
        <v>18</v>
      </c>
      <c r="B84" s="181" t="s">
        <v>16</v>
      </c>
      <c r="C84" s="182"/>
      <c r="D84" s="14">
        <f t="shared" si="5"/>
        <v>73456</v>
      </c>
      <c r="E84" s="17">
        <f>IF(F3="1",SUMIF(Data!A:A,'23'!$A$2,Data!EP:EP),0)</f>
        <v>209005</v>
      </c>
      <c r="F84" s="21">
        <f t="shared" si="4"/>
        <v>2.85</v>
      </c>
    </row>
    <row r="85" spans="1:6" x14ac:dyDescent="0.2">
      <c r="A85" s="19">
        <v>19</v>
      </c>
      <c r="B85" s="181" t="s">
        <v>17</v>
      </c>
      <c r="C85" s="182"/>
      <c r="D85" s="14">
        <f t="shared" si="5"/>
        <v>245464</v>
      </c>
      <c r="E85" s="17">
        <f>IF(F3="1",SUMIF(Data!A:A,'23'!$A$2,Data!EQ:EQ),0)</f>
        <v>501623</v>
      </c>
      <c r="F85" s="21">
        <f t="shared" si="4"/>
        <v>2.04</v>
      </c>
    </row>
    <row r="86" spans="1:6" x14ac:dyDescent="0.2">
      <c r="A86" s="19">
        <v>20</v>
      </c>
      <c r="B86" s="181" t="s">
        <v>18</v>
      </c>
      <c r="C86" s="182"/>
      <c r="D86" s="14">
        <f t="shared" si="5"/>
        <v>16704</v>
      </c>
      <c r="E86" s="17">
        <f>IF(F3="1",SUMIF(Data!A:A,'23'!$A$2,Data!ER:ER),0)</f>
        <v>79005</v>
      </c>
      <c r="F86" s="21">
        <f t="shared" si="4"/>
        <v>4.7300000000000004</v>
      </c>
    </row>
    <row r="87" spans="1:6" ht="14.25" customHeight="1" x14ac:dyDescent="0.2">
      <c r="A87" s="19">
        <v>21</v>
      </c>
      <c r="B87" s="181" t="s">
        <v>461</v>
      </c>
      <c r="C87" s="182"/>
      <c r="D87" s="14">
        <f t="shared" si="5"/>
        <v>11862</v>
      </c>
      <c r="E87" s="17">
        <f>IF(F3="1",SUMIF(Data!A:A,'23'!$A$2,Data!ES:ES),0)</f>
        <v>80377</v>
      </c>
      <c r="F87" s="21">
        <f t="shared" si="4"/>
        <v>6.78</v>
      </c>
    </row>
    <row r="88" spans="1:6" x14ac:dyDescent="0.2">
      <c r="A88" s="19">
        <v>22</v>
      </c>
      <c r="B88" s="181" t="s">
        <v>19</v>
      </c>
      <c r="C88" s="182"/>
      <c r="D88" s="14">
        <f t="shared" si="5"/>
        <v>0</v>
      </c>
      <c r="E88" s="17">
        <f>IF(F3="1",SUMIF(Data!A:A,'23'!$A$2,Data!ET:ET),0)</f>
        <v>0</v>
      </c>
      <c r="F88" s="21" t="str">
        <f t="shared" si="4"/>
        <v/>
      </c>
    </row>
    <row r="89" spans="1:6" x14ac:dyDescent="0.2">
      <c r="A89" s="19">
        <v>23</v>
      </c>
      <c r="B89" s="181" t="s">
        <v>20</v>
      </c>
      <c r="C89" s="182"/>
      <c r="D89" s="14">
        <f t="shared" si="5"/>
        <v>93360</v>
      </c>
      <c r="E89" s="17">
        <f>IF(F3="1",SUMIF(Data!A:A,'23'!$A$2,Data!EU:EU),0)</f>
        <v>396826</v>
      </c>
      <c r="F89" s="21">
        <f t="shared" si="4"/>
        <v>4.25</v>
      </c>
    </row>
    <row r="90" spans="1:6" x14ac:dyDescent="0.2">
      <c r="A90" s="19">
        <v>24</v>
      </c>
      <c r="B90" s="181" t="s">
        <v>21</v>
      </c>
      <c r="C90" s="182"/>
      <c r="D90" s="14">
        <f t="shared" si="5"/>
        <v>336397</v>
      </c>
      <c r="E90" s="17">
        <f>IF(F3="1",SUMIF(Data!A:A,'23'!$A$2,Data!EV:EV),0)</f>
        <v>663453</v>
      </c>
      <c r="F90" s="21">
        <f t="shared" si="4"/>
        <v>1.97</v>
      </c>
    </row>
    <row r="91" spans="1:6" x14ac:dyDescent="0.2">
      <c r="A91" s="19">
        <v>25</v>
      </c>
      <c r="B91" s="181" t="s">
        <v>22</v>
      </c>
      <c r="C91" s="182"/>
      <c r="D91" s="14">
        <f t="shared" si="5"/>
        <v>327792</v>
      </c>
      <c r="E91" s="17">
        <f>IF(F3="1",SUMIF(Data!A:A,'23'!$A$2,Data!EW:EW),0)</f>
        <v>641796</v>
      </c>
      <c r="F91" s="21">
        <f t="shared" si="4"/>
        <v>1.96</v>
      </c>
    </row>
    <row r="92" spans="1:6" x14ac:dyDescent="0.2">
      <c r="A92" s="19">
        <v>26</v>
      </c>
      <c r="B92" s="181" t="s">
        <v>23</v>
      </c>
      <c r="C92" s="182"/>
      <c r="D92" s="14">
        <f t="shared" si="5"/>
        <v>184742</v>
      </c>
      <c r="E92" s="17">
        <f>IF(F3="1",SUMIF(Data!A:A,'23'!$A$2,Data!EX:EX),0)</f>
        <v>661374</v>
      </c>
      <c r="F92" s="21">
        <f t="shared" si="4"/>
        <v>3.58</v>
      </c>
    </row>
    <row r="93" spans="1:6" x14ac:dyDescent="0.2">
      <c r="A93" s="19">
        <v>28</v>
      </c>
      <c r="B93" s="181" t="s">
        <v>24</v>
      </c>
      <c r="C93" s="182"/>
      <c r="D93" s="14">
        <f t="shared" si="5"/>
        <v>0</v>
      </c>
      <c r="E93" s="17">
        <f>IF(F3="1",SUMIF(Data!A:A,'23'!$A$2,Data!EZ:EZ),0)</f>
        <v>0</v>
      </c>
      <c r="F93" s="21" t="str">
        <f t="shared" si="4"/>
        <v/>
      </c>
    </row>
    <row r="94" spans="1:6" ht="15.75" customHeight="1" thickBot="1" x14ac:dyDescent="0.25">
      <c r="A94" s="22">
        <v>29</v>
      </c>
      <c r="B94" s="183" t="s">
        <v>25</v>
      </c>
      <c r="C94" s="184"/>
      <c r="D94" s="23">
        <f t="shared" si="5"/>
        <v>0</v>
      </c>
      <c r="E94" s="24">
        <f>IF(F3="1",SUMIF(Data!A:A,'23'!$A$2,Data!FA:FA),0)</f>
        <v>0</v>
      </c>
      <c r="F94" s="25" t="str">
        <f t="shared" si="4"/>
        <v/>
      </c>
    </row>
    <row r="95" spans="1:6" x14ac:dyDescent="0.2">
      <c r="B95" s="30" t="s">
        <v>35</v>
      </c>
      <c r="C95" s="30"/>
      <c r="D95" s="59">
        <f>SUM(D67:D94)</f>
        <v>2817947</v>
      </c>
      <c r="E95" s="31">
        <f>SUM(E67:E94)</f>
        <v>7287974</v>
      </c>
      <c r="F95" s="32">
        <f t="shared" si="4"/>
        <v>2.59</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IF(F3="1",SUMIF(Data!A:A,'23'!$A$2,Data!AH:AH),0)</f>
        <v>2598706</v>
      </c>
      <c r="F98" s="20">
        <f>IF(OR(E98=0,E98=0),"",ROUND(E98/$D$105,2))</f>
        <v>0.92</v>
      </c>
    </row>
    <row r="99" spans="2:6" x14ac:dyDescent="0.2">
      <c r="B99" s="187" t="s">
        <v>31</v>
      </c>
      <c r="C99" s="188"/>
      <c r="D99" s="36"/>
      <c r="E99" s="17">
        <f>IF(F3="1",SUMIF(Data!A:A,'23'!$A$2,Data!AI:AI),0)</f>
        <v>1107377</v>
      </c>
      <c r="F99" s="21">
        <f t="shared" ref="F99:F104" si="6">IF(OR(E99=0,E99=0),"",ROUND(E99/$D$105,2))</f>
        <v>0.39</v>
      </c>
    </row>
    <row r="100" spans="2:6" x14ac:dyDescent="0.2">
      <c r="B100" s="187" t="s">
        <v>1078</v>
      </c>
      <c r="C100" s="188"/>
      <c r="D100" s="36"/>
      <c r="E100" s="17">
        <f>IF(F3="1",SUMIF(Data!A:A,'23'!$A$2,Data!AJ:AJ),0)</f>
        <v>389113</v>
      </c>
      <c r="F100" s="21">
        <f t="shared" si="6"/>
        <v>0.14000000000000001</v>
      </c>
    </row>
    <row r="101" spans="2:6" x14ac:dyDescent="0.2">
      <c r="B101" s="187" t="s">
        <v>1079</v>
      </c>
      <c r="C101" s="188"/>
      <c r="D101" s="36"/>
      <c r="E101" s="17">
        <f>IF(F3="1",SUMIF(Data!A:A,'23'!$A$2,Data!AK:AK),0)</f>
        <v>1593595</v>
      </c>
      <c r="F101" s="21">
        <f t="shared" si="6"/>
        <v>0.56999999999999995</v>
      </c>
    </row>
    <row r="102" spans="2:6" x14ac:dyDescent="0.2">
      <c r="B102" s="187" t="s">
        <v>1080</v>
      </c>
      <c r="C102" s="188"/>
      <c r="D102" s="36"/>
      <c r="E102" s="17">
        <f>IF(F3="1",SUMIF(Data!A:A,'23'!$A$2,Data!AL:AL),0)</f>
        <v>0</v>
      </c>
      <c r="F102" s="21" t="str">
        <f t="shared" si="6"/>
        <v/>
      </c>
    </row>
    <row r="103" spans="2:6" x14ac:dyDescent="0.2">
      <c r="B103" s="189" t="s">
        <v>34</v>
      </c>
      <c r="C103" s="190"/>
      <c r="D103" s="36"/>
      <c r="E103" s="17">
        <f>IF(F3="1",SUMIF(Data!A:A,'23'!$A$2,Data!AM:AM),0)</f>
        <v>0</v>
      </c>
      <c r="F103" s="21" t="str">
        <f t="shared" si="6"/>
        <v/>
      </c>
    </row>
    <row r="104" spans="2:6" ht="15.75" customHeight="1" thickBot="1" x14ac:dyDescent="0.25">
      <c r="B104" s="179" t="s">
        <v>29</v>
      </c>
      <c r="C104" s="180"/>
      <c r="D104" s="37"/>
      <c r="E104" s="24">
        <f>IF(F3="1",SUMIF(Data!A:A,'23'!$A$2,Data!Q:Q),0)</f>
        <v>912066</v>
      </c>
      <c r="F104" s="25">
        <f t="shared" si="6"/>
        <v>0.32</v>
      </c>
    </row>
    <row r="105" spans="2:6" x14ac:dyDescent="0.2">
      <c r="B105" s="30" t="s">
        <v>35</v>
      </c>
      <c r="C105" s="30"/>
      <c r="D105" s="34">
        <f>D95</f>
        <v>2817947</v>
      </c>
      <c r="E105" s="31">
        <f>SUM(E98:E104)</f>
        <v>6600857</v>
      </c>
      <c r="F105" s="32">
        <f>IF($D$105=0,"",ROUND(E105/$D$105,2))</f>
        <v>2.34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7287974</v>
      </c>
      <c r="D109" s="15">
        <f>IF(F3="1",SUMIF(Data!$A:$A,$A$2,Data!HJ:HJ),0)</f>
        <v>0</v>
      </c>
      <c r="E109" s="15">
        <f>IF(F3="1",SUMIF(Data!$A:$A,$A$2,Data!IN:IN),0)</f>
        <v>0</v>
      </c>
      <c r="F109" s="47">
        <f>SUM(C109:E109)</f>
        <v>7287974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912066</v>
      </c>
      <c r="E117" s="52"/>
      <c r="F117" s="49">
        <f>SUM(C117:E117)</f>
        <v>912066</v>
      </c>
    </row>
    <row r="118" spans="1:6" x14ac:dyDescent="0.2">
      <c r="B118" s="13" t="s">
        <v>35</v>
      </c>
      <c r="C118" s="4">
        <f>SUM(C109:C116)</f>
        <v>7287974</v>
      </c>
      <c r="D118" s="4">
        <f>SUM(D109:D116)</f>
        <v>0</v>
      </c>
      <c r="E118" s="4">
        <f>SUM(E109:E116)</f>
        <v>0</v>
      </c>
      <c r="F118" s="4">
        <f>SUM(F109:F116)</f>
        <v>7287974</v>
      </c>
    </row>
    <row r="119" spans="1:6" ht="15" thickBot="1" x14ac:dyDescent="0.25"/>
    <row r="120" spans="1:6" ht="15" thickBot="1" x14ac:dyDescent="0.25">
      <c r="B120" s="55" t="s">
        <v>934</v>
      </c>
      <c r="C120" s="53"/>
      <c r="D120" s="53"/>
      <c r="E120" s="53">
        <f>IF(F3="1",SUMIF(Data!A:A,'23'!$A$2,Data!AM:AM),0)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378</v>
      </c>
      <c r="B2" s="58" t="str">
        <f>VLOOKUP(A2,Data!A:G,7,0)</f>
        <v>Laredo Community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0</v>
      </c>
      <c r="E6" s="17">
        <f t="shared" ref="E6:E32" si="1">E37+E68+IFERROR($E$105/$D$105*D6,0)</f>
        <v>0</v>
      </c>
      <c r="F6" s="21" t="str">
        <f t="shared" ref="F6:F33" si="2">IF(OR(D6=0,E6=0),"",ROUND(E6/D6,2))</f>
        <v/>
      </c>
    </row>
    <row r="7" spans="1:6" ht="14.25" customHeight="1" x14ac:dyDescent="0.2">
      <c r="A7" s="19">
        <v>3</v>
      </c>
      <c r="B7" s="181" t="s">
        <v>2</v>
      </c>
      <c r="C7" s="182"/>
      <c r="D7" s="14">
        <f t="shared" si="0"/>
        <v>248960</v>
      </c>
      <c r="E7" s="17">
        <f t="shared" si="1"/>
        <v>1823194.4778126534</v>
      </c>
      <c r="F7" s="21">
        <f t="shared" si="2"/>
        <v>7.32</v>
      </c>
    </row>
    <row r="8" spans="1:6" ht="14.25" customHeight="1" x14ac:dyDescent="0.2">
      <c r="A8" s="19">
        <v>4</v>
      </c>
      <c r="B8" s="181" t="s">
        <v>3</v>
      </c>
      <c r="C8" s="182"/>
      <c r="D8" s="14">
        <f t="shared" si="0"/>
        <v>395792</v>
      </c>
      <c r="E8" s="17">
        <f t="shared" si="1"/>
        <v>3131396.9639236256</v>
      </c>
      <c r="F8" s="21">
        <f t="shared" si="2"/>
        <v>7.91</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135952</v>
      </c>
      <c r="E10" s="17">
        <f t="shared" si="1"/>
        <v>873663.32641221839</v>
      </c>
      <c r="F10" s="21">
        <f t="shared" si="2"/>
        <v>6.43</v>
      </c>
    </row>
    <row r="11" spans="1:6" x14ac:dyDescent="0.2">
      <c r="A11" s="19">
        <v>7</v>
      </c>
      <c r="B11" s="181" t="s">
        <v>6</v>
      </c>
      <c r="C11" s="182"/>
      <c r="D11" s="14">
        <f t="shared" si="0"/>
        <v>256128</v>
      </c>
      <c r="E11" s="17">
        <f t="shared" si="1"/>
        <v>1828767.171261244</v>
      </c>
      <c r="F11" s="21">
        <f t="shared" si="2"/>
        <v>7.14</v>
      </c>
    </row>
    <row r="12" spans="1:6" x14ac:dyDescent="0.2">
      <c r="A12" s="19">
        <v>8</v>
      </c>
      <c r="B12" s="181" t="s">
        <v>7</v>
      </c>
      <c r="C12" s="182"/>
      <c r="D12" s="14">
        <f t="shared" si="0"/>
        <v>67536</v>
      </c>
      <c r="E12" s="17">
        <f t="shared" si="1"/>
        <v>698821.93983593897</v>
      </c>
      <c r="F12" s="21">
        <f t="shared" si="2"/>
        <v>10.35</v>
      </c>
    </row>
    <row r="13" spans="1:6" x14ac:dyDescent="0.2">
      <c r="A13" s="19">
        <v>9</v>
      </c>
      <c r="B13" s="181" t="s">
        <v>8</v>
      </c>
      <c r="C13" s="182"/>
      <c r="D13" s="14">
        <f t="shared" si="0"/>
        <v>0</v>
      </c>
      <c r="E13" s="17">
        <f t="shared" si="1"/>
        <v>0</v>
      </c>
      <c r="F13" s="21" t="str">
        <f t="shared" si="2"/>
        <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0</v>
      </c>
      <c r="E15" s="17">
        <f t="shared" si="1"/>
        <v>0</v>
      </c>
      <c r="F15" s="21" t="str">
        <f t="shared" si="2"/>
        <v/>
      </c>
    </row>
    <row r="16" spans="1:6" ht="14.25" customHeight="1" x14ac:dyDescent="0.2">
      <c r="A16" s="19">
        <v>12</v>
      </c>
      <c r="B16" s="181" t="s">
        <v>11</v>
      </c>
      <c r="C16" s="182"/>
      <c r="D16" s="14">
        <f t="shared" si="0"/>
        <v>386192</v>
      </c>
      <c r="E16" s="17">
        <f t="shared" si="1"/>
        <v>3026005.999483549</v>
      </c>
      <c r="F16" s="21">
        <f t="shared" si="2"/>
        <v>7.84</v>
      </c>
    </row>
    <row r="17" spans="1:6" x14ac:dyDescent="0.2">
      <c r="A17" s="19">
        <v>13</v>
      </c>
      <c r="B17" s="181" t="s">
        <v>12</v>
      </c>
      <c r="C17" s="182"/>
      <c r="D17" s="14">
        <f t="shared" si="0"/>
        <v>135872</v>
      </c>
      <c r="E17" s="17">
        <f t="shared" si="1"/>
        <v>941266.37670855108</v>
      </c>
      <c r="F17" s="21">
        <f t="shared" si="2"/>
        <v>6.93</v>
      </c>
    </row>
    <row r="18" spans="1:6" ht="14.25" customHeight="1" x14ac:dyDescent="0.2">
      <c r="A18" s="19">
        <v>14</v>
      </c>
      <c r="B18" s="181" t="s">
        <v>464</v>
      </c>
      <c r="C18" s="182"/>
      <c r="D18" s="14">
        <f t="shared" si="0"/>
        <v>92848</v>
      </c>
      <c r="E18" s="17">
        <f t="shared" si="1"/>
        <v>1039489.8260762743</v>
      </c>
      <c r="F18" s="21">
        <f t="shared" si="2"/>
        <v>11.2</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136096</v>
      </c>
      <c r="E20" s="17">
        <f t="shared" si="1"/>
        <v>1163830.8358788195</v>
      </c>
      <c r="F20" s="21">
        <f t="shared" si="2"/>
        <v>8.5500000000000007</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49504</v>
      </c>
      <c r="E22" s="17">
        <f t="shared" si="1"/>
        <v>460381.47662932845</v>
      </c>
      <c r="F22" s="21">
        <f t="shared" si="2"/>
        <v>9.3000000000000007</v>
      </c>
    </row>
    <row r="23" spans="1:6" x14ac:dyDescent="0.2">
      <c r="A23" s="19">
        <v>19</v>
      </c>
      <c r="B23" s="181" t="s">
        <v>17</v>
      </c>
      <c r="C23" s="182"/>
      <c r="D23" s="14">
        <f t="shared" si="0"/>
        <v>335536</v>
      </c>
      <c r="E23" s="17">
        <f t="shared" si="1"/>
        <v>2202878.4471214111</v>
      </c>
      <c r="F23" s="21">
        <f t="shared" si="2"/>
        <v>6.57</v>
      </c>
    </row>
    <row r="24" spans="1:6" x14ac:dyDescent="0.2">
      <c r="A24" s="19">
        <v>20</v>
      </c>
      <c r="B24" s="181" t="s">
        <v>18</v>
      </c>
      <c r="C24" s="182"/>
      <c r="D24" s="14">
        <f t="shared" si="0"/>
        <v>27520</v>
      </c>
      <c r="E24" s="17">
        <f t="shared" si="1"/>
        <v>271981.69806155295</v>
      </c>
      <c r="F24" s="21">
        <f t="shared" si="2"/>
        <v>9.8800000000000008</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52224</v>
      </c>
      <c r="E26" s="17">
        <f t="shared" si="1"/>
        <v>372927.76655401679</v>
      </c>
      <c r="F26" s="21">
        <f t="shared" si="2"/>
        <v>7.14</v>
      </c>
    </row>
    <row r="27" spans="1:6" x14ac:dyDescent="0.2">
      <c r="A27" s="19">
        <v>23</v>
      </c>
      <c r="B27" s="181" t="s">
        <v>20</v>
      </c>
      <c r="C27" s="182"/>
      <c r="D27" s="14">
        <f t="shared" si="0"/>
        <v>101776</v>
      </c>
      <c r="E27" s="17">
        <f t="shared" si="1"/>
        <v>660124.4130055455</v>
      </c>
      <c r="F27" s="21">
        <f t="shared" si="2"/>
        <v>6.49</v>
      </c>
    </row>
    <row r="28" spans="1:6" x14ac:dyDescent="0.2">
      <c r="A28" s="19">
        <v>24</v>
      </c>
      <c r="B28" s="181" t="s">
        <v>21</v>
      </c>
      <c r="C28" s="182"/>
      <c r="D28" s="14">
        <f t="shared" si="0"/>
        <v>138992</v>
      </c>
      <c r="E28" s="17">
        <f t="shared" si="1"/>
        <v>1014706.4151515759</v>
      </c>
      <c r="F28" s="21">
        <f t="shared" si="2"/>
        <v>7.3</v>
      </c>
    </row>
    <row r="29" spans="1:6" x14ac:dyDescent="0.2">
      <c r="A29" s="19">
        <v>25</v>
      </c>
      <c r="B29" s="181" t="s">
        <v>22</v>
      </c>
      <c r="C29" s="182"/>
      <c r="D29" s="14">
        <f t="shared" si="0"/>
        <v>437232</v>
      </c>
      <c r="E29" s="17">
        <f t="shared" si="1"/>
        <v>2654422.9104232895</v>
      </c>
      <c r="F29" s="21">
        <f t="shared" si="2"/>
        <v>6.07</v>
      </c>
    </row>
    <row r="30" spans="1:6" x14ac:dyDescent="0.2">
      <c r="A30" s="19">
        <v>26</v>
      </c>
      <c r="B30" s="181" t="s">
        <v>23</v>
      </c>
      <c r="C30" s="182"/>
      <c r="D30" s="14">
        <f t="shared" si="0"/>
        <v>192848</v>
      </c>
      <c r="E30" s="17">
        <f t="shared" si="1"/>
        <v>1577152.9556604056</v>
      </c>
      <c r="F30" s="21">
        <f t="shared" si="2"/>
        <v>8.18</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3191008</v>
      </c>
      <c r="E33" s="31">
        <f>SUM(E5:E32)</f>
        <v>23741013</v>
      </c>
      <c r="F33" s="32">
        <f t="shared" si="2"/>
        <v>7.44</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IF(F3="1",SUMIF(Data!A:A,'24'!$A$2,Data!CU:CU),0)</f>
        <v>0</v>
      </c>
      <c r="E36" s="15">
        <f>IF(F3="1",SUMIF(Data!$A:$A,$A$2,Data!IO:IO),0)</f>
        <v>0</v>
      </c>
      <c r="F36" s="20" t="str">
        <f t="shared" ref="F36:F64" si="3">IF(OR(D36=0,E36=0),"",ROUND(E36/D36,2))</f>
        <v/>
      </c>
    </row>
    <row r="37" spans="1:6" x14ac:dyDescent="0.2">
      <c r="A37" s="19">
        <v>2</v>
      </c>
      <c r="B37" s="181" t="s">
        <v>1</v>
      </c>
      <c r="C37" s="182"/>
      <c r="D37" s="14">
        <f>IF(F3="1",SUMIF(Data!A:A,'24'!$A$2,Data!CV:CV),0)</f>
        <v>0</v>
      </c>
      <c r="E37" s="17">
        <f>IF(F3="1",SUMIF(Data!$A:$A,$A$2,Data!IP:IP),0)</f>
        <v>0</v>
      </c>
      <c r="F37" s="21" t="str">
        <f t="shared" si="3"/>
        <v/>
      </c>
    </row>
    <row r="38" spans="1:6" ht="14.25" customHeight="1" x14ac:dyDescent="0.2">
      <c r="A38" s="19">
        <v>3</v>
      </c>
      <c r="B38" s="181" t="s">
        <v>2</v>
      </c>
      <c r="C38" s="182"/>
      <c r="D38" s="14">
        <f>IF(F3="1",SUMIF(Data!A:A,'24'!$A$2,Data!CW:CW),0)</f>
        <v>248960</v>
      </c>
      <c r="E38" s="17">
        <f>IF($F$3="1",SUMIF(Data!$A:$A,$A$2,Data!IQ:IQ),0)</f>
        <v>215412</v>
      </c>
      <c r="F38" s="21">
        <f t="shared" si="3"/>
        <v>0.87</v>
      </c>
    </row>
    <row r="39" spans="1:6" ht="14.25" customHeight="1" x14ac:dyDescent="0.2">
      <c r="A39" s="19">
        <v>4</v>
      </c>
      <c r="B39" s="181" t="s">
        <v>3</v>
      </c>
      <c r="C39" s="182"/>
      <c r="D39" s="14">
        <f>IF(F3="1",SUMIF(Data!A:A,'24'!$A$2,Data!CX:CX),0)</f>
        <v>395792</v>
      </c>
      <c r="E39" s="17">
        <f>IF($F$3="1",SUMIF(Data!$A:$A,$A$2,Data!IR:IR),0)</f>
        <v>362768</v>
      </c>
      <c r="F39" s="21">
        <f t="shared" si="3"/>
        <v>0.92</v>
      </c>
    </row>
    <row r="40" spans="1:6" x14ac:dyDescent="0.2">
      <c r="A40" s="19">
        <v>5</v>
      </c>
      <c r="B40" s="181" t="s">
        <v>4</v>
      </c>
      <c r="C40" s="182"/>
      <c r="D40" s="14">
        <f>IF(F3="1",SUMIF(Data!A:A,'24'!$A$2,Data!CY:CY),0)</f>
        <v>0</v>
      </c>
      <c r="E40" s="17">
        <f>IF($F$3="1",SUMIF(Data!$A:$A,$A$2,Data!IS:IS),0)</f>
        <v>0</v>
      </c>
      <c r="F40" s="21" t="str">
        <f t="shared" si="3"/>
        <v/>
      </c>
    </row>
    <row r="41" spans="1:6" x14ac:dyDescent="0.2">
      <c r="A41" s="19">
        <v>6</v>
      </c>
      <c r="B41" s="181" t="s">
        <v>5</v>
      </c>
      <c r="C41" s="182"/>
      <c r="D41" s="14">
        <f>IF(F3="1",SUMIF(Data!A:A,'24'!$A$2,Data!CZ:CZ),0)</f>
        <v>135952</v>
      </c>
      <c r="E41" s="17">
        <f>IF($F$3="1",SUMIF(Data!$A:$A,$A$2,Data!IT:IT),0)</f>
        <v>23819</v>
      </c>
      <c r="F41" s="21">
        <f t="shared" si="3"/>
        <v>0.18</v>
      </c>
    </row>
    <row r="42" spans="1:6" x14ac:dyDescent="0.2">
      <c r="A42" s="19">
        <v>7</v>
      </c>
      <c r="B42" s="181" t="s">
        <v>6</v>
      </c>
      <c r="C42" s="182"/>
      <c r="D42" s="14">
        <f>IF(F3="1",SUMIF(Data!A:A,'24'!$A$2,Data!DA:DA),0)</f>
        <v>256128</v>
      </c>
      <c r="E42" s="17">
        <f>IF($F$3="1",SUMIF(Data!$A:$A,$A$2,Data!IU:IU),0)</f>
        <v>136560</v>
      </c>
      <c r="F42" s="21">
        <f t="shared" si="3"/>
        <v>0.53</v>
      </c>
    </row>
    <row r="43" spans="1:6" x14ac:dyDescent="0.2">
      <c r="A43" s="19">
        <v>8</v>
      </c>
      <c r="B43" s="181" t="s">
        <v>7</v>
      </c>
      <c r="C43" s="182"/>
      <c r="D43" s="14">
        <f>IF(F3="1",SUMIF(Data!A:A,'24'!$A$2,Data!DB:DB),0)</f>
        <v>67536</v>
      </c>
      <c r="E43" s="17">
        <f>IF($F$3="1",SUMIF(Data!$A:$A,$A$2,Data!IV:IV),0)</f>
        <v>89519</v>
      </c>
      <c r="F43" s="21">
        <f t="shared" si="3"/>
        <v>1.33</v>
      </c>
    </row>
    <row r="44" spans="1:6" x14ac:dyDescent="0.2">
      <c r="A44" s="19">
        <v>9</v>
      </c>
      <c r="B44" s="181" t="s">
        <v>8</v>
      </c>
      <c r="C44" s="182"/>
      <c r="D44" s="14">
        <f>IF(F3="1",SUMIF(Data!A:A,'24'!$A$2,Data!DC:DC),0)</f>
        <v>0</v>
      </c>
      <c r="E44" s="17">
        <f>IF($F$3="1",SUMIF(Data!$A:$A,$A$2,Data!IW:IW),0)</f>
        <v>0</v>
      </c>
      <c r="F44" s="21" t="str">
        <f t="shared" si="3"/>
        <v/>
      </c>
    </row>
    <row r="45" spans="1:6" x14ac:dyDescent="0.2">
      <c r="A45" s="19">
        <v>10</v>
      </c>
      <c r="B45" s="181" t="s">
        <v>9</v>
      </c>
      <c r="C45" s="182"/>
      <c r="D45" s="14">
        <f>IF(F3="1",SUMIF(Data!A:A,'24'!$A$2,Data!DD:DD),0)</f>
        <v>0</v>
      </c>
      <c r="E45" s="17">
        <f>IF($F$3="1",SUMIF(Data!$A:$A,$A$2,Data!IX:IX),0)</f>
        <v>0</v>
      </c>
      <c r="F45" s="21" t="str">
        <f t="shared" si="3"/>
        <v/>
      </c>
    </row>
    <row r="46" spans="1:6" x14ac:dyDescent="0.2">
      <c r="A46" s="19">
        <v>11</v>
      </c>
      <c r="B46" s="181" t="s">
        <v>10</v>
      </c>
      <c r="C46" s="182"/>
      <c r="D46" s="14">
        <f>IF(F3="1",SUMIF(Data!A:A,'24'!$A$2,Data!DE:DE),0)</f>
        <v>0</v>
      </c>
      <c r="E46" s="17">
        <f>IF($F$3="1",SUMIF(Data!$A:$A,$A$2,Data!IY:IY),0)</f>
        <v>0</v>
      </c>
      <c r="F46" s="21" t="str">
        <f t="shared" si="3"/>
        <v/>
      </c>
    </row>
    <row r="47" spans="1:6" ht="14.25" customHeight="1" x14ac:dyDescent="0.2">
      <c r="A47" s="19">
        <v>12</v>
      </c>
      <c r="B47" s="181" t="s">
        <v>11</v>
      </c>
      <c r="C47" s="182"/>
      <c r="D47" s="14">
        <f>IF(F3="1",SUMIF(Data!A:A,'24'!$A$2,Data!DF:DF),0)</f>
        <v>386192</v>
      </c>
      <c r="E47" s="17">
        <f>IF($F$3="1",SUMIF(Data!$A:$A,$A$2,Data!IZ:IZ),0)</f>
        <v>113559</v>
      </c>
      <c r="F47" s="21">
        <f t="shared" si="3"/>
        <v>0.28999999999999998</v>
      </c>
    </row>
    <row r="48" spans="1:6" x14ac:dyDescent="0.2">
      <c r="A48" s="19">
        <v>13</v>
      </c>
      <c r="B48" s="181" t="s">
        <v>12</v>
      </c>
      <c r="C48" s="182"/>
      <c r="D48" s="14">
        <f>IF(F3="1",SUMIF(Data!A:A,'24'!$A$2,Data!DG:DG),0)</f>
        <v>135872</v>
      </c>
      <c r="E48" s="17">
        <f>IF($F$3="1",SUMIF(Data!$A:$A,$A$2,Data!JA:JA),0)</f>
        <v>26090</v>
      </c>
      <c r="F48" s="21">
        <f t="shared" si="3"/>
        <v>0.19</v>
      </c>
    </row>
    <row r="49" spans="1:6" ht="14.25" customHeight="1" x14ac:dyDescent="0.2">
      <c r="A49" s="19">
        <v>14</v>
      </c>
      <c r="B49" s="181" t="s">
        <v>464</v>
      </c>
      <c r="C49" s="182"/>
      <c r="D49" s="14">
        <f>IF(F3="1",SUMIF(Data!A:A,'24'!$A$2,Data!DH:DH),0)</f>
        <v>92848</v>
      </c>
      <c r="E49" s="17">
        <f>IF($F$3="1",SUMIF(Data!$A:$A,$A$2,Data!JB:JB),0)</f>
        <v>40433</v>
      </c>
      <c r="F49" s="21">
        <f t="shared" si="3"/>
        <v>0.44</v>
      </c>
    </row>
    <row r="50" spans="1:6" x14ac:dyDescent="0.2">
      <c r="A50" s="19">
        <v>15</v>
      </c>
      <c r="B50" s="181" t="s">
        <v>13</v>
      </c>
      <c r="C50" s="182"/>
      <c r="D50" s="14">
        <f>IF(F3="1",SUMIF(Data!A:A,'24'!$A$2,Data!DI:DI),0)</f>
        <v>0</v>
      </c>
      <c r="E50" s="17">
        <f>IF($F$3="1",SUMIF(Data!$A:$A,$A$2,Data!JC:JC),0)</f>
        <v>0</v>
      </c>
      <c r="F50" s="21" t="str">
        <f t="shared" si="3"/>
        <v/>
      </c>
    </row>
    <row r="51" spans="1:6" x14ac:dyDescent="0.2">
      <c r="A51" s="19">
        <v>16</v>
      </c>
      <c r="B51" s="181" t="s">
        <v>14</v>
      </c>
      <c r="C51" s="182"/>
      <c r="D51" s="14">
        <f>IF(F3="1",SUMIF(Data!A:A,'24'!$A$2,Data!DJ:DJ),0)</f>
        <v>136096</v>
      </c>
      <c r="E51" s="17">
        <f>IF($F$3="1",SUMIF(Data!$A:$A,$A$2,Data!JD:JD),0)</f>
        <v>40404</v>
      </c>
      <c r="F51" s="21">
        <f t="shared" si="3"/>
        <v>0.3</v>
      </c>
    </row>
    <row r="52" spans="1:6" x14ac:dyDescent="0.2">
      <c r="A52" s="19">
        <v>17</v>
      </c>
      <c r="B52" s="181" t="s">
        <v>15</v>
      </c>
      <c r="C52" s="182"/>
      <c r="D52" s="14">
        <f>IF(F3="1",SUMIF(Data!A:A,'24'!$A$2,Data!DK:DK),0)</f>
        <v>0</v>
      </c>
      <c r="E52" s="17">
        <f>IF($F$3="1",SUMIF(Data!$A:$A,$A$2,Data!JE:JE),0)</f>
        <v>0</v>
      </c>
      <c r="F52" s="21" t="str">
        <f t="shared" si="3"/>
        <v/>
      </c>
    </row>
    <row r="53" spans="1:6" x14ac:dyDescent="0.2">
      <c r="A53" s="19">
        <v>18</v>
      </c>
      <c r="B53" s="181" t="s">
        <v>16</v>
      </c>
      <c r="C53" s="182"/>
      <c r="D53" s="14">
        <f>IF(F3="1",SUMIF(Data!A:A,'24'!$A$2,Data!DL:DL),0)</f>
        <v>49504</v>
      </c>
      <c r="E53" s="17">
        <f>IF($F$3="1",SUMIF(Data!$A:$A,$A$2,Data!JF:JF),0)</f>
        <v>29711</v>
      </c>
      <c r="F53" s="21">
        <f t="shared" si="3"/>
        <v>0.6</v>
      </c>
    </row>
    <row r="54" spans="1:6" x14ac:dyDescent="0.2">
      <c r="A54" s="19">
        <v>19</v>
      </c>
      <c r="B54" s="181" t="s">
        <v>17</v>
      </c>
      <c r="C54" s="182"/>
      <c r="D54" s="14">
        <f>IF(F3="1",SUMIF(Data!A:A,'24'!$A$2,Data!DM:DM),0)</f>
        <v>335536</v>
      </c>
      <c r="E54" s="17">
        <f>IF($F$3="1",SUMIF(Data!$A:$A,$A$2,Data!JG:JG),0)</f>
        <v>47159</v>
      </c>
      <c r="F54" s="21">
        <f t="shared" si="3"/>
        <v>0.14000000000000001</v>
      </c>
    </row>
    <row r="55" spans="1:6" x14ac:dyDescent="0.2">
      <c r="A55" s="19">
        <v>20</v>
      </c>
      <c r="B55" s="181" t="s">
        <v>18</v>
      </c>
      <c r="C55" s="182"/>
      <c r="D55" s="14">
        <f>IF(F3="1",SUMIF(Data!A:A,'24'!$A$2,Data!DN:DN),0)</f>
        <v>27520</v>
      </c>
      <c r="E55" s="17">
        <f>IF($F$3="1",SUMIF(Data!$A:$A,$A$2,Data!JH:JH),0)</f>
        <v>34670</v>
      </c>
      <c r="F55" s="21">
        <f t="shared" si="3"/>
        <v>1.26</v>
      </c>
    </row>
    <row r="56" spans="1:6" ht="14.25" customHeight="1" x14ac:dyDescent="0.2">
      <c r="A56" s="19">
        <v>21</v>
      </c>
      <c r="B56" s="181" t="s">
        <v>461</v>
      </c>
      <c r="C56" s="182"/>
      <c r="D56" s="14">
        <f>IF(F3="1",SUMIF(Data!A:A,'24'!$A$2,Data!DO:DO),0)</f>
        <v>0</v>
      </c>
      <c r="E56" s="17">
        <f>IF($F$3="1",SUMIF(Data!$A:$A,$A$2,Data!JI:JI),0)</f>
        <v>0</v>
      </c>
      <c r="F56" s="21" t="str">
        <f t="shared" si="3"/>
        <v/>
      </c>
    </row>
    <row r="57" spans="1:6" x14ac:dyDescent="0.2">
      <c r="A57" s="19">
        <v>22</v>
      </c>
      <c r="B57" s="181" t="s">
        <v>19</v>
      </c>
      <c r="C57" s="182"/>
      <c r="D57" s="14">
        <f>IF(F3="1",SUMIF(Data!A:A,'24'!$A$2,Data!DP:DP),0)</f>
        <v>52224</v>
      </c>
      <c r="E57" s="17">
        <f>IF($F$3="1",SUMIF(Data!$A:$A,$A$2,Data!JJ:JJ),0)</f>
        <v>27851</v>
      </c>
      <c r="F57" s="21">
        <f t="shared" si="3"/>
        <v>0.53</v>
      </c>
    </row>
    <row r="58" spans="1:6" x14ac:dyDescent="0.2">
      <c r="A58" s="19">
        <v>23</v>
      </c>
      <c r="B58" s="181" t="s">
        <v>20</v>
      </c>
      <c r="C58" s="182"/>
      <c r="D58" s="14">
        <f>IF(F3="1",SUMIF(Data!A:A,'24'!$A$2,Data!DQ:DQ),0)</f>
        <v>101776</v>
      </c>
      <c r="E58" s="17">
        <f>IF($F$3="1",SUMIF(Data!$A:$A,$A$2,Data!JK:JK),0)</f>
        <v>10266</v>
      </c>
      <c r="F58" s="21">
        <f t="shared" si="3"/>
        <v>0.1</v>
      </c>
    </row>
    <row r="59" spans="1:6" x14ac:dyDescent="0.2">
      <c r="A59" s="19">
        <v>24</v>
      </c>
      <c r="B59" s="181" t="s">
        <v>21</v>
      </c>
      <c r="C59" s="182"/>
      <c r="D59" s="14">
        <f>IF(F3="1",SUMIF(Data!A:A,'24'!$A$2,Data!DR:DR),0)</f>
        <v>138992</v>
      </c>
      <c r="E59" s="17">
        <f>IF($F$3="1",SUMIF(Data!$A:$A,$A$2,Data!JL:JL),0)</f>
        <v>59346</v>
      </c>
      <c r="F59" s="21">
        <f t="shared" si="3"/>
        <v>0.43</v>
      </c>
    </row>
    <row r="60" spans="1:6" x14ac:dyDescent="0.2">
      <c r="A60" s="19">
        <v>25</v>
      </c>
      <c r="B60" s="181" t="s">
        <v>22</v>
      </c>
      <c r="C60" s="182"/>
      <c r="D60" s="14">
        <f>IF(F3="1",SUMIF(Data!A:A,'24'!$A$2,Data!DS:DS),0)</f>
        <v>437232</v>
      </c>
      <c r="E60" s="17">
        <f>IF($F$3="1",SUMIF(Data!$A:$A,$A$2,Data!JM:JM),0)</f>
        <v>29222</v>
      </c>
      <c r="F60" s="21">
        <f t="shared" si="3"/>
        <v>7.0000000000000007E-2</v>
      </c>
    </row>
    <row r="61" spans="1:6" x14ac:dyDescent="0.2">
      <c r="A61" s="19">
        <v>26</v>
      </c>
      <c r="B61" s="181" t="s">
        <v>23</v>
      </c>
      <c r="C61" s="182"/>
      <c r="D61" s="14">
        <f>IF(F3="1",SUMIF(Data!A:A,'24'!$A$2,Data!DT:DT),0)</f>
        <v>192848</v>
      </c>
      <c r="E61" s="17">
        <f>IF($F$3="1",SUMIF(Data!$A:$A,$A$2,Data!JN:JN),0)</f>
        <v>142012</v>
      </c>
      <c r="F61" s="21">
        <f t="shared" si="3"/>
        <v>0.74</v>
      </c>
    </row>
    <row r="62" spans="1:6" x14ac:dyDescent="0.2">
      <c r="A62" s="19">
        <v>28</v>
      </c>
      <c r="B62" s="181" t="s">
        <v>24</v>
      </c>
      <c r="C62" s="182"/>
      <c r="D62" s="14">
        <f>IF(F3="1",SUMIF(Data!A:A,'24'!$A$2,Data!DV:DV),0)</f>
        <v>0</v>
      </c>
      <c r="E62" s="17">
        <f>IF($F$3="1",SUMIF(Data!$A:$A,$A$2,Data!JP:JP),0)</f>
        <v>0</v>
      </c>
      <c r="F62" s="21" t="str">
        <f t="shared" si="3"/>
        <v/>
      </c>
    </row>
    <row r="63" spans="1:6" ht="15.75" customHeight="1" thickBot="1" x14ac:dyDescent="0.25">
      <c r="A63" s="22">
        <v>29</v>
      </c>
      <c r="B63" s="183" t="s">
        <v>25</v>
      </c>
      <c r="C63" s="184"/>
      <c r="D63" s="23">
        <f>IF(F3="1",SUMIF(Data!A:A,'24'!$A$2,Data!DW:DW),0)</f>
        <v>0</v>
      </c>
      <c r="E63" s="24">
        <f>IF($F$3="1",SUMIF(Data!$A:$A,$A$2,Data!JQ:JQ),0)</f>
        <v>0</v>
      </c>
      <c r="F63" s="25" t="str">
        <f t="shared" si="3"/>
        <v/>
      </c>
    </row>
    <row r="64" spans="1:6" x14ac:dyDescent="0.2">
      <c r="B64" s="30" t="s">
        <v>35</v>
      </c>
      <c r="C64" s="30"/>
      <c r="D64" s="59">
        <f>SUM(D36:D63)</f>
        <v>3191008</v>
      </c>
      <c r="E64" s="31">
        <f>SUM(E36:E63)</f>
        <v>1428801</v>
      </c>
      <c r="F64" s="32">
        <f t="shared" si="3"/>
        <v>0.45</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IF(F3="1",SUMIF(Data!A:A,'24'!$A$2,Data!DY:DY),0)</f>
        <v>0</v>
      </c>
      <c r="F67" s="20" t="str">
        <f t="shared" ref="F67:F95" si="4">IF(OR(D67=0,E67=0),"",ROUND(E67/D67,2))</f>
        <v/>
      </c>
    </row>
    <row r="68" spans="1:6" x14ac:dyDescent="0.2">
      <c r="A68" s="19">
        <v>2</v>
      </c>
      <c r="B68" s="181" t="s">
        <v>1</v>
      </c>
      <c r="C68" s="182"/>
      <c r="D68" s="14">
        <f t="shared" ref="D68:D94" si="5">D37</f>
        <v>0</v>
      </c>
      <c r="E68" s="17">
        <f>IF(F3="1",SUMIF(Data!A:A,'24'!$A$2,Data!DZ:DZ),0)</f>
        <v>0</v>
      </c>
      <c r="F68" s="21" t="str">
        <f t="shared" si="4"/>
        <v/>
      </c>
    </row>
    <row r="69" spans="1:6" ht="14.25" customHeight="1" x14ac:dyDescent="0.2">
      <c r="A69" s="19">
        <v>3</v>
      </c>
      <c r="B69" s="181" t="s">
        <v>2</v>
      </c>
      <c r="C69" s="182"/>
      <c r="D69" s="14">
        <f t="shared" si="5"/>
        <v>248960</v>
      </c>
      <c r="E69" s="17">
        <f>IF(F3="1",SUMIF(Data!A:A,'24'!$A$2,Data!EA:EA),0)</f>
        <v>714795</v>
      </c>
      <c r="F69" s="21">
        <f t="shared" si="4"/>
        <v>2.87</v>
      </c>
    </row>
    <row r="70" spans="1:6" ht="14.25" customHeight="1" x14ac:dyDescent="0.2">
      <c r="A70" s="19">
        <v>4</v>
      </c>
      <c r="B70" s="181" t="s">
        <v>3</v>
      </c>
      <c r="C70" s="182"/>
      <c r="D70" s="14">
        <f t="shared" si="5"/>
        <v>395792</v>
      </c>
      <c r="E70" s="17">
        <f>IF(F3="1",SUMIF(Data!A:A,'24'!$A$2,Data!EB:EB),0)</f>
        <v>1348974</v>
      </c>
      <c r="F70" s="21">
        <f t="shared" si="4"/>
        <v>3.41</v>
      </c>
    </row>
    <row r="71" spans="1:6" x14ac:dyDescent="0.2">
      <c r="A71" s="19">
        <v>5</v>
      </c>
      <c r="B71" s="181" t="s">
        <v>4</v>
      </c>
      <c r="C71" s="182"/>
      <c r="D71" s="14">
        <f t="shared" si="5"/>
        <v>0</v>
      </c>
      <c r="E71" s="17">
        <f>IF(F3="1",SUMIF(Data!A:A,'24'!$A$2,Data!EC:EC),0)</f>
        <v>0</v>
      </c>
      <c r="F71" s="21" t="str">
        <f t="shared" si="4"/>
        <v/>
      </c>
    </row>
    <row r="72" spans="1:6" x14ac:dyDescent="0.2">
      <c r="A72" s="19">
        <v>6</v>
      </c>
      <c r="B72" s="181" t="s">
        <v>5</v>
      </c>
      <c r="C72" s="182"/>
      <c r="D72" s="14">
        <f t="shared" si="5"/>
        <v>135952</v>
      </c>
      <c r="E72" s="17">
        <f>IF(F3="1",SUMIF(Data!A:A,'24'!$A$2,Data!ED:ED),0)</f>
        <v>362202</v>
      </c>
      <c r="F72" s="21">
        <f t="shared" si="4"/>
        <v>2.66</v>
      </c>
    </row>
    <row r="73" spans="1:6" x14ac:dyDescent="0.2">
      <c r="A73" s="19">
        <v>7</v>
      </c>
      <c r="B73" s="181" t="s">
        <v>6</v>
      </c>
      <c r="C73" s="182"/>
      <c r="D73" s="14">
        <f t="shared" si="5"/>
        <v>256128</v>
      </c>
      <c r="E73" s="17">
        <f>IF(F3="1",SUMIF(Data!A:A,'24'!$A$2,Data!EE:EE),0)</f>
        <v>773509</v>
      </c>
      <c r="F73" s="21">
        <f t="shared" si="4"/>
        <v>3.02</v>
      </c>
    </row>
    <row r="74" spans="1:6" x14ac:dyDescent="0.2">
      <c r="A74" s="19">
        <v>8</v>
      </c>
      <c r="B74" s="181" t="s">
        <v>7</v>
      </c>
      <c r="C74" s="182"/>
      <c r="D74" s="14">
        <f t="shared" si="5"/>
        <v>67536</v>
      </c>
      <c r="E74" s="17">
        <f>IF(F3="1",SUMIF(Data!A:A,'24'!$A$2,Data!EF:EF),0)</f>
        <v>367060</v>
      </c>
      <c r="F74" s="21">
        <f t="shared" si="4"/>
        <v>5.44</v>
      </c>
    </row>
    <row r="75" spans="1:6" x14ac:dyDescent="0.2">
      <c r="A75" s="19">
        <v>9</v>
      </c>
      <c r="B75" s="181" t="s">
        <v>8</v>
      </c>
      <c r="C75" s="182"/>
      <c r="D75" s="14">
        <f t="shared" si="5"/>
        <v>0</v>
      </c>
      <c r="E75" s="17">
        <f>IF(F3="1",SUMIF(Data!A:A,'24'!$A$2,Data!EG:EG),0)</f>
        <v>0</v>
      </c>
      <c r="F75" s="21" t="str">
        <f t="shared" si="4"/>
        <v/>
      </c>
    </row>
    <row r="76" spans="1:6" x14ac:dyDescent="0.2">
      <c r="A76" s="19">
        <v>10</v>
      </c>
      <c r="B76" s="181" t="s">
        <v>9</v>
      </c>
      <c r="C76" s="182"/>
      <c r="D76" s="14">
        <f t="shared" si="5"/>
        <v>0</v>
      </c>
      <c r="E76" s="17">
        <f>IF(F3="1",SUMIF(Data!A:A,'24'!$A$2,Data!EH:EH),0)</f>
        <v>0</v>
      </c>
      <c r="F76" s="21" t="str">
        <f t="shared" si="4"/>
        <v/>
      </c>
    </row>
    <row r="77" spans="1:6" x14ac:dyDescent="0.2">
      <c r="A77" s="19">
        <v>11</v>
      </c>
      <c r="B77" s="181" t="s">
        <v>10</v>
      </c>
      <c r="C77" s="182"/>
      <c r="D77" s="14">
        <f t="shared" si="5"/>
        <v>0</v>
      </c>
      <c r="E77" s="17">
        <f>IF(F3="1",SUMIF(Data!A:A,'24'!$A$2,Data!EI:EI),0)</f>
        <v>0</v>
      </c>
      <c r="F77" s="21" t="str">
        <f t="shared" si="4"/>
        <v/>
      </c>
    </row>
    <row r="78" spans="1:6" ht="14.25" customHeight="1" x14ac:dyDescent="0.2">
      <c r="A78" s="19">
        <v>12</v>
      </c>
      <c r="B78" s="181" t="s">
        <v>11</v>
      </c>
      <c r="C78" s="182"/>
      <c r="D78" s="14">
        <f t="shared" si="5"/>
        <v>386192</v>
      </c>
      <c r="E78" s="17">
        <f>IF(F3="1",SUMIF(Data!A:A,'24'!$A$2,Data!EJ:EJ),0)</f>
        <v>1527226</v>
      </c>
      <c r="F78" s="21">
        <f t="shared" si="4"/>
        <v>3.95</v>
      </c>
    </row>
    <row r="79" spans="1:6" x14ac:dyDescent="0.2">
      <c r="A79" s="19">
        <v>13</v>
      </c>
      <c r="B79" s="181" t="s">
        <v>12</v>
      </c>
      <c r="C79" s="182"/>
      <c r="D79" s="14">
        <f t="shared" si="5"/>
        <v>135872</v>
      </c>
      <c r="E79" s="17">
        <f>IF(F3="1",SUMIF(Data!A:A,'24'!$A$2,Data!EK:EK),0)</f>
        <v>427821</v>
      </c>
      <c r="F79" s="21">
        <f t="shared" si="4"/>
        <v>3.15</v>
      </c>
    </row>
    <row r="80" spans="1:6" ht="14.25" customHeight="1" x14ac:dyDescent="0.2">
      <c r="A80" s="19">
        <v>14</v>
      </c>
      <c r="B80" s="181" t="s">
        <v>464</v>
      </c>
      <c r="C80" s="182"/>
      <c r="D80" s="14">
        <f t="shared" si="5"/>
        <v>92848</v>
      </c>
      <c r="E80" s="17">
        <f>IF(F3="1",SUMIF(Data!A:A,'24'!$A$2,Data!EL:EL),0)</f>
        <v>666023</v>
      </c>
      <c r="F80" s="21">
        <f t="shared" si="4"/>
        <v>7.17</v>
      </c>
    </row>
    <row r="81" spans="1:6" x14ac:dyDescent="0.2">
      <c r="A81" s="19">
        <v>15</v>
      </c>
      <c r="B81" s="181" t="s">
        <v>13</v>
      </c>
      <c r="C81" s="182"/>
      <c r="D81" s="14">
        <f t="shared" si="5"/>
        <v>0</v>
      </c>
      <c r="E81" s="17">
        <f>IF(F3="1",SUMIF(Data!A:A,'24'!$A$2,Data!EM:EM),0)</f>
        <v>0</v>
      </c>
      <c r="F81" s="21" t="str">
        <f t="shared" si="4"/>
        <v/>
      </c>
    </row>
    <row r="82" spans="1:6" x14ac:dyDescent="0.2">
      <c r="A82" s="19">
        <v>16</v>
      </c>
      <c r="B82" s="181" t="s">
        <v>14</v>
      </c>
      <c r="C82" s="182"/>
      <c r="D82" s="14">
        <f t="shared" si="5"/>
        <v>136096</v>
      </c>
      <c r="E82" s="17">
        <f>IF(F3="1",SUMIF(Data!A:A,'24'!$A$2,Data!EN:EN),0)</f>
        <v>635268</v>
      </c>
      <c r="F82" s="21">
        <f t="shared" si="4"/>
        <v>4.67</v>
      </c>
    </row>
    <row r="83" spans="1:6" x14ac:dyDescent="0.2">
      <c r="A83" s="19">
        <v>17</v>
      </c>
      <c r="B83" s="181" t="s">
        <v>15</v>
      </c>
      <c r="C83" s="182"/>
      <c r="D83" s="14">
        <f t="shared" si="5"/>
        <v>0</v>
      </c>
      <c r="E83" s="17">
        <f>IF(F3="1",SUMIF(Data!A:A,'24'!$A$2,Data!EO:EO),0)</f>
        <v>0</v>
      </c>
      <c r="F83" s="21" t="str">
        <f t="shared" si="4"/>
        <v/>
      </c>
    </row>
    <row r="84" spans="1:6" x14ac:dyDescent="0.2">
      <c r="A84" s="19">
        <v>18</v>
      </c>
      <c r="B84" s="181" t="s">
        <v>16</v>
      </c>
      <c r="C84" s="182"/>
      <c r="D84" s="14">
        <f t="shared" si="5"/>
        <v>49504</v>
      </c>
      <c r="E84" s="17">
        <f>IF(F3="1",SUMIF(Data!A:A,'24'!$A$2,Data!EP:EP),0)</f>
        <v>253106</v>
      </c>
      <c r="F84" s="21">
        <f t="shared" si="4"/>
        <v>5.1100000000000003</v>
      </c>
    </row>
    <row r="85" spans="1:6" x14ac:dyDescent="0.2">
      <c r="A85" s="19">
        <v>19</v>
      </c>
      <c r="B85" s="181" t="s">
        <v>17</v>
      </c>
      <c r="C85" s="182"/>
      <c r="D85" s="14">
        <f t="shared" si="5"/>
        <v>335536</v>
      </c>
      <c r="E85" s="17">
        <f>IF(F3="1",SUMIF(Data!A:A,'24'!$A$2,Data!EQ:EQ),0)</f>
        <v>952195</v>
      </c>
      <c r="F85" s="21">
        <f t="shared" si="4"/>
        <v>2.84</v>
      </c>
    </row>
    <row r="86" spans="1:6" x14ac:dyDescent="0.2">
      <c r="A86" s="19">
        <v>20</v>
      </c>
      <c r="B86" s="181" t="s">
        <v>18</v>
      </c>
      <c r="C86" s="182"/>
      <c r="D86" s="14">
        <f t="shared" si="5"/>
        <v>27520</v>
      </c>
      <c r="E86" s="17">
        <f>IF(F3="1",SUMIF(Data!A:A,'24'!$A$2,Data!ER:ER),0)</f>
        <v>138601</v>
      </c>
      <c r="F86" s="21">
        <f t="shared" si="4"/>
        <v>5.04</v>
      </c>
    </row>
    <row r="87" spans="1:6" ht="14.25" customHeight="1" x14ac:dyDescent="0.2">
      <c r="A87" s="19">
        <v>21</v>
      </c>
      <c r="B87" s="181" t="s">
        <v>461</v>
      </c>
      <c r="C87" s="182"/>
      <c r="D87" s="14">
        <f t="shared" si="5"/>
        <v>0</v>
      </c>
      <c r="E87" s="17">
        <f>IF(F3="1",SUMIF(Data!A:A,'24'!$A$2,Data!ES:ES),0)</f>
        <v>0</v>
      </c>
      <c r="F87" s="21" t="str">
        <f t="shared" si="4"/>
        <v/>
      </c>
    </row>
    <row r="88" spans="1:6" x14ac:dyDescent="0.2">
      <c r="A88" s="19">
        <v>22</v>
      </c>
      <c r="B88" s="181" t="s">
        <v>19</v>
      </c>
      <c r="C88" s="182"/>
      <c r="D88" s="14">
        <f t="shared" si="5"/>
        <v>52224</v>
      </c>
      <c r="E88" s="17">
        <f>IF(F3="1",SUMIF(Data!A:A,'24'!$A$2,Data!ET:ET),0)</f>
        <v>157756</v>
      </c>
      <c r="F88" s="21">
        <f t="shared" si="4"/>
        <v>3.02</v>
      </c>
    </row>
    <row r="89" spans="1:6" x14ac:dyDescent="0.2">
      <c r="A89" s="19">
        <v>23</v>
      </c>
      <c r="B89" s="181" t="s">
        <v>20</v>
      </c>
      <c r="C89" s="182"/>
      <c r="D89" s="14">
        <f t="shared" si="5"/>
        <v>101776</v>
      </c>
      <c r="E89" s="17">
        <f>IF(F3="1",SUMIF(Data!A:A,'24'!$A$2,Data!EU:EU),0)</f>
        <v>284801</v>
      </c>
      <c r="F89" s="21">
        <f t="shared" si="4"/>
        <v>2.8</v>
      </c>
    </row>
    <row r="90" spans="1:6" x14ac:dyDescent="0.2">
      <c r="A90" s="19">
        <v>24</v>
      </c>
      <c r="B90" s="181" t="s">
        <v>21</v>
      </c>
      <c r="C90" s="182"/>
      <c r="D90" s="14">
        <f t="shared" si="5"/>
        <v>138992</v>
      </c>
      <c r="E90" s="17">
        <f>IF(F3="1",SUMIF(Data!A:A,'24'!$A$2,Data!EV:EV),0)</f>
        <v>456814</v>
      </c>
      <c r="F90" s="21">
        <f t="shared" si="4"/>
        <v>3.29</v>
      </c>
    </row>
    <row r="91" spans="1:6" x14ac:dyDescent="0.2">
      <c r="A91" s="19">
        <v>25</v>
      </c>
      <c r="B91" s="181" t="s">
        <v>22</v>
      </c>
      <c r="C91" s="182"/>
      <c r="D91" s="14">
        <f t="shared" si="5"/>
        <v>437232</v>
      </c>
      <c r="E91" s="17">
        <f>IF(F3="1",SUMIF(Data!A:A,'24'!$A$2,Data!EW:EW),0)</f>
        <v>1056906</v>
      </c>
      <c r="F91" s="21">
        <f t="shared" si="4"/>
        <v>2.42</v>
      </c>
    </row>
    <row r="92" spans="1:6" x14ac:dyDescent="0.2">
      <c r="A92" s="19">
        <v>26</v>
      </c>
      <c r="B92" s="181" t="s">
        <v>23</v>
      </c>
      <c r="C92" s="182"/>
      <c r="D92" s="14">
        <f t="shared" si="5"/>
        <v>192848</v>
      </c>
      <c r="E92" s="17">
        <f>IF(F3="1",SUMIF(Data!A:A,'24'!$A$2,Data!EX:EX),0)</f>
        <v>743420</v>
      </c>
      <c r="F92" s="21">
        <f t="shared" si="4"/>
        <v>3.85</v>
      </c>
    </row>
    <row r="93" spans="1:6" x14ac:dyDescent="0.2">
      <c r="A93" s="19">
        <v>28</v>
      </c>
      <c r="B93" s="181" t="s">
        <v>24</v>
      </c>
      <c r="C93" s="182"/>
      <c r="D93" s="14">
        <f t="shared" si="5"/>
        <v>0</v>
      </c>
      <c r="E93" s="17">
        <f>IF(F3="1",SUMIF(Data!A:A,'24'!$A$2,Data!EZ:EZ),0)</f>
        <v>0</v>
      </c>
      <c r="F93" s="21" t="str">
        <f t="shared" si="4"/>
        <v/>
      </c>
    </row>
    <row r="94" spans="1:6" ht="15.75" customHeight="1" thickBot="1" x14ac:dyDescent="0.25">
      <c r="A94" s="22">
        <v>29</v>
      </c>
      <c r="B94" s="183" t="s">
        <v>25</v>
      </c>
      <c r="C94" s="184"/>
      <c r="D94" s="23">
        <f t="shared" si="5"/>
        <v>0</v>
      </c>
      <c r="E94" s="24">
        <f>IF(F3="1",SUMIF(Data!A:A,'24'!$A$2,Data!FA:FA),0)</f>
        <v>0</v>
      </c>
      <c r="F94" s="25" t="str">
        <f t="shared" si="4"/>
        <v/>
      </c>
    </row>
    <row r="95" spans="1:6" x14ac:dyDescent="0.2">
      <c r="B95" s="30" t="s">
        <v>35</v>
      </c>
      <c r="C95" s="30"/>
      <c r="D95" s="59">
        <f>SUM(D67:D94)</f>
        <v>3191008</v>
      </c>
      <c r="E95" s="31">
        <f>SUM(E67:E94)</f>
        <v>10866477</v>
      </c>
      <c r="F95" s="32">
        <f t="shared" si="4"/>
        <v>3.41</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IF(F3="1",SUMIF(Data!A:A,'24'!$A$2,Data!AH:AH),0)</f>
        <v>4587624</v>
      </c>
      <c r="F98" s="20">
        <f>IF(OR(E98=0,E98=0),"",ROUND(E98/$D$105,2))</f>
        <v>1.44</v>
      </c>
    </row>
    <row r="99" spans="2:6" x14ac:dyDescent="0.2">
      <c r="B99" s="187" t="s">
        <v>31</v>
      </c>
      <c r="C99" s="188"/>
      <c r="D99" s="36"/>
      <c r="E99" s="17">
        <f>IF(F3="1",SUMIF(Data!A:A,'24'!$A$2,Data!AI:AI),0)</f>
        <v>2845647</v>
      </c>
      <c r="F99" s="21">
        <f t="shared" ref="F99:F104" si="6">IF(OR(E99=0,E99=0),"",ROUND(E99/$D$105,2))</f>
        <v>0.89</v>
      </c>
    </row>
    <row r="100" spans="2:6" x14ac:dyDescent="0.2">
      <c r="B100" s="187" t="s">
        <v>1078</v>
      </c>
      <c r="C100" s="188"/>
      <c r="D100" s="36"/>
      <c r="E100" s="17">
        <f>IF(F3="1",SUMIF(Data!A:A,'24'!$A$2,Data!AJ:AJ),0)</f>
        <v>1037167</v>
      </c>
      <c r="F100" s="21">
        <f t="shared" si="6"/>
        <v>0.33</v>
      </c>
    </row>
    <row r="101" spans="2:6" x14ac:dyDescent="0.2">
      <c r="B101" s="187" t="s">
        <v>1079</v>
      </c>
      <c r="C101" s="188"/>
      <c r="D101" s="36"/>
      <c r="E101" s="17">
        <f>IF(F3="1",SUMIF(Data!A:A,'24'!$A$2,Data!AK:AK),0)</f>
        <v>788402</v>
      </c>
      <c r="F101" s="21">
        <f t="shared" si="6"/>
        <v>0.25</v>
      </c>
    </row>
    <row r="102" spans="2:6" x14ac:dyDescent="0.2">
      <c r="B102" s="187" t="s">
        <v>1080</v>
      </c>
      <c r="C102" s="188"/>
      <c r="D102" s="36"/>
      <c r="E102" s="17">
        <f>IF(F3="1",SUMIF(Data!A:A,'24'!$A$2,Data!AL:AL),0)</f>
        <v>0</v>
      </c>
      <c r="F102" s="21" t="str">
        <f t="shared" si="6"/>
        <v/>
      </c>
    </row>
    <row r="103" spans="2:6" x14ac:dyDescent="0.2">
      <c r="B103" s="189" t="s">
        <v>34</v>
      </c>
      <c r="C103" s="190"/>
      <c r="D103" s="36"/>
      <c r="E103" s="17">
        <f>IF(F3="1",SUMIF(Data!A:A,'24'!$A$2,Data!AM:AM),0)</f>
        <v>0</v>
      </c>
      <c r="F103" s="21" t="str">
        <f t="shared" si="6"/>
        <v/>
      </c>
    </row>
    <row r="104" spans="2:6" ht="15.75" customHeight="1" thickBot="1" x14ac:dyDescent="0.25">
      <c r="B104" s="179" t="s">
        <v>29</v>
      </c>
      <c r="C104" s="180"/>
      <c r="D104" s="37"/>
      <c r="E104" s="24">
        <f>IF(F3="1",SUMIF(Data!A:A,'24'!$A$2,Data!Q:Q),0)</f>
        <v>2186895</v>
      </c>
      <c r="F104" s="25">
        <f t="shared" si="6"/>
        <v>0.69</v>
      </c>
    </row>
    <row r="105" spans="2:6" x14ac:dyDescent="0.2">
      <c r="B105" s="30" t="s">
        <v>35</v>
      </c>
      <c r="C105" s="30"/>
      <c r="D105" s="34">
        <f>D95</f>
        <v>3191008</v>
      </c>
      <c r="E105" s="31">
        <f>SUM(E98:E104)</f>
        <v>11445735</v>
      </c>
      <c r="F105" s="32">
        <f>IF($D$105=0,"",ROUND(E105/$D$105,2))</f>
        <v>3.59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10866477</v>
      </c>
      <c r="D109" s="15">
        <f>IF(F3="1",SUMIF(Data!$A:$A,$A$2,Data!HJ:HJ),0)</f>
        <v>0</v>
      </c>
      <c r="E109" s="15">
        <f>IF(F3="1",SUMIF(Data!$A:$A,$A$2,Data!IN:IN),0)</f>
        <v>0</v>
      </c>
      <c r="F109" s="47">
        <f>SUM(C109:E109)</f>
        <v>10866477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2186895</v>
      </c>
      <c r="E117" s="52"/>
      <c r="F117" s="49">
        <f>SUM(C117:E117)</f>
        <v>2186895</v>
      </c>
    </row>
    <row r="118" spans="1:6" x14ac:dyDescent="0.2">
      <c r="B118" s="13" t="s">
        <v>35</v>
      </c>
      <c r="C118" s="4">
        <f>SUM(C109:C116)</f>
        <v>10866477</v>
      </c>
      <c r="D118" s="4">
        <f>SUM(D109:D116)</f>
        <v>0</v>
      </c>
      <c r="E118" s="4">
        <f>SUM(E109:E116)</f>
        <v>0</v>
      </c>
      <c r="F118" s="4">
        <f>SUM(F109:F116)</f>
        <v>10866477</v>
      </c>
    </row>
    <row r="119" spans="1:6" ht="15" thickBot="1" x14ac:dyDescent="0.25"/>
    <row r="120" spans="1:6" ht="15" thickBot="1" x14ac:dyDescent="0.25">
      <c r="B120" s="55" t="s">
        <v>934</v>
      </c>
      <c r="C120" s="53"/>
      <c r="D120" s="53"/>
      <c r="E120" s="53">
        <f>IF(F3="1",SUMIF(Data!A:A,'24'!$A$2,Data!AM:AM),0)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380</v>
      </c>
      <c r="B2" s="58" t="str">
        <f>VLOOKUP(A2,Data!A:G,7,0)</f>
        <v>Lee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68480</v>
      </c>
      <c r="E5" s="15">
        <f>E36+E67+IFERROR($E$105/$D$105*D5,0)</f>
        <v>399215.52573468135</v>
      </c>
      <c r="F5" s="20">
        <f>IF(OR(D5=0,E5=0),"",ROUND(E5/D5,2))</f>
        <v>5.83</v>
      </c>
    </row>
    <row r="6" spans="1:6" x14ac:dyDescent="0.2">
      <c r="A6" s="19">
        <v>2</v>
      </c>
      <c r="B6" s="181" t="s">
        <v>1</v>
      </c>
      <c r="C6" s="182"/>
      <c r="D6" s="14">
        <f t="shared" ref="D6:D32" si="0">D37</f>
        <v>187472</v>
      </c>
      <c r="E6" s="17">
        <f t="shared" ref="E6:E32" si="1">E37+E68+IFERROR($E$105/$D$105*D6,0)</f>
        <v>1596081.1857554349</v>
      </c>
      <c r="F6" s="21">
        <f t="shared" ref="F6:F33" si="2">IF(OR(D6=0,E6=0),"",ROUND(E6/D6,2))</f>
        <v>8.51</v>
      </c>
    </row>
    <row r="7" spans="1:6" ht="14.25" customHeight="1" x14ac:dyDescent="0.2">
      <c r="A7" s="19">
        <v>3</v>
      </c>
      <c r="B7" s="181" t="s">
        <v>2</v>
      </c>
      <c r="C7" s="182"/>
      <c r="D7" s="14">
        <f t="shared" si="0"/>
        <v>295536</v>
      </c>
      <c r="E7" s="17">
        <f t="shared" si="1"/>
        <v>2156708.4242629204</v>
      </c>
      <c r="F7" s="21">
        <f t="shared" si="2"/>
        <v>7.3</v>
      </c>
    </row>
    <row r="8" spans="1:6" ht="14.25" customHeight="1" x14ac:dyDescent="0.2">
      <c r="A8" s="19">
        <v>4</v>
      </c>
      <c r="B8" s="181" t="s">
        <v>3</v>
      </c>
      <c r="C8" s="182"/>
      <c r="D8" s="14">
        <f t="shared" si="0"/>
        <v>386112</v>
      </c>
      <c r="E8" s="17">
        <f t="shared" si="1"/>
        <v>2407131.3147264789</v>
      </c>
      <c r="F8" s="21">
        <f t="shared" si="2"/>
        <v>6.23</v>
      </c>
    </row>
    <row r="9" spans="1:6" x14ac:dyDescent="0.2">
      <c r="A9" s="19">
        <v>5</v>
      </c>
      <c r="B9" s="181" t="s">
        <v>4</v>
      </c>
      <c r="C9" s="182"/>
      <c r="D9" s="14">
        <f t="shared" si="0"/>
        <v>50616</v>
      </c>
      <c r="E9" s="17">
        <f t="shared" si="1"/>
        <v>311131.02702375338</v>
      </c>
      <c r="F9" s="21">
        <f t="shared" si="2"/>
        <v>6.15</v>
      </c>
    </row>
    <row r="10" spans="1:6" x14ac:dyDescent="0.2">
      <c r="A10" s="19">
        <v>6</v>
      </c>
      <c r="B10" s="181" t="s">
        <v>5</v>
      </c>
      <c r="C10" s="182"/>
      <c r="D10" s="14">
        <f t="shared" si="0"/>
        <v>14624</v>
      </c>
      <c r="E10" s="17">
        <f t="shared" si="1"/>
        <v>177742.45572932213</v>
      </c>
      <c r="F10" s="21">
        <f t="shared" si="2"/>
        <v>12.15</v>
      </c>
    </row>
    <row r="11" spans="1:6" x14ac:dyDescent="0.2">
      <c r="A11" s="19">
        <v>7</v>
      </c>
      <c r="B11" s="181" t="s">
        <v>6</v>
      </c>
      <c r="C11" s="182"/>
      <c r="D11" s="14">
        <f t="shared" si="0"/>
        <v>186968</v>
      </c>
      <c r="E11" s="17">
        <f t="shared" si="1"/>
        <v>1616645.0901805186</v>
      </c>
      <c r="F11" s="21">
        <f t="shared" si="2"/>
        <v>8.65</v>
      </c>
    </row>
    <row r="12" spans="1:6" x14ac:dyDescent="0.2">
      <c r="A12" s="19">
        <v>8</v>
      </c>
      <c r="B12" s="181" t="s">
        <v>7</v>
      </c>
      <c r="C12" s="182"/>
      <c r="D12" s="14">
        <f t="shared" si="0"/>
        <v>59616</v>
      </c>
      <c r="E12" s="17">
        <f t="shared" si="1"/>
        <v>875761.59086154739</v>
      </c>
      <c r="F12" s="21">
        <f t="shared" si="2"/>
        <v>14.69</v>
      </c>
    </row>
    <row r="13" spans="1:6" x14ac:dyDescent="0.2">
      <c r="A13" s="19">
        <v>9</v>
      </c>
      <c r="B13" s="181" t="s">
        <v>8</v>
      </c>
      <c r="C13" s="182"/>
      <c r="D13" s="14">
        <f t="shared" si="0"/>
        <v>18258</v>
      </c>
      <c r="E13" s="17">
        <f t="shared" si="1"/>
        <v>414549.68850560475</v>
      </c>
      <c r="F13" s="21">
        <f t="shared" si="2"/>
        <v>22.71</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227668</v>
      </c>
      <c r="E15" s="17">
        <f t="shared" si="1"/>
        <v>1236513.2288692091</v>
      </c>
      <c r="F15" s="21">
        <f t="shared" si="2"/>
        <v>5.43</v>
      </c>
    </row>
    <row r="16" spans="1:6" ht="14.25" customHeight="1" x14ac:dyDescent="0.2">
      <c r="A16" s="19">
        <v>12</v>
      </c>
      <c r="B16" s="181" t="s">
        <v>11</v>
      </c>
      <c r="C16" s="182"/>
      <c r="D16" s="14">
        <f t="shared" si="0"/>
        <v>316075</v>
      </c>
      <c r="E16" s="17">
        <f t="shared" si="1"/>
        <v>2669200.9044478592</v>
      </c>
      <c r="F16" s="21">
        <f t="shared" si="2"/>
        <v>8.44</v>
      </c>
    </row>
    <row r="17" spans="1:6" x14ac:dyDescent="0.2">
      <c r="A17" s="19">
        <v>13</v>
      </c>
      <c r="B17" s="181" t="s">
        <v>12</v>
      </c>
      <c r="C17" s="182"/>
      <c r="D17" s="14">
        <f t="shared" si="0"/>
        <v>43008</v>
      </c>
      <c r="E17" s="17">
        <f t="shared" si="1"/>
        <v>386747.48905953817</v>
      </c>
      <c r="F17" s="21">
        <f t="shared" si="2"/>
        <v>8.99</v>
      </c>
    </row>
    <row r="18" spans="1:6" ht="14.25" customHeight="1" x14ac:dyDescent="0.2">
      <c r="A18" s="19">
        <v>14</v>
      </c>
      <c r="B18" s="181" t="s">
        <v>464</v>
      </c>
      <c r="C18" s="182"/>
      <c r="D18" s="14">
        <f t="shared" si="0"/>
        <v>82720</v>
      </c>
      <c r="E18" s="17">
        <f t="shared" si="1"/>
        <v>984321.14674025762</v>
      </c>
      <c r="F18" s="21">
        <f t="shared" si="2"/>
        <v>11.9</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90352</v>
      </c>
      <c r="E20" s="17">
        <f t="shared" si="1"/>
        <v>637383.73687470681</v>
      </c>
      <c r="F20" s="21">
        <f t="shared" si="2"/>
        <v>7.05</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45568</v>
      </c>
      <c r="E22" s="17">
        <f t="shared" si="1"/>
        <v>418825.38721784402</v>
      </c>
      <c r="F22" s="21">
        <f t="shared" si="2"/>
        <v>9.19</v>
      </c>
    </row>
    <row r="23" spans="1:6" x14ac:dyDescent="0.2">
      <c r="A23" s="19">
        <v>19</v>
      </c>
      <c r="B23" s="181" t="s">
        <v>17</v>
      </c>
      <c r="C23" s="182"/>
      <c r="D23" s="14">
        <f t="shared" si="0"/>
        <v>222000</v>
      </c>
      <c r="E23" s="17">
        <f t="shared" si="1"/>
        <v>1868894.5746655851</v>
      </c>
      <c r="F23" s="21">
        <f t="shared" si="2"/>
        <v>8.42</v>
      </c>
    </row>
    <row r="24" spans="1:6" x14ac:dyDescent="0.2">
      <c r="A24" s="19">
        <v>20</v>
      </c>
      <c r="B24" s="181" t="s">
        <v>18</v>
      </c>
      <c r="C24" s="182"/>
      <c r="D24" s="14">
        <f t="shared" si="0"/>
        <v>50816</v>
      </c>
      <c r="E24" s="17">
        <f t="shared" si="1"/>
        <v>334834.12844237103</v>
      </c>
      <c r="F24" s="21">
        <f t="shared" si="2"/>
        <v>6.59</v>
      </c>
    </row>
    <row r="25" spans="1:6" ht="14.25" customHeight="1" x14ac:dyDescent="0.2">
      <c r="A25" s="19">
        <v>21</v>
      </c>
      <c r="B25" s="181" t="s">
        <v>461</v>
      </c>
      <c r="C25" s="182"/>
      <c r="D25" s="14">
        <f t="shared" si="0"/>
        <v>20992</v>
      </c>
      <c r="E25" s="17">
        <f t="shared" si="1"/>
        <v>257413.96489810792</v>
      </c>
      <c r="F25" s="21">
        <f t="shared" si="2"/>
        <v>12.26</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123404</v>
      </c>
      <c r="E27" s="17">
        <f t="shared" si="1"/>
        <v>1011675.9173154588</v>
      </c>
      <c r="F27" s="21">
        <f t="shared" si="2"/>
        <v>8.1999999999999993</v>
      </c>
    </row>
    <row r="28" spans="1:6" x14ac:dyDescent="0.2">
      <c r="A28" s="19">
        <v>24</v>
      </c>
      <c r="B28" s="181" t="s">
        <v>21</v>
      </c>
      <c r="C28" s="182"/>
      <c r="D28" s="14">
        <f t="shared" si="0"/>
        <v>11216</v>
      </c>
      <c r="E28" s="17">
        <f t="shared" si="1"/>
        <v>134995.04755607748</v>
      </c>
      <c r="F28" s="21">
        <f t="shared" si="2"/>
        <v>12.04</v>
      </c>
    </row>
    <row r="29" spans="1:6" x14ac:dyDescent="0.2">
      <c r="A29" s="19">
        <v>25</v>
      </c>
      <c r="B29" s="181" t="s">
        <v>22</v>
      </c>
      <c r="C29" s="182"/>
      <c r="D29" s="14">
        <f t="shared" si="0"/>
        <v>304560</v>
      </c>
      <c r="E29" s="17">
        <f t="shared" si="1"/>
        <v>2468699.0402709483</v>
      </c>
      <c r="F29" s="21">
        <f t="shared" si="2"/>
        <v>8.11</v>
      </c>
    </row>
    <row r="30" spans="1:6" x14ac:dyDescent="0.2">
      <c r="A30" s="19">
        <v>26</v>
      </c>
      <c r="B30" s="181" t="s">
        <v>23</v>
      </c>
      <c r="C30" s="182"/>
      <c r="D30" s="14">
        <f t="shared" si="0"/>
        <v>91760</v>
      </c>
      <c r="E30" s="17">
        <f t="shared" si="1"/>
        <v>984361.13086177513</v>
      </c>
      <c r="F30" s="21">
        <f t="shared" si="2"/>
        <v>10.73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2897821</v>
      </c>
      <c r="E33" s="31">
        <f>SUM(E5:E32)</f>
        <v>23348831.999999993</v>
      </c>
      <c r="F33" s="32">
        <f t="shared" si="2"/>
        <v>8.06</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IF(F3="1",SUMIF(Data!A:A,'25'!$A$2,Data!CU:CU),0)</f>
        <v>68480</v>
      </c>
      <c r="E36" s="15">
        <f>IF(F3="1",SUMIF(Data!$A:$A,$A$2,Data!IO:IO),0)</f>
        <v>12468</v>
      </c>
      <c r="F36" s="20">
        <f t="shared" ref="F36:F64" si="3">IF(OR(D36=0,E36=0),"",ROUND(E36/D36,2))</f>
        <v>0.18</v>
      </c>
    </row>
    <row r="37" spans="1:6" x14ac:dyDescent="0.2">
      <c r="A37" s="19">
        <v>2</v>
      </c>
      <c r="B37" s="181" t="s">
        <v>1</v>
      </c>
      <c r="C37" s="182"/>
      <c r="D37" s="14">
        <f>IF(F3="1",SUMIF(Data!A:A,'25'!$A$2,Data!CV:CV),0)</f>
        <v>187472</v>
      </c>
      <c r="E37" s="17">
        <f>IF(F3="1",SUMIF(Data!$A:$A,$A$2,Data!IP:IP),0)</f>
        <v>98565</v>
      </c>
      <c r="F37" s="21">
        <f t="shared" si="3"/>
        <v>0.53</v>
      </c>
    </row>
    <row r="38" spans="1:6" ht="14.25" customHeight="1" x14ac:dyDescent="0.2">
      <c r="A38" s="19">
        <v>3</v>
      </c>
      <c r="B38" s="181" t="s">
        <v>2</v>
      </c>
      <c r="C38" s="182"/>
      <c r="D38" s="14">
        <f>IF(F3="1",SUMIF(Data!A:A,'25'!$A$2,Data!CW:CW),0)</f>
        <v>295536</v>
      </c>
      <c r="E38" s="17">
        <f>IF($F$3="1",SUMIF(Data!$A:$A,$A$2,Data!IQ:IQ),0)</f>
        <v>178275</v>
      </c>
      <c r="F38" s="21">
        <f t="shared" si="3"/>
        <v>0.6</v>
      </c>
    </row>
    <row r="39" spans="1:6" ht="14.25" customHeight="1" x14ac:dyDescent="0.2">
      <c r="A39" s="19">
        <v>4</v>
      </c>
      <c r="B39" s="181" t="s">
        <v>3</v>
      </c>
      <c r="C39" s="182"/>
      <c r="D39" s="14">
        <f>IF(F3="1",SUMIF(Data!A:A,'25'!$A$2,Data!CX:CX),0)</f>
        <v>386112</v>
      </c>
      <c r="E39" s="17">
        <f>IF($F$3="1",SUMIF(Data!$A:$A,$A$2,Data!IR:IR),0)</f>
        <v>65953</v>
      </c>
      <c r="F39" s="21">
        <f t="shared" si="3"/>
        <v>0.17</v>
      </c>
    </row>
    <row r="40" spans="1:6" x14ac:dyDescent="0.2">
      <c r="A40" s="19">
        <v>5</v>
      </c>
      <c r="B40" s="181" t="s">
        <v>4</v>
      </c>
      <c r="C40" s="182"/>
      <c r="D40" s="14">
        <f>IF(F3="1",SUMIF(Data!A:A,'25'!$A$2,Data!CY:CY),0)</f>
        <v>50616</v>
      </c>
      <c r="E40" s="17">
        <f>IF($F$3="1",SUMIF(Data!$A:$A,$A$2,Data!IS:IS),0)</f>
        <v>0</v>
      </c>
      <c r="F40" s="21" t="str">
        <f t="shared" si="3"/>
        <v/>
      </c>
    </row>
    <row r="41" spans="1:6" x14ac:dyDescent="0.2">
      <c r="A41" s="19">
        <v>6</v>
      </c>
      <c r="B41" s="181" t="s">
        <v>5</v>
      </c>
      <c r="C41" s="182"/>
      <c r="D41" s="14">
        <f>IF(F3="1",SUMIF(Data!A:A,'25'!$A$2,Data!CZ:CZ),0)</f>
        <v>14624</v>
      </c>
      <c r="E41" s="17">
        <f>IF($F$3="1",SUMIF(Data!$A:$A,$A$2,Data!IT:IT),0)</f>
        <v>22661</v>
      </c>
      <c r="F41" s="21">
        <f t="shared" si="3"/>
        <v>1.55</v>
      </c>
    </row>
    <row r="42" spans="1:6" x14ac:dyDescent="0.2">
      <c r="A42" s="19">
        <v>7</v>
      </c>
      <c r="B42" s="181" t="s">
        <v>6</v>
      </c>
      <c r="C42" s="182"/>
      <c r="D42" s="14">
        <f>IF(F3="1",SUMIF(Data!A:A,'25'!$A$2,Data!DA:DA),0)</f>
        <v>186968</v>
      </c>
      <c r="E42" s="17">
        <f>IF($F$3="1",SUMIF(Data!$A:$A,$A$2,Data!IU:IU),0)</f>
        <v>238390</v>
      </c>
      <c r="F42" s="21">
        <f t="shared" si="3"/>
        <v>1.28</v>
      </c>
    </row>
    <row r="43" spans="1:6" x14ac:dyDescent="0.2">
      <c r="A43" s="19">
        <v>8</v>
      </c>
      <c r="B43" s="181" t="s">
        <v>7</v>
      </c>
      <c r="C43" s="182"/>
      <c r="D43" s="14">
        <f>IF(F3="1",SUMIF(Data!A:A,'25'!$A$2,Data!DB:DB),0)</f>
        <v>59616</v>
      </c>
      <c r="E43" s="17">
        <f>IF($F$3="1",SUMIF(Data!$A:$A,$A$2,Data!IV:IV),0)</f>
        <v>92080</v>
      </c>
      <c r="F43" s="21">
        <f t="shared" si="3"/>
        <v>1.54</v>
      </c>
    </row>
    <row r="44" spans="1:6" x14ac:dyDescent="0.2">
      <c r="A44" s="19">
        <v>9</v>
      </c>
      <c r="B44" s="181" t="s">
        <v>8</v>
      </c>
      <c r="C44" s="182"/>
      <c r="D44" s="14">
        <f>IF(F3="1",SUMIF(Data!A:A,'25'!$A$2,Data!DC:DC),0)</f>
        <v>18258</v>
      </c>
      <c r="E44" s="17">
        <f>IF($F$3="1",SUMIF(Data!$A:$A,$A$2,Data!IW:IW),0)</f>
        <v>77086</v>
      </c>
      <c r="F44" s="21">
        <f t="shared" si="3"/>
        <v>4.22</v>
      </c>
    </row>
    <row r="45" spans="1:6" x14ac:dyDescent="0.2">
      <c r="A45" s="19">
        <v>10</v>
      </c>
      <c r="B45" s="181" t="s">
        <v>9</v>
      </c>
      <c r="C45" s="182"/>
      <c r="D45" s="14">
        <f>IF(F3="1",SUMIF(Data!A:A,'25'!$A$2,Data!DD:DD),0)</f>
        <v>0</v>
      </c>
      <c r="E45" s="17">
        <f>IF($F$3="1",SUMIF(Data!$A:$A,$A$2,Data!IX:IX),0)</f>
        <v>0</v>
      </c>
      <c r="F45" s="21" t="str">
        <f t="shared" si="3"/>
        <v/>
      </c>
    </row>
    <row r="46" spans="1:6" x14ac:dyDescent="0.2">
      <c r="A46" s="19">
        <v>11</v>
      </c>
      <c r="B46" s="181" t="s">
        <v>10</v>
      </c>
      <c r="C46" s="182"/>
      <c r="D46" s="14">
        <f>IF(F3="1",SUMIF(Data!A:A,'25'!$A$2,Data!DE:DE),0)</f>
        <v>227668</v>
      </c>
      <c r="E46" s="17">
        <f>IF($F$3="1",SUMIF(Data!$A:$A,$A$2,Data!IY:IY),0)</f>
        <v>30942</v>
      </c>
      <c r="F46" s="21">
        <f t="shared" si="3"/>
        <v>0.14000000000000001</v>
      </c>
    </row>
    <row r="47" spans="1:6" ht="14.25" customHeight="1" x14ac:dyDescent="0.2">
      <c r="A47" s="19">
        <v>12</v>
      </c>
      <c r="B47" s="181" t="s">
        <v>11</v>
      </c>
      <c r="C47" s="182"/>
      <c r="D47" s="14">
        <f>IF(F3="1",SUMIF(Data!A:A,'25'!$A$2,Data!DF:DF),0)</f>
        <v>316075</v>
      </c>
      <c r="E47" s="17">
        <f>IF($F$3="1",SUMIF(Data!$A:$A,$A$2,Data!IZ:IZ),0)</f>
        <v>67653</v>
      </c>
      <c r="F47" s="21">
        <f t="shared" si="3"/>
        <v>0.21</v>
      </c>
    </row>
    <row r="48" spans="1:6" x14ac:dyDescent="0.2">
      <c r="A48" s="19">
        <v>13</v>
      </c>
      <c r="B48" s="181" t="s">
        <v>12</v>
      </c>
      <c r="C48" s="182"/>
      <c r="D48" s="14">
        <f>IF(F3="1",SUMIF(Data!A:A,'25'!$A$2,Data!DG:DG),0)</f>
        <v>43008</v>
      </c>
      <c r="E48" s="17">
        <f>IF($F$3="1",SUMIF(Data!$A:$A,$A$2,Data!JA:JA),0)</f>
        <v>5447</v>
      </c>
      <c r="F48" s="21">
        <f t="shared" si="3"/>
        <v>0.13</v>
      </c>
    </row>
    <row r="49" spans="1:6" ht="14.25" customHeight="1" x14ac:dyDescent="0.2">
      <c r="A49" s="19">
        <v>14</v>
      </c>
      <c r="B49" s="181" t="s">
        <v>464</v>
      </c>
      <c r="C49" s="182"/>
      <c r="D49" s="14">
        <f>IF(F3="1",SUMIF(Data!A:A,'25'!$A$2,Data!DH:DH),0)</f>
        <v>82720</v>
      </c>
      <c r="E49" s="17">
        <f>IF($F$3="1",SUMIF(Data!$A:$A,$A$2,Data!JB:JB),0)</f>
        <v>23212</v>
      </c>
      <c r="F49" s="21">
        <f t="shared" si="3"/>
        <v>0.28000000000000003</v>
      </c>
    </row>
    <row r="50" spans="1:6" x14ac:dyDescent="0.2">
      <c r="A50" s="19">
        <v>15</v>
      </c>
      <c r="B50" s="181" t="s">
        <v>13</v>
      </c>
      <c r="C50" s="182"/>
      <c r="D50" s="14">
        <f>IF(F3="1",SUMIF(Data!A:A,'25'!$A$2,Data!DI:DI),0)</f>
        <v>0</v>
      </c>
      <c r="E50" s="17">
        <f>IF($F$3="1",SUMIF(Data!$A:$A,$A$2,Data!JC:JC),0)</f>
        <v>0</v>
      </c>
      <c r="F50" s="21" t="str">
        <f t="shared" si="3"/>
        <v/>
      </c>
    </row>
    <row r="51" spans="1:6" x14ac:dyDescent="0.2">
      <c r="A51" s="19">
        <v>16</v>
      </c>
      <c r="B51" s="181" t="s">
        <v>14</v>
      </c>
      <c r="C51" s="182"/>
      <c r="D51" s="14">
        <f>IF(F3="1",SUMIF(Data!A:A,'25'!$A$2,Data!DJ:DJ),0)</f>
        <v>90352</v>
      </c>
      <c r="E51" s="17">
        <f>IF($F$3="1",SUMIF(Data!$A:$A,$A$2,Data!JD:JD),0)</f>
        <v>32211</v>
      </c>
      <c r="F51" s="21">
        <f t="shared" si="3"/>
        <v>0.36</v>
      </c>
    </row>
    <row r="52" spans="1:6" x14ac:dyDescent="0.2">
      <c r="A52" s="19">
        <v>17</v>
      </c>
      <c r="B52" s="181" t="s">
        <v>15</v>
      </c>
      <c r="C52" s="182"/>
      <c r="D52" s="14">
        <f>IF(F3="1",SUMIF(Data!A:A,'25'!$A$2,Data!DK:DK),0)</f>
        <v>0</v>
      </c>
      <c r="E52" s="17">
        <f>IF($F$3="1",SUMIF(Data!$A:$A,$A$2,Data!JE:JE),0)</f>
        <v>0</v>
      </c>
      <c r="F52" s="21" t="str">
        <f t="shared" si="3"/>
        <v/>
      </c>
    </row>
    <row r="53" spans="1:6" x14ac:dyDescent="0.2">
      <c r="A53" s="19">
        <v>18</v>
      </c>
      <c r="B53" s="181" t="s">
        <v>16</v>
      </c>
      <c r="C53" s="182"/>
      <c r="D53" s="14">
        <f>IF(F3="1",SUMIF(Data!A:A,'25'!$A$2,Data!DL:DL),0)</f>
        <v>45568</v>
      </c>
      <c r="E53" s="17">
        <f>IF($F$3="1",SUMIF(Data!$A:$A,$A$2,Data!JF:JF),0)</f>
        <v>11545</v>
      </c>
      <c r="F53" s="21">
        <f t="shared" si="3"/>
        <v>0.25</v>
      </c>
    </row>
    <row r="54" spans="1:6" x14ac:dyDescent="0.2">
      <c r="A54" s="19">
        <v>19</v>
      </c>
      <c r="B54" s="181" t="s">
        <v>17</v>
      </c>
      <c r="C54" s="182"/>
      <c r="D54" s="14">
        <f>IF(F3="1",SUMIF(Data!A:A,'25'!$A$2,Data!DM:DM),0)</f>
        <v>222000</v>
      </c>
      <c r="E54" s="17">
        <f>IF($F$3="1",SUMIF(Data!$A:$A,$A$2,Data!JG:JG),0)</f>
        <v>123366</v>
      </c>
      <c r="F54" s="21">
        <f t="shared" si="3"/>
        <v>0.56000000000000005</v>
      </c>
    </row>
    <row r="55" spans="1:6" x14ac:dyDescent="0.2">
      <c r="A55" s="19">
        <v>20</v>
      </c>
      <c r="B55" s="181" t="s">
        <v>18</v>
      </c>
      <c r="C55" s="182"/>
      <c r="D55" s="14">
        <f>IF(F3="1",SUMIF(Data!A:A,'25'!$A$2,Data!DN:DN),0)</f>
        <v>50816</v>
      </c>
      <c r="E55" s="17">
        <f>IF($F$3="1",SUMIF(Data!$A:$A,$A$2,Data!JH:JH),0)</f>
        <v>2447</v>
      </c>
      <c r="F55" s="21">
        <f t="shared" si="3"/>
        <v>0.05</v>
      </c>
    </row>
    <row r="56" spans="1:6" ht="14.25" customHeight="1" x14ac:dyDescent="0.2">
      <c r="A56" s="19">
        <v>21</v>
      </c>
      <c r="B56" s="181" t="s">
        <v>461</v>
      </c>
      <c r="C56" s="182"/>
      <c r="D56" s="14">
        <f>IF(F3="1",SUMIF(Data!A:A,'25'!$A$2,Data!DO:DO),0)</f>
        <v>20992</v>
      </c>
      <c r="E56" s="17">
        <f>IF($F$3="1",SUMIF(Data!$A:$A,$A$2,Data!JI:JI),0)</f>
        <v>6020</v>
      </c>
      <c r="F56" s="21">
        <f t="shared" si="3"/>
        <v>0.28999999999999998</v>
      </c>
    </row>
    <row r="57" spans="1:6" x14ac:dyDescent="0.2">
      <c r="A57" s="19">
        <v>22</v>
      </c>
      <c r="B57" s="181" t="s">
        <v>19</v>
      </c>
      <c r="C57" s="182"/>
      <c r="D57" s="14">
        <f>IF(F3="1",SUMIF(Data!A:A,'25'!$A$2,Data!DP:DP),0)</f>
        <v>0</v>
      </c>
      <c r="E57" s="17">
        <f>IF($F$3="1",SUMIF(Data!$A:$A,$A$2,Data!JJ:JJ),0)</f>
        <v>0</v>
      </c>
      <c r="F57" s="21" t="str">
        <f t="shared" si="3"/>
        <v/>
      </c>
    </row>
    <row r="58" spans="1:6" x14ac:dyDescent="0.2">
      <c r="A58" s="19">
        <v>23</v>
      </c>
      <c r="B58" s="181" t="s">
        <v>20</v>
      </c>
      <c r="C58" s="182"/>
      <c r="D58" s="14">
        <f>IF(F3="1",SUMIF(Data!A:A,'25'!$A$2,Data!DQ:DQ),0)</f>
        <v>123404</v>
      </c>
      <c r="E58" s="17">
        <f>IF($F$3="1",SUMIF(Data!$A:$A,$A$2,Data!JK:JK),0)</f>
        <v>148725</v>
      </c>
      <c r="F58" s="21">
        <f t="shared" si="3"/>
        <v>1.21</v>
      </c>
    </row>
    <row r="59" spans="1:6" x14ac:dyDescent="0.2">
      <c r="A59" s="19">
        <v>24</v>
      </c>
      <c r="B59" s="181" t="s">
        <v>21</v>
      </c>
      <c r="C59" s="182"/>
      <c r="D59" s="14">
        <f>IF(F3="1",SUMIF(Data!A:A,'25'!$A$2,Data!DR:DR),0)</f>
        <v>11216</v>
      </c>
      <c r="E59" s="17">
        <f>IF($F$3="1",SUMIF(Data!$A:$A,$A$2,Data!JL:JL),0)</f>
        <v>1123</v>
      </c>
      <c r="F59" s="21">
        <f t="shared" si="3"/>
        <v>0.1</v>
      </c>
    </row>
    <row r="60" spans="1:6" x14ac:dyDescent="0.2">
      <c r="A60" s="19">
        <v>25</v>
      </c>
      <c r="B60" s="181" t="s">
        <v>22</v>
      </c>
      <c r="C60" s="182"/>
      <c r="D60" s="14">
        <f>IF(F3="1",SUMIF(Data!A:A,'25'!$A$2,Data!DS:DS),0)</f>
        <v>304560</v>
      </c>
      <c r="E60" s="17">
        <f>IF($F$3="1",SUMIF(Data!$A:$A,$A$2,Data!JM:JM),0)</f>
        <v>39490</v>
      </c>
      <c r="F60" s="21">
        <f t="shared" si="3"/>
        <v>0.13</v>
      </c>
    </row>
    <row r="61" spans="1:6" x14ac:dyDescent="0.2">
      <c r="A61" s="19">
        <v>26</v>
      </c>
      <c r="B61" s="181" t="s">
        <v>23</v>
      </c>
      <c r="C61" s="182"/>
      <c r="D61" s="14">
        <f>IF(F3="1",SUMIF(Data!A:A,'25'!$A$2,Data!DT:DT),0)</f>
        <v>91760</v>
      </c>
      <c r="E61" s="17">
        <f>IF($F$3="1",SUMIF(Data!$A:$A,$A$2,Data!JN:JN),0)</f>
        <v>160768</v>
      </c>
      <c r="F61" s="21">
        <f t="shared" si="3"/>
        <v>1.75</v>
      </c>
    </row>
    <row r="62" spans="1:6" x14ac:dyDescent="0.2">
      <c r="A62" s="19">
        <v>28</v>
      </c>
      <c r="B62" s="181" t="s">
        <v>24</v>
      </c>
      <c r="C62" s="182"/>
      <c r="D62" s="14">
        <f>IF(F3="1",SUMIF(Data!A:A,'25'!$A$2,Data!DV:DV),0)</f>
        <v>0</v>
      </c>
      <c r="E62" s="17">
        <f>IF($F$3="1",SUMIF(Data!$A:$A,$A$2,Data!JP:JP),0)</f>
        <v>0</v>
      </c>
      <c r="F62" s="21" t="str">
        <f t="shared" si="3"/>
        <v/>
      </c>
    </row>
    <row r="63" spans="1:6" ht="15.75" customHeight="1" thickBot="1" x14ac:dyDescent="0.25">
      <c r="A63" s="22">
        <v>29</v>
      </c>
      <c r="B63" s="183" t="s">
        <v>25</v>
      </c>
      <c r="C63" s="184"/>
      <c r="D63" s="23">
        <f>IF(F3="1",SUMIF(Data!A:A,'25'!$A$2,Data!DW:DW),0)</f>
        <v>0</v>
      </c>
      <c r="E63" s="24">
        <f>IF($F$3="1",SUMIF(Data!$A:$A,$A$2,Data!JQ:JQ),0)</f>
        <v>0</v>
      </c>
      <c r="F63" s="25" t="str">
        <f t="shared" si="3"/>
        <v/>
      </c>
    </row>
    <row r="64" spans="1:6" x14ac:dyDescent="0.2">
      <c r="B64" s="30" t="s">
        <v>35</v>
      </c>
      <c r="C64" s="30"/>
      <c r="D64" s="59">
        <f>SUM(D36:D63)</f>
        <v>2897821</v>
      </c>
      <c r="E64" s="31">
        <f>SUM(E36:E63)</f>
        <v>1438427</v>
      </c>
      <c r="F64" s="32">
        <f t="shared" si="3"/>
        <v>0.5</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68480</v>
      </c>
      <c r="E67" s="15">
        <f>IF(F3="1",SUMIF(Data!A:A,'25'!$A$2,Data!DY:DY),0)</f>
        <v>124092</v>
      </c>
      <c r="F67" s="20">
        <f t="shared" ref="F67:F95" si="4">IF(OR(D67=0,E67=0),"",ROUND(E67/D67,2))</f>
        <v>1.81</v>
      </c>
    </row>
    <row r="68" spans="1:6" x14ac:dyDescent="0.2">
      <c r="A68" s="19">
        <v>2</v>
      </c>
      <c r="B68" s="181" t="s">
        <v>1</v>
      </c>
      <c r="C68" s="182"/>
      <c r="D68" s="14">
        <f t="shared" ref="D68:D94" si="5">D37</f>
        <v>187472</v>
      </c>
      <c r="E68" s="17">
        <f>IF(F3="1",SUMIF(Data!A:A,'25'!$A$2,Data!DZ:DZ),0)</f>
        <v>778466</v>
      </c>
      <c r="F68" s="21">
        <f t="shared" si="4"/>
        <v>4.1500000000000004</v>
      </c>
    </row>
    <row r="69" spans="1:6" ht="14.25" customHeight="1" x14ac:dyDescent="0.2">
      <c r="A69" s="19">
        <v>3</v>
      </c>
      <c r="B69" s="181" t="s">
        <v>2</v>
      </c>
      <c r="C69" s="182"/>
      <c r="D69" s="14">
        <f t="shared" si="5"/>
        <v>295536</v>
      </c>
      <c r="E69" s="17">
        <f>IF(F3="1",SUMIF(Data!A:A,'25'!$A$2,Data!EA:EA),0)</f>
        <v>844903</v>
      </c>
      <c r="F69" s="21">
        <f t="shared" si="4"/>
        <v>2.86</v>
      </c>
    </row>
    <row r="70" spans="1:6" ht="14.25" customHeight="1" x14ac:dyDescent="0.2">
      <c r="A70" s="19">
        <v>4</v>
      </c>
      <c r="B70" s="181" t="s">
        <v>3</v>
      </c>
      <c r="C70" s="182"/>
      <c r="D70" s="14">
        <f t="shared" si="5"/>
        <v>386112</v>
      </c>
      <c r="E70" s="17">
        <f>IF(F3="1",SUMIF(Data!A:A,'25'!$A$2,Data!EB:EB),0)</f>
        <v>860243</v>
      </c>
      <c r="F70" s="21">
        <f t="shared" si="4"/>
        <v>2.23</v>
      </c>
    </row>
    <row r="71" spans="1:6" x14ac:dyDescent="0.2">
      <c r="A71" s="19">
        <v>5</v>
      </c>
      <c r="B71" s="181" t="s">
        <v>4</v>
      </c>
      <c r="C71" s="182"/>
      <c r="D71" s="14">
        <f t="shared" si="5"/>
        <v>50616</v>
      </c>
      <c r="E71" s="17">
        <f>IF(F3="1",SUMIF(Data!A:A,'25'!$A$2,Data!EC:EC),0)</f>
        <v>116993</v>
      </c>
      <c r="F71" s="21">
        <f t="shared" si="4"/>
        <v>2.31</v>
      </c>
    </row>
    <row r="72" spans="1:6" x14ac:dyDescent="0.2">
      <c r="A72" s="19">
        <v>6</v>
      </c>
      <c r="B72" s="181" t="s">
        <v>5</v>
      </c>
      <c r="C72" s="182"/>
      <c r="D72" s="14">
        <f t="shared" si="5"/>
        <v>14624</v>
      </c>
      <c r="E72" s="17">
        <f>IF(F3="1",SUMIF(Data!A:A,'25'!$A$2,Data!ED:ED),0)</f>
        <v>98991</v>
      </c>
      <c r="F72" s="21">
        <f t="shared" si="4"/>
        <v>6.77</v>
      </c>
    </row>
    <row r="73" spans="1:6" x14ac:dyDescent="0.2">
      <c r="A73" s="19">
        <v>7</v>
      </c>
      <c r="B73" s="181" t="s">
        <v>6</v>
      </c>
      <c r="C73" s="182"/>
      <c r="D73" s="14">
        <f t="shared" si="5"/>
        <v>186968</v>
      </c>
      <c r="E73" s="17">
        <f>IF(F3="1",SUMIF(Data!A:A,'25'!$A$2,Data!EE:EE),0)</f>
        <v>661138</v>
      </c>
      <c r="F73" s="21">
        <f t="shared" si="4"/>
        <v>3.54</v>
      </c>
    </row>
    <row r="74" spans="1:6" x14ac:dyDescent="0.2">
      <c r="A74" s="19">
        <v>8</v>
      </c>
      <c r="B74" s="181" t="s">
        <v>7</v>
      </c>
      <c r="C74" s="182"/>
      <c r="D74" s="14">
        <f t="shared" si="5"/>
        <v>59616</v>
      </c>
      <c r="E74" s="17">
        <f>IF(F3="1",SUMIF(Data!A:A,'25'!$A$2,Data!EF:EF),0)</f>
        <v>555024</v>
      </c>
      <c r="F74" s="21">
        <f t="shared" si="4"/>
        <v>9.31</v>
      </c>
    </row>
    <row r="75" spans="1:6" x14ac:dyDescent="0.2">
      <c r="A75" s="19">
        <v>9</v>
      </c>
      <c r="B75" s="181" t="s">
        <v>8</v>
      </c>
      <c r="C75" s="182"/>
      <c r="D75" s="14">
        <f t="shared" si="5"/>
        <v>18258</v>
      </c>
      <c r="E75" s="17">
        <f>IF(F3="1",SUMIF(Data!A:A,'25'!$A$2,Data!EG:EG),0)</f>
        <v>267435</v>
      </c>
      <c r="F75" s="21">
        <f t="shared" si="4"/>
        <v>14.65</v>
      </c>
    </row>
    <row r="76" spans="1:6" x14ac:dyDescent="0.2">
      <c r="A76" s="19">
        <v>10</v>
      </c>
      <c r="B76" s="181" t="s">
        <v>9</v>
      </c>
      <c r="C76" s="182"/>
      <c r="D76" s="14">
        <f t="shared" si="5"/>
        <v>0</v>
      </c>
      <c r="E76" s="17">
        <f>IF(F3="1",SUMIF(Data!A:A,'25'!$A$2,Data!EH:EH),0)</f>
        <v>0</v>
      </c>
      <c r="F76" s="21" t="str">
        <f t="shared" si="4"/>
        <v/>
      </c>
    </row>
    <row r="77" spans="1:6" x14ac:dyDescent="0.2">
      <c r="A77" s="19">
        <v>11</v>
      </c>
      <c r="B77" s="181" t="s">
        <v>10</v>
      </c>
      <c r="C77" s="182"/>
      <c r="D77" s="14">
        <f t="shared" si="5"/>
        <v>227668</v>
      </c>
      <c r="E77" s="17">
        <f>IF(F3="1",SUMIF(Data!A:A,'25'!$A$2,Data!EI:EI),0)</f>
        <v>332349</v>
      </c>
      <c r="F77" s="21">
        <f t="shared" si="4"/>
        <v>1.46</v>
      </c>
    </row>
    <row r="78" spans="1:6" ht="14.25" customHeight="1" x14ac:dyDescent="0.2">
      <c r="A78" s="19">
        <v>12</v>
      </c>
      <c r="B78" s="181" t="s">
        <v>11</v>
      </c>
      <c r="C78" s="182"/>
      <c r="D78" s="14">
        <f t="shared" si="5"/>
        <v>316075</v>
      </c>
      <c r="E78" s="17">
        <f>IF(F3="1",SUMIF(Data!A:A,'25'!$A$2,Data!EJ:EJ),0)</f>
        <v>1389240</v>
      </c>
      <c r="F78" s="21">
        <f t="shared" si="4"/>
        <v>4.4000000000000004</v>
      </c>
    </row>
    <row r="79" spans="1:6" x14ac:dyDescent="0.2">
      <c r="A79" s="19">
        <v>13</v>
      </c>
      <c r="B79" s="181" t="s">
        <v>12</v>
      </c>
      <c r="C79" s="182"/>
      <c r="D79" s="14">
        <f t="shared" si="5"/>
        <v>43008</v>
      </c>
      <c r="E79" s="17">
        <f>IF(F3="1",SUMIF(Data!A:A,'25'!$A$2,Data!EK:EK),0)</f>
        <v>216343</v>
      </c>
      <c r="F79" s="21">
        <f t="shared" si="4"/>
        <v>5.03</v>
      </c>
    </row>
    <row r="80" spans="1:6" ht="14.25" customHeight="1" x14ac:dyDescent="0.2">
      <c r="A80" s="19">
        <v>14</v>
      </c>
      <c r="B80" s="181" t="s">
        <v>464</v>
      </c>
      <c r="C80" s="182"/>
      <c r="D80" s="14">
        <f t="shared" si="5"/>
        <v>82720</v>
      </c>
      <c r="E80" s="17">
        <f>IF(F3="1",SUMIF(Data!A:A,'25'!$A$2,Data!EL:EL),0)</f>
        <v>643836</v>
      </c>
      <c r="F80" s="21">
        <f t="shared" si="4"/>
        <v>7.78</v>
      </c>
    </row>
    <row r="81" spans="1:6" x14ac:dyDescent="0.2">
      <c r="A81" s="19">
        <v>15</v>
      </c>
      <c r="B81" s="181" t="s">
        <v>13</v>
      </c>
      <c r="C81" s="182"/>
      <c r="D81" s="14">
        <f t="shared" si="5"/>
        <v>0</v>
      </c>
      <c r="E81" s="17">
        <f>IF(F3="1",SUMIF(Data!A:A,'25'!$A$2,Data!EM:EM),0)</f>
        <v>0</v>
      </c>
      <c r="F81" s="21" t="str">
        <f t="shared" si="4"/>
        <v/>
      </c>
    </row>
    <row r="82" spans="1:6" x14ac:dyDescent="0.2">
      <c r="A82" s="19">
        <v>16</v>
      </c>
      <c r="B82" s="181" t="s">
        <v>14</v>
      </c>
      <c r="C82" s="182"/>
      <c r="D82" s="14">
        <f t="shared" si="5"/>
        <v>90352</v>
      </c>
      <c r="E82" s="17">
        <f>IF(F3="1",SUMIF(Data!A:A,'25'!$A$2,Data!EN:EN),0)</f>
        <v>258627</v>
      </c>
      <c r="F82" s="21">
        <f t="shared" si="4"/>
        <v>2.86</v>
      </c>
    </row>
    <row r="83" spans="1:6" x14ac:dyDescent="0.2">
      <c r="A83" s="19">
        <v>17</v>
      </c>
      <c r="B83" s="181" t="s">
        <v>15</v>
      </c>
      <c r="C83" s="182"/>
      <c r="D83" s="14">
        <f t="shared" si="5"/>
        <v>0</v>
      </c>
      <c r="E83" s="17">
        <f>IF(F3="1",SUMIF(Data!A:A,'25'!$A$2,Data!EO:EO),0)</f>
        <v>0</v>
      </c>
      <c r="F83" s="21" t="str">
        <f t="shared" si="4"/>
        <v/>
      </c>
    </row>
    <row r="84" spans="1:6" x14ac:dyDescent="0.2">
      <c r="A84" s="19">
        <v>18</v>
      </c>
      <c r="B84" s="181" t="s">
        <v>16</v>
      </c>
      <c r="C84" s="182"/>
      <c r="D84" s="14">
        <f t="shared" si="5"/>
        <v>45568</v>
      </c>
      <c r="E84" s="17">
        <f>IF(F3="1",SUMIF(Data!A:A,'25'!$A$2,Data!EP:EP),0)</f>
        <v>232504</v>
      </c>
      <c r="F84" s="21">
        <f t="shared" si="4"/>
        <v>5.0999999999999996</v>
      </c>
    </row>
    <row r="85" spans="1:6" x14ac:dyDescent="0.2">
      <c r="A85" s="19">
        <v>19</v>
      </c>
      <c r="B85" s="181" t="s">
        <v>17</v>
      </c>
      <c r="C85" s="182"/>
      <c r="D85" s="14">
        <f t="shared" si="5"/>
        <v>222000</v>
      </c>
      <c r="E85" s="17">
        <f>IF(F3="1",SUMIF(Data!A:A,'25'!$A$2,Data!EQ:EQ),0)</f>
        <v>894046</v>
      </c>
      <c r="F85" s="21">
        <f t="shared" si="4"/>
        <v>4.03</v>
      </c>
    </row>
    <row r="86" spans="1:6" x14ac:dyDescent="0.2">
      <c r="A86" s="19">
        <v>20</v>
      </c>
      <c r="B86" s="181" t="s">
        <v>18</v>
      </c>
      <c r="C86" s="182"/>
      <c r="D86" s="14">
        <f t="shared" si="5"/>
        <v>50816</v>
      </c>
      <c r="E86" s="17">
        <f>IF(F3="1",SUMIF(Data!A:A,'25'!$A$2,Data!ER:ER),0)</f>
        <v>137482</v>
      </c>
      <c r="F86" s="21">
        <f t="shared" si="4"/>
        <v>2.71</v>
      </c>
    </row>
    <row r="87" spans="1:6" ht="14.25" customHeight="1" x14ac:dyDescent="0.2">
      <c r="A87" s="19">
        <v>21</v>
      </c>
      <c r="B87" s="181" t="s">
        <v>461</v>
      </c>
      <c r="C87" s="182"/>
      <c r="D87" s="14">
        <f t="shared" si="5"/>
        <v>20992</v>
      </c>
      <c r="E87" s="17">
        <f>IF(F3="1",SUMIF(Data!A:A,'25'!$A$2,Data!ES:ES),0)</f>
        <v>170879</v>
      </c>
      <c r="F87" s="21">
        <f t="shared" si="4"/>
        <v>8.14</v>
      </c>
    </row>
    <row r="88" spans="1:6" x14ac:dyDescent="0.2">
      <c r="A88" s="19">
        <v>22</v>
      </c>
      <c r="B88" s="181" t="s">
        <v>19</v>
      </c>
      <c r="C88" s="182"/>
      <c r="D88" s="14">
        <f t="shared" si="5"/>
        <v>0</v>
      </c>
      <c r="E88" s="17">
        <f>IF(F3="1",SUMIF(Data!A:A,'25'!$A$2,Data!ET:ET),0)</f>
        <v>0</v>
      </c>
      <c r="F88" s="21" t="str">
        <f t="shared" si="4"/>
        <v/>
      </c>
    </row>
    <row r="89" spans="1:6" x14ac:dyDescent="0.2">
      <c r="A89" s="19">
        <v>23</v>
      </c>
      <c r="B89" s="181" t="s">
        <v>20</v>
      </c>
      <c r="C89" s="182"/>
      <c r="D89" s="14">
        <f t="shared" si="5"/>
        <v>123404</v>
      </c>
      <c r="E89" s="17">
        <f>IF(F3="1",SUMIF(Data!A:A,'25'!$A$2,Data!EU:EU),0)</f>
        <v>389634</v>
      </c>
      <c r="F89" s="21">
        <f t="shared" si="4"/>
        <v>3.16</v>
      </c>
    </row>
    <row r="90" spans="1:6" x14ac:dyDescent="0.2">
      <c r="A90" s="19">
        <v>24</v>
      </c>
      <c r="B90" s="181" t="s">
        <v>21</v>
      </c>
      <c r="C90" s="182"/>
      <c r="D90" s="14">
        <f t="shared" si="5"/>
        <v>11216</v>
      </c>
      <c r="E90" s="17">
        <f>IF(F3="1",SUMIF(Data!A:A,'25'!$A$2,Data!EV:EV),0)</f>
        <v>90853</v>
      </c>
      <c r="F90" s="21">
        <f t="shared" si="4"/>
        <v>8.1</v>
      </c>
    </row>
    <row r="91" spans="1:6" x14ac:dyDescent="0.2">
      <c r="A91" s="19">
        <v>25</v>
      </c>
      <c r="B91" s="181" t="s">
        <v>22</v>
      </c>
      <c r="C91" s="182"/>
      <c r="D91" s="14">
        <f t="shared" si="5"/>
        <v>304560</v>
      </c>
      <c r="E91" s="17">
        <f>IF(F3="1",SUMIF(Data!A:A,'25'!$A$2,Data!EW:EW),0)</f>
        <v>1261067</v>
      </c>
      <c r="F91" s="21">
        <f t="shared" si="4"/>
        <v>4.1399999999999997</v>
      </c>
    </row>
    <row r="92" spans="1:6" x14ac:dyDescent="0.2">
      <c r="A92" s="19">
        <v>26</v>
      </c>
      <c r="B92" s="181" t="s">
        <v>23</v>
      </c>
      <c r="C92" s="182"/>
      <c r="D92" s="14">
        <f t="shared" si="5"/>
        <v>91760</v>
      </c>
      <c r="E92" s="17">
        <f>IF(F3="1",SUMIF(Data!A:A,'25'!$A$2,Data!EX:EX),0)</f>
        <v>471647</v>
      </c>
      <c r="F92" s="21">
        <f t="shared" si="4"/>
        <v>5.14</v>
      </c>
    </row>
    <row r="93" spans="1:6" x14ac:dyDescent="0.2">
      <c r="A93" s="19">
        <v>28</v>
      </c>
      <c r="B93" s="181" t="s">
        <v>24</v>
      </c>
      <c r="C93" s="182"/>
      <c r="D93" s="14">
        <f t="shared" si="5"/>
        <v>0</v>
      </c>
      <c r="E93" s="17">
        <f>IF(F3="1",SUMIF(Data!A:A,'25'!$A$2,Data!EZ:EZ),0)</f>
        <v>0</v>
      </c>
      <c r="F93" s="21" t="str">
        <f t="shared" si="4"/>
        <v/>
      </c>
    </row>
    <row r="94" spans="1:6" ht="15.75" customHeight="1" thickBot="1" x14ac:dyDescent="0.25">
      <c r="A94" s="22">
        <v>29</v>
      </c>
      <c r="B94" s="183" t="s">
        <v>25</v>
      </c>
      <c r="C94" s="184"/>
      <c r="D94" s="23">
        <f t="shared" si="5"/>
        <v>0</v>
      </c>
      <c r="E94" s="24">
        <f>IF(F3="1",SUMIF(Data!A:A,'25'!$A$2,Data!FA:FA),0)</f>
        <v>0</v>
      </c>
      <c r="F94" s="25" t="str">
        <f t="shared" si="4"/>
        <v/>
      </c>
    </row>
    <row r="95" spans="1:6" x14ac:dyDescent="0.2">
      <c r="B95" s="30" t="s">
        <v>35</v>
      </c>
      <c r="C95" s="30"/>
      <c r="D95" s="59">
        <f>SUM(D67:D94)</f>
        <v>2897821</v>
      </c>
      <c r="E95" s="31">
        <f>SUM(E67:E94)</f>
        <v>10795792</v>
      </c>
      <c r="F95" s="32">
        <f t="shared" si="4"/>
        <v>3.73</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IF(F3="1",SUMIF(Data!A:A,'25'!$A$2,Data!AH:AH),0)</f>
        <v>5418760</v>
      </c>
      <c r="F98" s="20">
        <f>IF(OR(E98=0,E98=0),"",ROUND(E98/$D$105,2))</f>
        <v>1.87</v>
      </c>
    </row>
    <row r="99" spans="2:6" x14ac:dyDescent="0.2">
      <c r="B99" s="187" t="s">
        <v>31</v>
      </c>
      <c r="C99" s="188"/>
      <c r="D99" s="36"/>
      <c r="E99" s="17">
        <f>IF(F3="1",SUMIF(Data!A:A,'25'!$A$2,Data!AI:AI),0)</f>
        <v>1373821</v>
      </c>
      <c r="F99" s="21">
        <f t="shared" ref="F99:F104" si="6">IF(OR(E99=0,E99=0),"",ROUND(E99/$D$105,2))</f>
        <v>0.47</v>
      </c>
    </row>
    <row r="100" spans="2:6" x14ac:dyDescent="0.2">
      <c r="B100" s="187" t="s">
        <v>1078</v>
      </c>
      <c r="C100" s="188"/>
      <c r="D100" s="36"/>
      <c r="E100" s="17">
        <f>IF(F3="1",SUMIF(Data!A:A,'25'!$A$2,Data!AJ:AJ),0)</f>
        <v>680022</v>
      </c>
      <c r="F100" s="21">
        <f t="shared" si="6"/>
        <v>0.23</v>
      </c>
    </row>
    <row r="101" spans="2:6" x14ac:dyDescent="0.2">
      <c r="B101" s="187" t="s">
        <v>1079</v>
      </c>
      <c r="C101" s="188"/>
      <c r="D101" s="36"/>
      <c r="E101" s="17">
        <f>IF(F3="1",SUMIF(Data!A:A,'25'!$A$2,Data!AK:AK),0)</f>
        <v>1358874</v>
      </c>
      <c r="F101" s="21">
        <f t="shared" si="6"/>
        <v>0.47</v>
      </c>
    </row>
    <row r="102" spans="2:6" x14ac:dyDescent="0.2">
      <c r="B102" s="187" t="s">
        <v>1080</v>
      </c>
      <c r="C102" s="188"/>
      <c r="D102" s="36"/>
      <c r="E102" s="17">
        <f>IF(F3="1",SUMIF(Data!A:A,'25'!$A$2,Data!AL:AL),0)</f>
        <v>0</v>
      </c>
      <c r="F102" s="21" t="str">
        <f t="shared" si="6"/>
        <v/>
      </c>
    </row>
    <row r="103" spans="2:6" x14ac:dyDescent="0.2">
      <c r="B103" s="189" t="s">
        <v>34</v>
      </c>
      <c r="C103" s="190"/>
      <c r="D103" s="36"/>
      <c r="E103" s="17">
        <f>IF(F3="1",SUMIF(Data!A:A,'25'!$A$2,Data!AM:AM),0)</f>
        <v>0</v>
      </c>
      <c r="F103" s="21" t="str">
        <f t="shared" si="6"/>
        <v/>
      </c>
    </row>
    <row r="104" spans="2:6" ht="15.75" customHeight="1" thickBot="1" x14ac:dyDescent="0.25">
      <c r="B104" s="179" t="s">
        <v>29</v>
      </c>
      <c r="C104" s="180"/>
      <c r="D104" s="37"/>
      <c r="E104" s="24">
        <f>IF(F3="1",SUMIF(Data!A:A,'25'!$A$2,Data!Q:Q),0)</f>
        <v>2283136</v>
      </c>
      <c r="F104" s="25">
        <f t="shared" si="6"/>
        <v>0.79</v>
      </c>
    </row>
    <row r="105" spans="2:6" x14ac:dyDescent="0.2">
      <c r="B105" s="30" t="s">
        <v>35</v>
      </c>
      <c r="C105" s="30"/>
      <c r="D105" s="34">
        <f>D95</f>
        <v>2897821</v>
      </c>
      <c r="E105" s="31">
        <f>SUM(E98:E104)</f>
        <v>11114613</v>
      </c>
      <c r="F105" s="32">
        <f>IF($D$105=0,"",ROUND(E105/$D$105,2))</f>
        <v>3.84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10795792</v>
      </c>
      <c r="D109" s="15">
        <f>IF(F3="1",SUMIF(Data!$A:$A,$A$2,Data!HJ:HJ),0)</f>
        <v>0</v>
      </c>
      <c r="E109" s="15">
        <f>IF(F3="1",SUMIF(Data!$A:$A,$A$2,Data!IN:IN),0)</f>
        <v>0</v>
      </c>
      <c r="F109" s="47">
        <f>SUM(C109:E109)</f>
        <v>10795792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2283136</v>
      </c>
      <c r="E117" s="52"/>
      <c r="F117" s="49">
        <f>SUM(C117:E117)</f>
        <v>2283136</v>
      </c>
    </row>
    <row r="118" spans="1:6" x14ac:dyDescent="0.2">
      <c r="B118" s="13" t="s">
        <v>35</v>
      </c>
      <c r="C118" s="4">
        <f>SUM(C109:C116)</f>
        <v>10795792</v>
      </c>
      <c r="D118" s="4">
        <f>SUM(D109:D116)</f>
        <v>0</v>
      </c>
      <c r="E118" s="4">
        <f>SUM(E109:E116)</f>
        <v>0</v>
      </c>
      <c r="F118" s="4">
        <f>SUM(F109:F116)</f>
        <v>10795792</v>
      </c>
    </row>
    <row r="119" spans="1:6" ht="15" thickBot="1" x14ac:dyDescent="0.25"/>
    <row r="120" spans="1:6" ht="15" thickBot="1" x14ac:dyDescent="0.25">
      <c r="B120" s="55" t="s">
        <v>934</v>
      </c>
      <c r="C120" s="53"/>
      <c r="D120" s="53"/>
      <c r="E120" s="53">
        <f>IF(F3="1",SUMIF(Data!A:A,'25'!$A$2,Data!AM:AM),0)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443</v>
      </c>
      <c r="B2" s="58" t="str">
        <f>VLOOKUP(A2,Data!A:G,7,0)</f>
        <v>North Harris Montgomery Community College District</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12192</v>
      </c>
      <c r="E5" s="15">
        <f>E36+E67+IFERROR($E$105/$D$105*D5,0)</f>
        <v>125814.46418467414</v>
      </c>
      <c r="F5" s="20">
        <f>IF(OR(D5=0,E5=0),"",ROUND(E5/D5,2))</f>
        <v>10.32</v>
      </c>
    </row>
    <row r="6" spans="1:6" x14ac:dyDescent="0.2">
      <c r="A6" s="19">
        <v>2</v>
      </c>
      <c r="B6" s="181" t="s">
        <v>1</v>
      </c>
      <c r="C6" s="182"/>
      <c r="D6" s="14">
        <f t="shared" ref="D6:D32" si="0">D37</f>
        <v>223706</v>
      </c>
      <c r="E6" s="17">
        <f t="shared" ref="E6:E32" si="1">E37+E68+IFERROR($E$105/$D$105*D6,0)</f>
        <v>1759620.953977749</v>
      </c>
      <c r="F6" s="21">
        <f t="shared" ref="F6:F33" si="2">IF(OR(D6=0,E6=0),"",ROUND(E6/D6,2))</f>
        <v>7.87</v>
      </c>
    </row>
    <row r="7" spans="1:6" ht="14.25" customHeight="1" x14ac:dyDescent="0.2">
      <c r="A7" s="19">
        <v>3</v>
      </c>
      <c r="B7" s="181" t="s">
        <v>2</v>
      </c>
      <c r="C7" s="182"/>
      <c r="D7" s="14">
        <f t="shared" si="0"/>
        <v>1259696</v>
      </c>
      <c r="E7" s="17">
        <f t="shared" si="1"/>
        <v>8863174.7726031244</v>
      </c>
      <c r="F7" s="21">
        <f t="shared" si="2"/>
        <v>7.04</v>
      </c>
    </row>
    <row r="8" spans="1:6" ht="14.25" customHeight="1" x14ac:dyDescent="0.2">
      <c r="A8" s="19">
        <v>4</v>
      </c>
      <c r="B8" s="181" t="s">
        <v>3</v>
      </c>
      <c r="C8" s="182"/>
      <c r="D8" s="14">
        <f t="shared" si="0"/>
        <v>895424</v>
      </c>
      <c r="E8" s="17">
        <f t="shared" si="1"/>
        <v>6060789.0651326831</v>
      </c>
      <c r="F8" s="21">
        <f t="shared" si="2"/>
        <v>6.77</v>
      </c>
    </row>
    <row r="9" spans="1:6" x14ac:dyDescent="0.2">
      <c r="A9" s="19">
        <v>5</v>
      </c>
      <c r="B9" s="181" t="s">
        <v>4</v>
      </c>
      <c r="C9" s="182"/>
      <c r="D9" s="14">
        <f t="shared" si="0"/>
        <v>884</v>
      </c>
      <c r="E9" s="17">
        <f t="shared" si="1"/>
        <v>13293.500519951767</v>
      </c>
      <c r="F9" s="21">
        <f t="shared" si="2"/>
        <v>15.04</v>
      </c>
    </row>
    <row r="10" spans="1:6" x14ac:dyDescent="0.2">
      <c r="A10" s="19">
        <v>6</v>
      </c>
      <c r="B10" s="181" t="s">
        <v>5</v>
      </c>
      <c r="C10" s="182"/>
      <c r="D10" s="14">
        <f t="shared" si="0"/>
        <v>89144</v>
      </c>
      <c r="E10" s="17">
        <f t="shared" si="1"/>
        <v>606107.1610300683</v>
      </c>
      <c r="F10" s="21">
        <f t="shared" si="2"/>
        <v>6.8</v>
      </c>
    </row>
    <row r="11" spans="1:6" x14ac:dyDescent="0.2">
      <c r="A11" s="19">
        <v>7</v>
      </c>
      <c r="B11" s="181" t="s">
        <v>6</v>
      </c>
      <c r="C11" s="182"/>
      <c r="D11" s="14">
        <f t="shared" si="0"/>
        <v>891683</v>
      </c>
      <c r="E11" s="17">
        <f t="shared" si="1"/>
        <v>6730734.561235466</v>
      </c>
      <c r="F11" s="21">
        <f t="shared" si="2"/>
        <v>7.55</v>
      </c>
    </row>
    <row r="12" spans="1:6" x14ac:dyDescent="0.2">
      <c r="A12" s="19">
        <v>8</v>
      </c>
      <c r="B12" s="181" t="s">
        <v>7</v>
      </c>
      <c r="C12" s="182"/>
      <c r="D12" s="14">
        <f t="shared" si="0"/>
        <v>2310</v>
      </c>
      <c r="E12" s="17">
        <f t="shared" si="1"/>
        <v>18744.459503493872</v>
      </c>
      <c r="F12" s="21">
        <f t="shared" si="2"/>
        <v>8.11</v>
      </c>
    </row>
    <row r="13" spans="1:6" x14ac:dyDescent="0.2">
      <c r="A13" s="19">
        <v>9</v>
      </c>
      <c r="B13" s="181" t="s">
        <v>8</v>
      </c>
      <c r="C13" s="182"/>
      <c r="D13" s="14">
        <f t="shared" si="0"/>
        <v>233789</v>
      </c>
      <c r="E13" s="17">
        <f t="shared" si="1"/>
        <v>1602431.9921481945</v>
      </c>
      <c r="F13" s="21">
        <f t="shared" si="2"/>
        <v>6.85</v>
      </c>
    </row>
    <row r="14" spans="1:6" x14ac:dyDescent="0.2">
      <c r="A14" s="19">
        <v>10</v>
      </c>
      <c r="B14" s="181" t="s">
        <v>9</v>
      </c>
      <c r="C14" s="182"/>
      <c r="D14" s="14">
        <f t="shared" si="0"/>
        <v>2368</v>
      </c>
      <c r="E14" s="17">
        <f t="shared" si="1"/>
        <v>18372.250261590256</v>
      </c>
      <c r="F14" s="21">
        <f t="shared" si="2"/>
        <v>7.76</v>
      </c>
    </row>
    <row r="15" spans="1:6" x14ac:dyDescent="0.2">
      <c r="A15" s="19">
        <v>11</v>
      </c>
      <c r="B15" s="181" t="s">
        <v>10</v>
      </c>
      <c r="C15" s="182"/>
      <c r="D15" s="14">
        <f t="shared" si="0"/>
        <v>165116</v>
      </c>
      <c r="E15" s="17">
        <f t="shared" si="1"/>
        <v>1240265.1174800408</v>
      </c>
      <c r="F15" s="21">
        <f t="shared" si="2"/>
        <v>7.51</v>
      </c>
    </row>
    <row r="16" spans="1:6" ht="14.25" customHeight="1" x14ac:dyDescent="0.2">
      <c r="A16" s="19">
        <v>12</v>
      </c>
      <c r="B16" s="181" t="s">
        <v>11</v>
      </c>
      <c r="C16" s="182"/>
      <c r="D16" s="14">
        <f t="shared" si="0"/>
        <v>2325470</v>
      </c>
      <c r="E16" s="17">
        <f t="shared" si="1"/>
        <v>13961266.762593029</v>
      </c>
      <c r="F16" s="21">
        <f t="shared" si="2"/>
        <v>6</v>
      </c>
    </row>
    <row r="17" spans="1:6" x14ac:dyDescent="0.2">
      <c r="A17" s="19">
        <v>13</v>
      </c>
      <c r="B17" s="181" t="s">
        <v>12</v>
      </c>
      <c r="C17" s="182"/>
      <c r="D17" s="14">
        <f t="shared" si="0"/>
        <v>231780</v>
      </c>
      <c r="E17" s="17">
        <f t="shared" si="1"/>
        <v>1349978.27433758</v>
      </c>
      <c r="F17" s="21">
        <f t="shared" si="2"/>
        <v>5.82</v>
      </c>
    </row>
    <row r="18" spans="1:6" ht="14.25" customHeight="1" x14ac:dyDescent="0.2">
      <c r="A18" s="19">
        <v>14</v>
      </c>
      <c r="B18" s="181" t="s">
        <v>464</v>
      </c>
      <c r="C18" s="182"/>
      <c r="D18" s="14">
        <f t="shared" si="0"/>
        <v>156558</v>
      </c>
      <c r="E18" s="17">
        <f t="shared" si="1"/>
        <v>1764020.1294147158</v>
      </c>
      <c r="F18" s="21">
        <f t="shared" si="2"/>
        <v>11.27</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353965</v>
      </c>
      <c r="E20" s="17">
        <f t="shared" si="1"/>
        <v>2901525.4429238997</v>
      </c>
      <c r="F20" s="21">
        <f t="shared" si="2"/>
        <v>8.1999999999999993</v>
      </c>
    </row>
    <row r="21" spans="1:6" x14ac:dyDescent="0.2">
      <c r="A21" s="19">
        <v>17</v>
      </c>
      <c r="B21" s="181" t="s">
        <v>15</v>
      </c>
      <c r="C21" s="182"/>
      <c r="D21" s="14">
        <f t="shared" si="0"/>
        <v>30464</v>
      </c>
      <c r="E21" s="17">
        <f t="shared" si="1"/>
        <v>346117.78714910708</v>
      </c>
      <c r="F21" s="21">
        <f t="shared" si="2"/>
        <v>11.36</v>
      </c>
    </row>
    <row r="22" spans="1:6" x14ac:dyDescent="0.2">
      <c r="A22" s="19">
        <v>18</v>
      </c>
      <c r="B22" s="181" t="s">
        <v>16</v>
      </c>
      <c r="C22" s="182"/>
      <c r="D22" s="14">
        <f t="shared" si="0"/>
        <v>126144</v>
      </c>
      <c r="E22" s="17">
        <f t="shared" si="1"/>
        <v>1043784.1963674161</v>
      </c>
      <c r="F22" s="21">
        <f t="shared" si="2"/>
        <v>8.27</v>
      </c>
    </row>
    <row r="23" spans="1:6" x14ac:dyDescent="0.2">
      <c r="A23" s="19">
        <v>19</v>
      </c>
      <c r="B23" s="181" t="s">
        <v>17</v>
      </c>
      <c r="C23" s="182"/>
      <c r="D23" s="14">
        <f t="shared" si="0"/>
        <v>1777492</v>
      </c>
      <c r="E23" s="17">
        <f t="shared" si="1"/>
        <v>10675284.382590618</v>
      </c>
      <c r="F23" s="21">
        <f t="shared" si="2"/>
        <v>6.01</v>
      </c>
    </row>
    <row r="24" spans="1:6" x14ac:dyDescent="0.2">
      <c r="A24" s="19">
        <v>20</v>
      </c>
      <c r="B24" s="181" t="s">
        <v>18</v>
      </c>
      <c r="C24" s="182"/>
      <c r="D24" s="14">
        <f t="shared" si="0"/>
        <v>34584</v>
      </c>
      <c r="E24" s="17">
        <f t="shared" si="1"/>
        <v>311322.16513802257</v>
      </c>
      <c r="F24" s="21">
        <f t="shared" si="2"/>
        <v>9</v>
      </c>
    </row>
    <row r="25" spans="1:6" ht="14.25" customHeight="1" x14ac:dyDescent="0.2">
      <c r="A25" s="19">
        <v>21</v>
      </c>
      <c r="B25" s="181" t="s">
        <v>461</v>
      </c>
      <c r="C25" s="182"/>
      <c r="D25" s="14">
        <f t="shared" si="0"/>
        <v>49968</v>
      </c>
      <c r="E25" s="17">
        <f t="shared" si="1"/>
        <v>479106.35518207005</v>
      </c>
      <c r="F25" s="21">
        <f t="shared" si="2"/>
        <v>9.59</v>
      </c>
    </row>
    <row r="26" spans="1:6" x14ac:dyDescent="0.2">
      <c r="A26" s="19">
        <v>22</v>
      </c>
      <c r="B26" s="181" t="s">
        <v>19</v>
      </c>
      <c r="C26" s="182"/>
      <c r="D26" s="14">
        <f t="shared" si="0"/>
        <v>12794</v>
      </c>
      <c r="E26" s="17">
        <f t="shared" si="1"/>
        <v>125116.94757043317</v>
      </c>
      <c r="F26" s="21">
        <f t="shared" si="2"/>
        <v>9.7799999999999994</v>
      </c>
    </row>
    <row r="27" spans="1:6" x14ac:dyDescent="0.2">
      <c r="A27" s="19">
        <v>23</v>
      </c>
      <c r="B27" s="181" t="s">
        <v>20</v>
      </c>
      <c r="C27" s="182"/>
      <c r="D27" s="14">
        <f t="shared" si="0"/>
        <v>293232</v>
      </c>
      <c r="E27" s="17">
        <f t="shared" si="1"/>
        <v>2282139.1996227335</v>
      </c>
      <c r="F27" s="21">
        <f t="shared" si="2"/>
        <v>7.78</v>
      </c>
    </row>
    <row r="28" spans="1:6" x14ac:dyDescent="0.2">
      <c r="A28" s="19">
        <v>24</v>
      </c>
      <c r="B28" s="181" t="s">
        <v>21</v>
      </c>
      <c r="C28" s="182"/>
      <c r="D28" s="14">
        <f t="shared" si="0"/>
        <v>178210</v>
      </c>
      <c r="E28" s="17">
        <f t="shared" si="1"/>
        <v>1038885.1896613173</v>
      </c>
      <c r="F28" s="21">
        <f t="shared" si="2"/>
        <v>5.83</v>
      </c>
    </row>
    <row r="29" spans="1:6" x14ac:dyDescent="0.2">
      <c r="A29" s="19">
        <v>25</v>
      </c>
      <c r="B29" s="181" t="s">
        <v>22</v>
      </c>
      <c r="C29" s="182"/>
      <c r="D29" s="14">
        <f t="shared" si="0"/>
        <v>2205216</v>
      </c>
      <c r="E29" s="17">
        <f t="shared" si="1"/>
        <v>13486778.179418504</v>
      </c>
      <c r="F29" s="21">
        <f t="shared" si="2"/>
        <v>6.12</v>
      </c>
    </row>
    <row r="30" spans="1:6" x14ac:dyDescent="0.2">
      <c r="A30" s="19">
        <v>26</v>
      </c>
      <c r="B30" s="181" t="s">
        <v>23</v>
      </c>
      <c r="C30" s="182"/>
      <c r="D30" s="14">
        <f t="shared" si="0"/>
        <v>526816</v>
      </c>
      <c r="E30" s="17">
        <f t="shared" si="1"/>
        <v>4387471.689953519</v>
      </c>
      <c r="F30" s="21">
        <f t="shared" si="2"/>
        <v>8.33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12079005</v>
      </c>
      <c r="E33" s="31">
        <f>SUM(E5:E32)</f>
        <v>81192145</v>
      </c>
      <c r="F33" s="32">
        <f t="shared" si="2"/>
        <v>6.72</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IF(F3="1",SUMIF(Data!A:A,'26'!$A$2,Data!CU:CU),0)</f>
        <v>12192</v>
      </c>
      <c r="E36" s="15">
        <f>IF(F3="1",SUMIF(Data!$A:$A,$A$2,Data!IO:IO),0)</f>
        <v>31911</v>
      </c>
      <c r="F36" s="20">
        <f t="shared" ref="F36:F64" si="3">IF(OR(D36=0,E36=0),"",ROUND(E36/D36,2))</f>
        <v>2.62</v>
      </c>
    </row>
    <row r="37" spans="1:6" x14ac:dyDescent="0.2">
      <c r="A37" s="19">
        <v>2</v>
      </c>
      <c r="B37" s="181" t="s">
        <v>1</v>
      </c>
      <c r="C37" s="182"/>
      <c r="D37" s="14">
        <f>IF(F3="1",SUMIF(Data!A:A,'26'!$A$2,Data!CV:CV),0)</f>
        <v>223706</v>
      </c>
      <c r="E37" s="17">
        <f>IF(F3="1",SUMIF(Data!$A:$A,$A$2,Data!IP:IP),0)</f>
        <v>236985</v>
      </c>
      <c r="F37" s="21">
        <f t="shared" si="3"/>
        <v>1.06</v>
      </c>
    </row>
    <row r="38" spans="1:6" ht="14.25" customHeight="1" x14ac:dyDescent="0.2">
      <c r="A38" s="19">
        <v>3</v>
      </c>
      <c r="B38" s="181" t="s">
        <v>2</v>
      </c>
      <c r="C38" s="182"/>
      <c r="D38" s="14">
        <f>IF(F3="1",SUMIF(Data!A:A,'26'!$A$2,Data!CW:CW),0)</f>
        <v>1259696</v>
      </c>
      <c r="E38" s="17">
        <f>IF($F$3="1",SUMIF(Data!$A:$A,$A$2,Data!IQ:IQ),0)</f>
        <v>1056587</v>
      </c>
      <c r="F38" s="21">
        <f t="shared" si="3"/>
        <v>0.84</v>
      </c>
    </row>
    <row r="39" spans="1:6" ht="14.25" customHeight="1" x14ac:dyDescent="0.2">
      <c r="A39" s="19">
        <v>4</v>
      </c>
      <c r="B39" s="181" t="s">
        <v>3</v>
      </c>
      <c r="C39" s="182"/>
      <c r="D39" s="14">
        <f>IF(F3="1",SUMIF(Data!A:A,'26'!$A$2,Data!CX:CX),0)</f>
        <v>895424</v>
      </c>
      <c r="E39" s="17">
        <f>IF($F$3="1",SUMIF(Data!$A:$A,$A$2,Data!IR:IR),0)</f>
        <v>545674</v>
      </c>
      <c r="F39" s="21">
        <f t="shared" si="3"/>
        <v>0.61</v>
      </c>
    </row>
    <row r="40" spans="1:6" x14ac:dyDescent="0.2">
      <c r="A40" s="19">
        <v>5</v>
      </c>
      <c r="B40" s="181" t="s">
        <v>4</v>
      </c>
      <c r="C40" s="182"/>
      <c r="D40" s="14">
        <f>IF(F3="1",SUMIF(Data!A:A,'26'!$A$2,Data!CY:CY),0)</f>
        <v>884</v>
      </c>
      <c r="E40" s="17">
        <f>IF($F$3="1",SUMIF(Data!$A:$A,$A$2,Data!IS:IS),0)</f>
        <v>815</v>
      </c>
      <c r="F40" s="21">
        <f t="shared" si="3"/>
        <v>0.92</v>
      </c>
    </row>
    <row r="41" spans="1:6" x14ac:dyDescent="0.2">
      <c r="A41" s="19">
        <v>6</v>
      </c>
      <c r="B41" s="181" t="s">
        <v>5</v>
      </c>
      <c r="C41" s="182"/>
      <c r="D41" s="14">
        <f>IF(F3="1",SUMIF(Data!A:A,'26'!$A$2,Data!CZ:CZ),0)</f>
        <v>89144</v>
      </c>
      <c r="E41" s="17">
        <f>IF($F$3="1",SUMIF(Data!$A:$A,$A$2,Data!IT:IT),0)</f>
        <v>68747</v>
      </c>
      <c r="F41" s="21">
        <f t="shared" si="3"/>
        <v>0.77</v>
      </c>
    </row>
    <row r="42" spans="1:6" x14ac:dyDescent="0.2">
      <c r="A42" s="19">
        <v>7</v>
      </c>
      <c r="B42" s="181" t="s">
        <v>6</v>
      </c>
      <c r="C42" s="182"/>
      <c r="D42" s="14">
        <f>IF(F3="1",SUMIF(Data!A:A,'26'!$A$2,Data!DA:DA),0)</f>
        <v>891683</v>
      </c>
      <c r="E42" s="17">
        <f>IF($F$3="1",SUMIF(Data!$A:$A,$A$2,Data!IU:IU),0)</f>
        <v>543271</v>
      </c>
      <c r="F42" s="21">
        <f t="shared" si="3"/>
        <v>0.61</v>
      </c>
    </row>
    <row r="43" spans="1:6" x14ac:dyDescent="0.2">
      <c r="A43" s="19">
        <v>8</v>
      </c>
      <c r="B43" s="181" t="s">
        <v>7</v>
      </c>
      <c r="C43" s="182"/>
      <c r="D43" s="14">
        <f>IF(F3="1",SUMIF(Data!A:A,'26'!$A$2,Data!DB:DB),0)</f>
        <v>2310</v>
      </c>
      <c r="E43" s="17">
        <f>IF($F$3="1",SUMIF(Data!$A:$A,$A$2,Data!IV:IV),0)</f>
        <v>2496</v>
      </c>
      <c r="F43" s="21">
        <f t="shared" si="3"/>
        <v>1.08</v>
      </c>
    </row>
    <row r="44" spans="1:6" x14ac:dyDescent="0.2">
      <c r="A44" s="19">
        <v>9</v>
      </c>
      <c r="B44" s="181" t="s">
        <v>8</v>
      </c>
      <c r="C44" s="182"/>
      <c r="D44" s="14">
        <f>IF(F3="1",SUMIF(Data!A:A,'26'!$A$2,Data!DC:DC),0)</f>
        <v>233789</v>
      </c>
      <c r="E44" s="17">
        <f>IF($F$3="1",SUMIF(Data!$A:$A,$A$2,Data!IW:IW),0)</f>
        <v>129627</v>
      </c>
      <c r="F44" s="21">
        <f t="shared" si="3"/>
        <v>0.55000000000000004</v>
      </c>
    </row>
    <row r="45" spans="1:6" x14ac:dyDescent="0.2">
      <c r="A45" s="19">
        <v>10</v>
      </c>
      <c r="B45" s="181" t="s">
        <v>9</v>
      </c>
      <c r="C45" s="182"/>
      <c r="D45" s="14">
        <f>IF(F3="1",SUMIF(Data!A:A,'26'!$A$2,Data!DD:DD),0)</f>
        <v>2368</v>
      </c>
      <c r="E45" s="17">
        <f>IF($F$3="1",SUMIF(Data!$A:$A,$A$2,Data!IX:IX),0)</f>
        <v>2059</v>
      </c>
      <c r="F45" s="21">
        <f t="shared" si="3"/>
        <v>0.87</v>
      </c>
    </row>
    <row r="46" spans="1:6" x14ac:dyDescent="0.2">
      <c r="A46" s="19">
        <v>11</v>
      </c>
      <c r="B46" s="181" t="s">
        <v>10</v>
      </c>
      <c r="C46" s="182"/>
      <c r="D46" s="14">
        <f>IF(F3="1",SUMIF(Data!A:A,'26'!$A$2,Data!DE:DE),0)</f>
        <v>165116</v>
      </c>
      <c r="E46" s="17">
        <f>IF($F$3="1",SUMIF(Data!$A:$A,$A$2,Data!IY:IY),0)</f>
        <v>137905</v>
      </c>
      <c r="F46" s="21">
        <f t="shared" si="3"/>
        <v>0.84</v>
      </c>
    </row>
    <row r="47" spans="1:6" ht="14.25" customHeight="1" x14ac:dyDescent="0.2">
      <c r="A47" s="19">
        <v>12</v>
      </c>
      <c r="B47" s="181" t="s">
        <v>11</v>
      </c>
      <c r="C47" s="182"/>
      <c r="D47" s="14">
        <f>IF(F3="1",SUMIF(Data!A:A,'26'!$A$2,Data!DF:DF),0)</f>
        <v>2325470</v>
      </c>
      <c r="E47" s="17">
        <f>IF($F$3="1",SUMIF(Data!$A:$A,$A$2,Data!IZ:IZ),0)</f>
        <v>1377172</v>
      </c>
      <c r="F47" s="21">
        <f t="shared" si="3"/>
        <v>0.59</v>
      </c>
    </row>
    <row r="48" spans="1:6" x14ac:dyDescent="0.2">
      <c r="A48" s="19">
        <v>13</v>
      </c>
      <c r="B48" s="181" t="s">
        <v>12</v>
      </c>
      <c r="C48" s="182"/>
      <c r="D48" s="14">
        <f>IF(F3="1",SUMIF(Data!A:A,'26'!$A$2,Data!DG:DG),0)</f>
        <v>231780</v>
      </c>
      <c r="E48" s="17">
        <f>IF($F$3="1",SUMIF(Data!$A:$A,$A$2,Data!JA:JA),0)</f>
        <v>71336</v>
      </c>
      <c r="F48" s="21">
        <f t="shared" si="3"/>
        <v>0.31</v>
      </c>
    </row>
    <row r="49" spans="1:6" ht="14.25" customHeight="1" x14ac:dyDescent="0.2">
      <c r="A49" s="19">
        <v>14</v>
      </c>
      <c r="B49" s="181" t="s">
        <v>464</v>
      </c>
      <c r="C49" s="182"/>
      <c r="D49" s="14">
        <f>IF(F3="1",SUMIF(Data!A:A,'26'!$A$2,Data!DH:DH),0)</f>
        <v>156558</v>
      </c>
      <c r="E49" s="17">
        <f>IF($F$3="1",SUMIF(Data!$A:$A,$A$2,Data!JB:JB),0)</f>
        <v>149384</v>
      </c>
      <c r="F49" s="21">
        <f t="shared" si="3"/>
        <v>0.95</v>
      </c>
    </row>
    <row r="50" spans="1:6" x14ac:dyDescent="0.2">
      <c r="A50" s="19">
        <v>15</v>
      </c>
      <c r="B50" s="181" t="s">
        <v>13</v>
      </c>
      <c r="C50" s="182"/>
      <c r="D50" s="14">
        <f>IF(F3="1",SUMIF(Data!A:A,'26'!$A$2,Data!DI:DI),0)</f>
        <v>0</v>
      </c>
      <c r="E50" s="17">
        <f>IF($F$3="1",SUMIF(Data!$A:$A,$A$2,Data!JC:JC),0)</f>
        <v>0</v>
      </c>
      <c r="F50" s="21" t="str">
        <f t="shared" si="3"/>
        <v/>
      </c>
    </row>
    <row r="51" spans="1:6" x14ac:dyDescent="0.2">
      <c r="A51" s="19">
        <v>16</v>
      </c>
      <c r="B51" s="181" t="s">
        <v>14</v>
      </c>
      <c r="C51" s="182"/>
      <c r="D51" s="14">
        <f>IF(F3="1",SUMIF(Data!A:A,'26'!$A$2,Data!DJ:DJ),0)</f>
        <v>353965</v>
      </c>
      <c r="E51" s="17">
        <f>IF($F$3="1",SUMIF(Data!$A:$A,$A$2,Data!JD:JD),0)</f>
        <v>449975</v>
      </c>
      <c r="F51" s="21">
        <f t="shared" si="3"/>
        <v>1.27</v>
      </c>
    </row>
    <row r="52" spans="1:6" x14ac:dyDescent="0.2">
      <c r="A52" s="19">
        <v>17</v>
      </c>
      <c r="B52" s="181" t="s">
        <v>15</v>
      </c>
      <c r="C52" s="182"/>
      <c r="D52" s="14">
        <f>IF(F3="1",SUMIF(Data!A:A,'26'!$A$2,Data!DK:DK),0)</f>
        <v>30464</v>
      </c>
      <c r="E52" s="17">
        <f>IF($F$3="1",SUMIF(Data!$A:$A,$A$2,Data!JE:JE),0)</f>
        <v>42566</v>
      </c>
      <c r="F52" s="21">
        <f t="shared" si="3"/>
        <v>1.4</v>
      </c>
    </row>
    <row r="53" spans="1:6" x14ac:dyDescent="0.2">
      <c r="A53" s="19">
        <v>18</v>
      </c>
      <c r="B53" s="181" t="s">
        <v>16</v>
      </c>
      <c r="C53" s="182"/>
      <c r="D53" s="14">
        <f>IF(F3="1",SUMIF(Data!A:A,'26'!$A$2,Data!DL:DL),0)</f>
        <v>126144</v>
      </c>
      <c r="E53" s="17">
        <f>IF($F$3="1",SUMIF(Data!$A:$A,$A$2,Data!JF:JF),0)</f>
        <v>96454</v>
      </c>
      <c r="F53" s="21">
        <f t="shared" si="3"/>
        <v>0.76</v>
      </c>
    </row>
    <row r="54" spans="1:6" x14ac:dyDescent="0.2">
      <c r="A54" s="19">
        <v>19</v>
      </c>
      <c r="B54" s="181" t="s">
        <v>17</v>
      </c>
      <c r="C54" s="182"/>
      <c r="D54" s="14">
        <f>IF(F3="1",SUMIF(Data!A:A,'26'!$A$2,Data!DM:DM),0)</f>
        <v>1777492</v>
      </c>
      <c r="E54" s="17">
        <f>IF($F$3="1",SUMIF(Data!$A:$A,$A$2,Data!JG:JG),0)</f>
        <v>624655</v>
      </c>
      <c r="F54" s="21">
        <f t="shared" si="3"/>
        <v>0.35</v>
      </c>
    </row>
    <row r="55" spans="1:6" x14ac:dyDescent="0.2">
      <c r="A55" s="19">
        <v>20</v>
      </c>
      <c r="B55" s="181" t="s">
        <v>18</v>
      </c>
      <c r="C55" s="182"/>
      <c r="D55" s="14">
        <f>IF(F3="1",SUMIF(Data!A:A,'26'!$A$2,Data!DN:DN),0)</f>
        <v>34584</v>
      </c>
      <c r="E55" s="17">
        <f>IF($F$3="1",SUMIF(Data!$A:$A,$A$2,Data!JH:JH),0)</f>
        <v>34292</v>
      </c>
      <c r="F55" s="21">
        <f t="shared" si="3"/>
        <v>0.99</v>
      </c>
    </row>
    <row r="56" spans="1:6" ht="14.25" customHeight="1" x14ac:dyDescent="0.2">
      <c r="A56" s="19">
        <v>21</v>
      </c>
      <c r="B56" s="181" t="s">
        <v>461</v>
      </c>
      <c r="C56" s="182"/>
      <c r="D56" s="14">
        <f>IF(F3="1",SUMIF(Data!A:A,'26'!$A$2,Data!DO:DO),0)</f>
        <v>49968</v>
      </c>
      <c r="E56" s="17">
        <f>IF($F$3="1",SUMIF(Data!$A:$A,$A$2,Data!JI:JI),0)</f>
        <v>77810</v>
      </c>
      <c r="F56" s="21">
        <f t="shared" si="3"/>
        <v>1.56</v>
      </c>
    </row>
    <row r="57" spans="1:6" x14ac:dyDescent="0.2">
      <c r="A57" s="19">
        <v>22</v>
      </c>
      <c r="B57" s="181" t="s">
        <v>19</v>
      </c>
      <c r="C57" s="182"/>
      <c r="D57" s="14">
        <f>IF(F3="1",SUMIF(Data!A:A,'26'!$A$2,Data!DP:DP),0)</f>
        <v>12794</v>
      </c>
      <c r="E57" s="17">
        <f>IF($F$3="1",SUMIF(Data!$A:$A,$A$2,Data!JJ:JJ),0)</f>
        <v>24391</v>
      </c>
      <c r="F57" s="21">
        <f t="shared" si="3"/>
        <v>1.91</v>
      </c>
    </row>
    <row r="58" spans="1:6" x14ac:dyDescent="0.2">
      <c r="A58" s="19">
        <v>23</v>
      </c>
      <c r="B58" s="181" t="s">
        <v>20</v>
      </c>
      <c r="C58" s="182"/>
      <c r="D58" s="14">
        <f>IF(F3="1",SUMIF(Data!A:A,'26'!$A$2,Data!DQ:DQ),0)</f>
        <v>293232</v>
      </c>
      <c r="E58" s="17">
        <f>IF($F$3="1",SUMIF(Data!$A:$A,$A$2,Data!JK:JK),0)</f>
        <v>285529</v>
      </c>
      <c r="F58" s="21">
        <f t="shared" si="3"/>
        <v>0.97</v>
      </c>
    </row>
    <row r="59" spans="1:6" x14ac:dyDescent="0.2">
      <c r="A59" s="19">
        <v>24</v>
      </c>
      <c r="B59" s="181" t="s">
        <v>21</v>
      </c>
      <c r="C59" s="182"/>
      <c r="D59" s="14">
        <f>IF(F3="1",SUMIF(Data!A:A,'26'!$A$2,Data!DR:DR),0)</f>
        <v>178210</v>
      </c>
      <c r="E59" s="17">
        <f>IF($F$3="1",SUMIF(Data!$A:$A,$A$2,Data!JL:JL),0)</f>
        <v>53081</v>
      </c>
      <c r="F59" s="21">
        <f t="shared" si="3"/>
        <v>0.3</v>
      </c>
    </row>
    <row r="60" spans="1:6" x14ac:dyDescent="0.2">
      <c r="A60" s="19">
        <v>25</v>
      </c>
      <c r="B60" s="181" t="s">
        <v>22</v>
      </c>
      <c r="C60" s="182"/>
      <c r="D60" s="14">
        <f>IF(F3="1",SUMIF(Data!A:A,'26'!$A$2,Data!DS:DS),0)</f>
        <v>2205216</v>
      </c>
      <c r="E60" s="17">
        <f>IF($F$3="1",SUMIF(Data!$A:$A,$A$2,Data!JM:JM),0)</f>
        <v>720262</v>
      </c>
      <c r="F60" s="21">
        <f t="shared" si="3"/>
        <v>0.33</v>
      </c>
    </row>
    <row r="61" spans="1:6" x14ac:dyDescent="0.2">
      <c r="A61" s="19">
        <v>26</v>
      </c>
      <c r="B61" s="181" t="s">
        <v>23</v>
      </c>
      <c r="C61" s="182"/>
      <c r="D61" s="14">
        <f>IF(F3="1",SUMIF(Data!A:A,'26'!$A$2,Data!DT:DT),0)</f>
        <v>526816</v>
      </c>
      <c r="E61" s="17">
        <f>IF($F$3="1",SUMIF(Data!$A:$A,$A$2,Data!JN:JN),0)</f>
        <v>514838</v>
      </c>
      <c r="F61" s="21">
        <f t="shared" si="3"/>
        <v>0.98</v>
      </c>
    </row>
    <row r="62" spans="1:6" x14ac:dyDescent="0.2">
      <c r="A62" s="19">
        <v>28</v>
      </c>
      <c r="B62" s="181" t="s">
        <v>24</v>
      </c>
      <c r="C62" s="182"/>
      <c r="D62" s="14">
        <f>IF(F3="1",SUMIF(Data!A:A,'26'!$A$2,Data!DV:DV),0)</f>
        <v>0</v>
      </c>
      <c r="E62" s="17">
        <f>IF($F$3="1",SUMIF(Data!$A:$A,$A$2,Data!JP:JP),0)</f>
        <v>0</v>
      </c>
      <c r="F62" s="21" t="str">
        <f t="shared" si="3"/>
        <v/>
      </c>
    </row>
    <row r="63" spans="1:6" ht="15.75" customHeight="1" thickBot="1" x14ac:dyDescent="0.25">
      <c r="A63" s="22">
        <v>29</v>
      </c>
      <c r="B63" s="183" t="s">
        <v>25</v>
      </c>
      <c r="C63" s="184"/>
      <c r="D63" s="23">
        <f>IF(F3="1",SUMIF(Data!A:A,'26'!$A$2,Data!DW:DW),0)</f>
        <v>0</v>
      </c>
      <c r="E63" s="24">
        <f>IF($F$3="1",SUMIF(Data!$A:$A,$A$2,Data!JQ:JQ),0)</f>
        <v>0</v>
      </c>
      <c r="F63" s="25" t="str">
        <f t="shared" si="3"/>
        <v/>
      </c>
    </row>
    <row r="64" spans="1:6" x14ac:dyDescent="0.2">
      <c r="B64" s="30" t="s">
        <v>35</v>
      </c>
      <c r="C64" s="30"/>
      <c r="D64" s="59">
        <f>SUM(D36:D63)</f>
        <v>12079005</v>
      </c>
      <c r="E64" s="31">
        <f>SUM(E36:E63)</f>
        <v>7277822</v>
      </c>
      <c r="F64" s="32">
        <f t="shared" si="3"/>
        <v>0.6</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12192</v>
      </c>
      <c r="E67" s="15">
        <f>IF(F3="1",SUMIF(Data!A:A,'26'!$A$2,Data!DY:DY),0)</f>
        <v>49804</v>
      </c>
      <c r="F67" s="20">
        <f t="shared" ref="F67:F95" si="4">IF(OR(D67=0,E67=0),"",ROUND(E67/D67,2))</f>
        <v>4.08</v>
      </c>
    </row>
    <row r="68" spans="1:6" x14ac:dyDescent="0.2">
      <c r="A68" s="19">
        <v>2</v>
      </c>
      <c r="B68" s="181" t="s">
        <v>1</v>
      </c>
      <c r="C68" s="182"/>
      <c r="D68" s="14">
        <f t="shared" ref="D68:D94" si="5">D37</f>
        <v>223706</v>
      </c>
      <c r="E68" s="17">
        <f>IF(F3="1",SUMIF(Data!A:A,'26'!$A$2,Data!DZ:DZ),0)</f>
        <v>713473</v>
      </c>
      <c r="F68" s="21">
        <f t="shared" si="4"/>
        <v>3.19</v>
      </c>
    </row>
    <row r="69" spans="1:6" ht="14.25" customHeight="1" x14ac:dyDescent="0.2">
      <c r="A69" s="19">
        <v>3</v>
      </c>
      <c r="B69" s="181" t="s">
        <v>2</v>
      </c>
      <c r="C69" s="182"/>
      <c r="D69" s="14">
        <f t="shared" si="5"/>
        <v>1259696</v>
      </c>
      <c r="E69" s="17">
        <f>IF(F3="1",SUMIF(Data!A:A,'26'!$A$2,Data!EA:EA),0)</f>
        <v>3250164</v>
      </c>
      <c r="F69" s="21">
        <f t="shared" si="4"/>
        <v>2.58</v>
      </c>
    </row>
    <row r="70" spans="1:6" ht="14.25" customHeight="1" x14ac:dyDescent="0.2">
      <c r="A70" s="19">
        <v>4</v>
      </c>
      <c r="B70" s="181" t="s">
        <v>3</v>
      </c>
      <c r="C70" s="182"/>
      <c r="D70" s="14">
        <f t="shared" si="5"/>
        <v>895424</v>
      </c>
      <c r="E70" s="17">
        <f>IF(F3="1",SUMIF(Data!A:A,'26'!$A$2,Data!EB:EB),0)</f>
        <v>2276293</v>
      </c>
      <c r="F70" s="21">
        <f t="shared" si="4"/>
        <v>2.54</v>
      </c>
    </row>
    <row r="71" spans="1:6" x14ac:dyDescent="0.2">
      <c r="A71" s="19">
        <v>5</v>
      </c>
      <c r="B71" s="181" t="s">
        <v>4</v>
      </c>
      <c r="C71" s="182"/>
      <c r="D71" s="14">
        <f t="shared" si="5"/>
        <v>884</v>
      </c>
      <c r="E71" s="17">
        <f>IF(F3="1",SUMIF(Data!A:A,'26'!$A$2,Data!EC:EC),0)</f>
        <v>9281</v>
      </c>
      <c r="F71" s="21">
        <f t="shared" si="4"/>
        <v>10.5</v>
      </c>
    </row>
    <row r="72" spans="1:6" x14ac:dyDescent="0.2">
      <c r="A72" s="19">
        <v>6</v>
      </c>
      <c r="B72" s="181" t="s">
        <v>5</v>
      </c>
      <c r="C72" s="182"/>
      <c r="D72" s="14">
        <f t="shared" si="5"/>
        <v>89144</v>
      </c>
      <c r="E72" s="17">
        <f>IF(F3="1",SUMIF(Data!A:A,'26'!$A$2,Data!ED:ED),0)</f>
        <v>214919</v>
      </c>
      <c r="F72" s="21">
        <f t="shared" si="4"/>
        <v>2.41</v>
      </c>
    </row>
    <row r="73" spans="1:6" x14ac:dyDescent="0.2">
      <c r="A73" s="19">
        <v>7</v>
      </c>
      <c r="B73" s="181" t="s">
        <v>6</v>
      </c>
      <c r="C73" s="182"/>
      <c r="D73" s="14">
        <f t="shared" si="5"/>
        <v>891683</v>
      </c>
      <c r="E73" s="17">
        <f>IF(F3="1",SUMIF(Data!A:A,'26'!$A$2,Data!EE:EE),0)</f>
        <v>2962173</v>
      </c>
      <c r="F73" s="21">
        <f t="shared" si="4"/>
        <v>3.32</v>
      </c>
    </row>
    <row r="74" spans="1:6" x14ac:dyDescent="0.2">
      <c r="A74" s="19">
        <v>8</v>
      </c>
      <c r="B74" s="181" t="s">
        <v>7</v>
      </c>
      <c r="C74" s="182"/>
      <c r="D74" s="14">
        <f t="shared" si="5"/>
        <v>2310</v>
      </c>
      <c r="E74" s="17">
        <f>IF(F3="1",SUMIF(Data!A:A,'26'!$A$2,Data!EF:EF),0)</f>
        <v>7893</v>
      </c>
      <c r="F74" s="21">
        <f t="shared" si="4"/>
        <v>3.42</v>
      </c>
    </row>
    <row r="75" spans="1:6" x14ac:dyDescent="0.2">
      <c r="A75" s="19">
        <v>9</v>
      </c>
      <c r="B75" s="181" t="s">
        <v>8</v>
      </c>
      <c r="C75" s="182"/>
      <c r="D75" s="14">
        <f t="shared" si="5"/>
        <v>233789</v>
      </c>
      <c r="E75" s="17">
        <f>IF(F3="1",SUMIF(Data!A:A,'26'!$A$2,Data!EG:EG),0)</f>
        <v>627171</v>
      </c>
      <c r="F75" s="21">
        <f t="shared" si="4"/>
        <v>2.68</v>
      </c>
    </row>
    <row r="76" spans="1:6" x14ac:dyDescent="0.2">
      <c r="A76" s="19">
        <v>10</v>
      </c>
      <c r="B76" s="181" t="s">
        <v>9</v>
      </c>
      <c r="C76" s="182"/>
      <c r="D76" s="14">
        <f t="shared" si="5"/>
        <v>2368</v>
      </c>
      <c r="E76" s="17">
        <f>IF(F3="1",SUMIF(Data!A:A,'26'!$A$2,Data!EH:EH),0)</f>
        <v>7748</v>
      </c>
      <c r="F76" s="21">
        <f t="shared" si="4"/>
        <v>3.27</v>
      </c>
    </row>
    <row r="77" spans="1:6" x14ac:dyDescent="0.2">
      <c r="A77" s="19">
        <v>11</v>
      </c>
      <c r="B77" s="181" t="s">
        <v>10</v>
      </c>
      <c r="C77" s="182"/>
      <c r="D77" s="14">
        <f t="shared" si="5"/>
        <v>165116</v>
      </c>
      <c r="E77" s="17">
        <f>IF(F3="1",SUMIF(Data!A:A,'26'!$A$2,Data!EI:EI),0)</f>
        <v>505122</v>
      </c>
      <c r="F77" s="21">
        <f t="shared" si="4"/>
        <v>3.06</v>
      </c>
    </row>
    <row r="78" spans="1:6" ht="14.25" customHeight="1" x14ac:dyDescent="0.2">
      <c r="A78" s="19">
        <v>12</v>
      </c>
      <c r="B78" s="181" t="s">
        <v>11</v>
      </c>
      <c r="C78" s="182"/>
      <c r="D78" s="14">
        <f t="shared" si="5"/>
        <v>2325470</v>
      </c>
      <c r="E78" s="17">
        <f>IF(F3="1",SUMIF(Data!A:A,'26'!$A$2,Data!EJ:EJ),0)</f>
        <v>4172679</v>
      </c>
      <c r="F78" s="21">
        <f t="shared" si="4"/>
        <v>1.79</v>
      </c>
    </row>
    <row r="79" spans="1:6" x14ac:dyDescent="0.2">
      <c r="A79" s="19">
        <v>13</v>
      </c>
      <c r="B79" s="181" t="s">
        <v>12</v>
      </c>
      <c r="C79" s="182"/>
      <c r="D79" s="14">
        <f t="shared" si="5"/>
        <v>231780</v>
      </c>
      <c r="E79" s="17">
        <f>IF(F3="1",SUMIF(Data!A:A,'26'!$A$2,Data!EK:EK),0)</f>
        <v>440275</v>
      </c>
      <c r="F79" s="21">
        <f t="shared" si="4"/>
        <v>1.9</v>
      </c>
    </row>
    <row r="80" spans="1:6" ht="14.25" customHeight="1" x14ac:dyDescent="0.2">
      <c r="A80" s="19">
        <v>14</v>
      </c>
      <c r="B80" s="181" t="s">
        <v>464</v>
      </c>
      <c r="C80" s="182"/>
      <c r="D80" s="14">
        <f t="shared" si="5"/>
        <v>156558</v>
      </c>
      <c r="E80" s="17">
        <f>IF(F3="1",SUMIF(Data!A:A,'26'!$A$2,Data!EL:EL),0)</f>
        <v>1048353</v>
      </c>
      <c r="F80" s="21">
        <f t="shared" si="4"/>
        <v>6.7</v>
      </c>
    </row>
    <row r="81" spans="1:6" x14ac:dyDescent="0.2">
      <c r="A81" s="19">
        <v>15</v>
      </c>
      <c r="B81" s="181" t="s">
        <v>13</v>
      </c>
      <c r="C81" s="182"/>
      <c r="D81" s="14">
        <f t="shared" si="5"/>
        <v>0</v>
      </c>
      <c r="E81" s="17">
        <f>IF(F3="1",SUMIF(Data!A:A,'26'!$A$2,Data!EM:EM),0)</f>
        <v>0</v>
      </c>
      <c r="F81" s="21" t="str">
        <f t="shared" si="4"/>
        <v/>
      </c>
    </row>
    <row r="82" spans="1:6" x14ac:dyDescent="0.2">
      <c r="A82" s="19">
        <v>16</v>
      </c>
      <c r="B82" s="181" t="s">
        <v>14</v>
      </c>
      <c r="C82" s="182"/>
      <c r="D82" s="14">
        <f t="shared" si="5"/>
        <v>353965</v>
      </c>
      <c r="E82" s="17">
        <f>IF(F3="1",SUMIF(Data!A:A,'26'!$A$2,Data!EN:EN),0)</f>
        <v>1171230</v>
      </c>
      <c r="F82" s="21">
        <f t="shared" si="4"/>
        <v>3.31</v>
      </c>
    </row>
    <row r="83" spans="1:6" x14ac:dyDescent="0.2">
      <c r="A83" s="19">
        <v>17</v>
      </c>
      <c r="B83" s="181" t="s">
        <v>15</v>
      </c>
      <c r="C83" s="182"/>
      <c r="D83" s="14">
        <f t="shared" si="5"/>
        <v>30464</v>
      </c>
      <c r="E83" s="17">
        <f>IF(F3="1",SUMIF(Data!A:A,'26'!$A$2,Data!EO:EO),0)</f>
        <v>193361</v>
      </c>
      <c r="F83" s="21">
        <f t="shared" si="4"/>
        <v>6.35</v>
      </c>
    </row>
    <row r="84" spans="1:6" x14ac:dyDescent="0.2">
      <c r="A84" s="19">
        <v>18</v>
      </c>
      <c r="B84" s="181" t="s">
        <v>16</v>
      </c>
      <c r="C84" s="182"/>
      <c r="D84" s="14">
        <f t="shared" si="5"/>
        <v>126144</v>
      </c>
      <c r="E84" s="17">
        <f>IF(F3="1",SUMIF(Data!A:A,'26'!$A$2,Data!EP:EP),0)</f>
        <v>491057</v>
      </c>
      <c r="F84" s="21">
        <f t="shared" si="4"/>
        <v>3.89</v>
      </c>
    </row>
    <row r="85" spans="1:6" x14ac:dyDescent="0.2">
      <c r="A85" s="19">
        <v>19</v>
      </c>
      <c r="B85" s="181" t="s">
        <v>17</v>
      </c>
      <c r="C85" s="182"/>
      <c r="D85" s="14">
        <f t="shared" si="5"/>
        <v>1777492</v>
      </c>
      <c r="E85" s="17">
        <f>IF(F3="1",SUMIF(Data!A:A,'26'!$A$2,Data!EQ:EQ),0)</f>
        <v>3621295</v>
      </c>
      <c r="F85" s="21">
        <f t="shared" si="4"/>
        <v>2.04</v>
      </c>
    </row>
    <row r="86" spans="1:6" x14ac:dyDescent="0.2">
      <c r="A86" s="19">
        <v>20</v>
      </c>
      <c r="B86" s="181" t="s">
        <v>18</v>
      </c>
      <c r="C86" s="182"/>
      <c r="D86" s="14">
        <f t="shared" si="5"/>
        <v>34584</v>
      </c>
      <c r="E86" s="17">
        <f>IF(F3="1",SUMIF(Data!A:A,'26'!$A$2,Data!ER:ER),0)</f>
        <v>151937</v>
      </c>
      <c r="F86" s="21">
        <f t="shared" si="4"/>
        <v>4.3899999999999997</v>
      </c>
    </row>
    <row r="87" spans="1:6" ht="14.25" customHeight="1" x14ac:dyDescent="0.2">
      <c r="A87" s="19">
        <v>21</v>
      </c>
      <c r="B87" s="181" t="s">
        <v>461</v>
      </c>
      <c r="C87" s="182"/>
      <c r="D87" s="14">
        <f t="shared" si="5"/>
        <v>49968</v>
      </c>
      <c r="E87" s="17">
        <f>IF(F3="1",SUMIF(Data!A:A,'26'!$A$2,Data!ES:ES),0)</f>
        <v>220558</v>
      </c>
      <c r="F87" s="21">
        <f t="shared" si="4"/>
        <v>4.41</v>
      </c>
    </row>
    <row r="88" spans="1:6" x14ac:dyDescent="0.2">
      <c r="A88" s="19">
        <v>22</v>
      </c>
      <c r="B88" s="181" t="s">
        <v>19</v>
      </c>
      <c r="C88" s="182"/>
      <c r="D88" s="14">
        <f t="shared" si="5"/>
        <v>12794</v>
      </c>
      <c r="E88" s="17">
        <f>IF(F3="1",SUMIF(Data!A:A,'26'!$A$2,Data!ET:ET),0)</f>
        <v>54449</v>
      </c>
      <c r="F88" s="21">
        <f t="shared" si="4"/>
        <v>4.26</v>
      </c>
    </row>
    <row r="89" spans="1:6" x14ac:dyDescent="0.2">
      <c r="A89" s="19">
        <v>23</v>
      </c>
      <c r="B89" s="181" t="s">
        <v>20</v>
      </c>
      <c r="C89" s="182"/>
      <c r="D89" s="14">
        <f t="shared" si="5"/>
        <v>293232</v>
      </c>
      <c r="E89" s="17">
        <f>IF(F3="1",SUMIF(Data!A:A,'26'!$A$2,Data!EU:EU),0)</f>
        <v>935966</v>
      </c>
      <c r="F89" s="21">
        <f t="shared" si="4"/>
        <v>3.19</v>
      </c>
    </row>
    <row r="90" spans="1:6" x14ac:dyDescent="0.2">
      <c r="A90" s="19">
        <v>24</v>
      </c>
      <c r="B90" s="181" t="s">
        <v>21</v>
      </c>
      <c r="C90" s="182"/>
      <c r="D90" s="14">
        <f t="shared" si="5"/>
        <v>178210</v>
      </c>
      <c r="E90" s="17">
        <f>IF(F3="1",SUMIF(Data!A:A,'26'!$A$2,Data!EV:EV),0)</f>
        <v>341204</v>
      </c>
      <c r="F90" s="21">
        <f t="shared" si="4"/>
        <v>1.91</v>
      </c>
    </row>
    <row r="91" spans="1:6" x14ac:dyDescent="0.2">
      <c r="A91" s="19">
        <v>25</v>
      </c>
      <c r="B91" s="181" t="s">
        <v>22</v>
      </c>
      <c r="C91" s="182"/>
      <c r="D91" s="14">
        <f t="shared" si="5"/>
        <v>2205216</v>
      </c>
      <c r="E91" s="17">
        <f>IF(F3="1",SUMIF(Data!A:A,'26'!$A$2,Data!EW:EW),0)</f>
        <v>4790069</v>
      </c>
      <c r="F91" s="21">
        <f t="shared" si="4"/>
        <v>2.17</v>
      </c>
    </row>
    <row r="92" spans="1:6" x14ac:dyDescent="0.2">
      <c r="A92" s="19">
        <v>26</v>
      </c>
      <c r="B92" s="181" t="s">
        <v>23</v>
      </c>
      <c r="C92" s="182"/>
      <c r="D92" s="14">
        <f t="shared" si="5"/>
        <v>526816</v>
      </c>
      <c r="E92" s="17">
        <f>IF(F3="1",SUMIF(Data!A:A,'26'!$A$2,Data!EX:EX),0)</f>
        <v>1967097</v>
      </c>
      <c r="F92" s="21">
        <f t="shared" si="4"/>
        <v>3.73</v>
      </c>
    </row>
    <row r="93" spans="1:6" x14ac:dyDescent="0.2">
      <c r="A93" s="19">
        <v>28</v>
      </c>
      <c r="B93" s="181" t="s">
        <v>24</v>
      </c>
      <c r="C93" s="182"/>
      <c r="D93" s="14">
        <f t="shared" si="5"/>
        <v>0</v>
      </c>
      <c r="E93" s="17">
        <f>IF(F3="1",SUMIF(Data!A:A,'26'!$A$2,Data!EZ:EZ),0)</f>
        <v>0</v>
      </c>
      <c r="F93" s="21" t="str">
        <f t="shared" si="4"/>
        <v/>
      </c>
    </row>
    <row r="94" spans="1:6" ht="15.75" customHeight="1" thickBot="1" x14ac:dyDescent="0.25">
      <c r="A94" s="22">
        <v>29</v>
      </c>
      <c r="B94" s="183" t="s">
        <v>25</v>
      </c>
      <c r="C94" s="184"/>
      <c r="D94" s="23">
        <f t="shared" si="5"/>
        <v>0</v>
      </c>
      <c r="E94" s="24">
        <f>IF(F3="1",SUMIF(Data!A:A,'26'!$A$2,Data!FA:FA),0)</f>
        <v>0</v>
      </c>
      <c r="F94" s="25" t="str">
        <f t="shared" si="4"/>
        <v/>
      </c>
    </row>
    <row r="95" spans="1:6" x14ac:dyDescent="0.2">
      <c r="B95" s="30" t="s">
        <v>35</v>
      </c>
      <c r="C95" s="30"/>
      <c r="D95" s="59">
        <f>SUM(D67:D94)</f>
        <v>12079005</v>
      </c>
      <c r="E95" s="31">
        <f>SUM(E67:E94)</f>
        <v>30223571</v>
      </c>
      <c r="F95" s="32">
        <f t="shared" si="4"/>
        <v>2.5</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IF(F3="1",SUMIF(Data!A:A,'26'!$A$2,Data!AH:AH),0)</f>
        <v>15428719</v>
      </c>
      <c r="F98" s="20">
        <f>IF(OR(E98=0,E98=0),"",ROUND(E98/$D$105,2))</f>
        <v>1.28</v>
      </c>
    </row>
    <row r="99" spans="2:6" x14ac:dyDescent="0.2">
      <c r="B99" s="187" t="s">
        <v>31</v>
      </c>
      <c r="C99" s="188"/>
      <c r="D99" s="36"/>
      <c r="E99" s="17">
        <f>IF(F3="1",SUMIF(Data!A:A,'26'!$A$2,Data!AI:AI),0)</f>
        <v>7939313</v>
      </c>
      <c r="F99" s="21">
        <f t="shared" ref="F99:F104" si="6">IF(OR(E99=0,E99=0),"",ROUND(E99/$D$105,2))</f>
        <v>0.66</v>
      </c>
    </row>
    <row r="100" spans="2:6" x14ac:dyDescent="0.2">
      <c r="B100" s="187" t="s">
        <v>1078</v>
      </c>
      <c r="C100" s="188"/>
      <c r="D100" s="36"/>
      <c r="E100" s="17">
        <f>IF(F3="1",SUMIF(Data!A:A,'26'!$A$2,Data!AJ:AJ),0)</f>
        <v>4090176</v>
      </c>
      <c r="F100" s="21">
        <f t="shared" si="6"/>
        <v>0.34</v>
      </c>
    </row>
    <row r="101" spans="2:6" x14ac:dyDescent="0.2">
      <c r="B101" s="187" t="s">
        <v>1079</v>
      </c>
      <c r="C101" s="188"/>
      <c r="D101" s="36"/>
      <c r="E101" s="17">
        <f>IF(F3="1",SUMIF(Data!A:A,'26'!$A$2,Data!AK:AK),0)</f>
        <v>11607316</v>
      </c>
      <c r="F101" s="21">
        <f t="shared" si="6"/>
        <v>0.96</v>
      </c>
    </row>
    <row r="102" spans="2:6" x14ac:dyDescent="0.2">
      <c r="B102" s="187" t="s">
        <v>1080</v>
      </c>
      <c r="C102" s="188"/>
      <c r="D102" s="36"/>
      <c r="E102" s="17">
        <f>IF(F3="1",SUMIF(Data!A:A,'26'!$A$2,Data!AL:AL),0)</f>
        <v>0</v>
      </c>
      <c r="F102" s="21" t="str">
        <f t="shared" si="6"/>
        <v/>
      </c>
    </row>
    <row r="103" spans="2:6" x14ac:dyDescent="0.2">
      <c r="B103" s="189" t="s">
        <v>34</v>
      </c>
      <c r="C103" s="190"/>
      <c r="D103" s="36"/>
      <c r="E103" s="17">
        <f>IF(F3="1",SUMIF(Data!A:A,'26'!$A$2,Data!AM:AM),0)</f>
        <v>0</v>
      </c>
      <c r="F103" s="21" t="str">
        <f t="shared" si="6"/>
        <v/>
      </c>
    </row>
    <row r="104" spans="2:6" ht="15.75" customHeight="1" thickBot="1" x14ac:dyDescent="0.25">
      <c r="B104" s="179" t="s">
        <v>29</v>
      </c>
      <c r="C104" s="180"/>
      <c r="D104" s="37"/>
      <c r="E104" s="24">
        <f>IF(F3="1",SUMIF(Data!A:A,'26'!$A$2,Data!Q:Q),0)</f>
        <v>4625228</v>
      </c>
      <c r="F104" s="25">
        <f t="shared" si="6"/>
        <v>0.38</v>
      </c>
    </row>
    <row r="105" spans="2:6" x14ac:dyDescent="0.2">
      <c r="B105" s="30" t="s">
        <v>35</v>
      </c>
      <c r="C105" s="30"/>
      <c r="D105" s="34">
        <f>D95</f>
        <v>12079005</v>
      </c>
      <c r="E105" s="31">
        <f>SUM(E98:E104)</f>
        <v>43690752</v>
      </c>
      <c r="F105" s="32">
        <f>IF($D$105=0,"",ROUND(E105/$D$105,2))</f>
        <v>3.62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30223571</v>
      </c>
      <c r="D109" s="15">
        <f>IF(F3="1",SUMIF(Data!$A:$A,$A$2,Data!HJ:HJ),0)</f>
        <v>0</v>
      </c>
      <c r="E109" s="15">
        <f>IF(F3="1",SUMIF(Data!$A:$A,$A$2,Data!IN:IN),0)</f>
        <v>0</v>
      </c>
      <c r="F109" s="47">
        <f>SUM(C109:E109)</f>
        <v>30223571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4625228</v>
      </c>
      <c r="E117" s="52"/>
      <c r="F117" s="49">
        <f>SUM(C117:E117)</f>
        <v>4625228</v>
      </c>
    </row>
    <row r="118" spans="1:6" x14ac:dyDescent="0.2">
      <c r="B118" s="13" t="s">
        <v>35</v>
      </c>
      <c r="C118" s="4">
        <f>SUM(C109:C116)</f>
        <v>30223571</v>
      </c>
      <c r="D118" s="4">
        <f>SUM(D109:D116)</f>
        <v>0</v>
      </c>
      <c r="E118" s="4">
        <f>SUM(E109:E116)</f>
        <v>0</v>
      </c>
      <c r="F118" s="4">
        <f>SUM(F109:F116)</f>
        <v>30223571</v>
      </c>
    </row>
    <row r="119" spans="1:6" ht="15" thickBot="1" x14ac:dyDescent="0.25"/>
    <row r="120" spans="1:6" ht="15" thickBot="1" x14ac:dyDescent="0.25">
      <c r="B120" s="55" t="s">
        <v>934</v>
      </c>
      <c r="C120" s="53"/>
      <c r="D120" s="53"/>
      <c r="E120" s="53">
        <f>IF(F3="1",SUMIF(Data!A:A,'26'!$A$2,Data!AM:AM),0)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382</v>
      </c>
      <c r="B2" s="58" t="str">
        <f>VLOOKUP(A2,Data!A:G,7,0)</f>
        <v>McLennan Community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7528</v>
      </c>
      <c r="E6" s="17">
        <f t="shared" ref="E6:E32" si="1">E37+E68+IFERROR($E$105/$D$105*D6,0)</f>
        <v>505890.54188247729</v>
      </c>
      <c r="F6" s="21">
        <f t="shared" ref="F6:F33" si="2">IF(OR(D6=0,E6=0),"",ROUND(E6/D6,2))</f>
        <v>67.2</v>
      </c>
    </row>
    <row r="7" spans="1:6" ht="14.25" customHeight="1" x14ac:dyDescent="0.2">
      <c r="A7" s="19">
        <v>3</v>
      </c>
      <c r="B7" s="181" t="s">
        <v>2</v>
      </c>
      <c r="C7" s="182"/>
      <c r="D7" s="14">
        <f t="shared" si="0"/>
        <v>245476</v>
      </c>
      <c r="E7" s="17">
        <f t="shared" si="1"/>
        <v>1110531.3590785074</v>
      </c>
      <c r="F7" s="21">
        <f t="shared" si="2"/>
        <v>4.5199999999999996</v>
      </c>
    </row>
    <row r="8" spans="1:6" ht="14.25" customHeight="1" x14ac:dyDescent="0.2">
      <c r="A8" s="19">
        <v>4</v>
      </c>
      <c r="B8" s="181" t="s">
        <v>3</v>
      </c>
      <c r="C8" s="182"/>
      <c r="D8" s="14">
        <f t="shared" si="0"/>
        <v>280305</v>
      </c>
      <c r="E8" s="17">
        <f t="shared" si="1"/>
        <v>1575619.3909893471</v>
      </c>
      <c r="F8" s="21">
        <f t="shared" si="2"/>
        <v>5.62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26850</v>
      </c>
      <c r="E10" s="17">
        <f t="shared" si="1"/>
        <v>104536.45105532891</v>
      </c>
      <c r="F10" s="21">
        <f t="shared" si="2"/>
        <v>3.89</v>
      </c>
    </row>
    <row r="11" spans="1:6" x14ac:dyDescent="0.2">
      <c r="A11" s="19">
        <v>7</v>
      </c>
      <c r="B11" s="181" t="s">
        <v>6</v>
      </c>
      <c r="C11" s="182"/>
      <c r="D11" s="14">
        <f t="shared" si="0"/>
        <v>140278</v>
      </c>
      <c r="E11" s="17">
        <f t="shared" si="1"/>
        <v>1401693.459111338</v>
      </c>
      <c r="F11" s="21">
        <f t="shared" si="2"/>
        <v>9.99</v>
      </c>
    </row>
    <row r="12" spans="1:6" x14ac:dyDescent="0.2">
      <c r="A12" s="19">
        <v>8</v>
      </c>
      <c r="B12" s="181" t="s">
        <v>7</v>
      </c>
      <c r="C12" s="182"/>
      <c r="D12" s="14">
        <f t="shared" si="0"/>
        <v>75362</v>
      </c>
      <c r="E12" s="17">
        <f t="shared" si="1"/>
        <v>307472.69863805204</v>
      </c>
      <c r="F12" s="21">
        <f t="shared" si="2"/>
        <v>4.08</v>
      </c>
    </row>
    <row r="13" spans="1:6" x14ac:dyDescent="0.2">
      <c r="A13" s="19">
        <v>9</v>
      </c>
      <c r="B13" s="181" t="s">
        <v>8</v>
      </c>
      <c r="C13" s="182"/>
      <c r="D13" s="14">
        <f t="shared" si="0"/>
        <v>222211</v>
      </c>
      <c r="E13" s="17">
        <f t="shared" si="1"/>
        <v>1659499.0559573816</v>
      </c>
      <c r="F13" s="21">
        <f t="shared" si="2"/>
        <v>7.47</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0</v>
      </c>
      <c r="E15" s="17">
        <f t="shared" si="1"/>
        <v>0</v>
      </c>
      <c r="F15" s="21" t="str">
        <f t="shared" si="2"/>
        <v/>
      </c>
    </row>
    <row r="16" spans="1:6" ht="14.25" customHeight="1" x14ac:dyDescent="0.2">
      <c r="A16" s="19">
        <v>12</v>
      </c>
      <c r="B16" s="181" t="s">
        <v>11</v>
      </c>
      <c r="C16" s="182"/>
      <c r="D16" s="14">
        <f t="shared" si="0"/>
        <v>460992</v>
      </c>
      <c r="E16" s="17">
        <f t="shared" si="1"/>
        <v>2456188.4595492808</v>
      </c>
      <c r="F16" s="21">
        <f t="shared" si="2"/>
        <v>5.33</v>
      </c>
    </row>
    <row r="17" spans="1:6" x14ac:dyDescent="0.2">
      <c r="A17" s="19">
        <v>13</v>
      </c>
      <c r="B17" s="181" t="s">
        <v>12</v>
      </c>
      <c r="C17" s="182"/>
      <c r="D17" s="14">
        <f t="shared" si="0"/>
        <v>54352</v>
      </c>
      <c r="E17" s="17">
        <f t="shared" si="1"/>
        <v>256020.59038209449</v>
      </c>
      <c r="F17" s="21">
        <f t="shared" si="2"/>
        <v>4.71</v>
      </c>
    </row>
    <row r="18" spans="1:6" ht="14.25" customHeight="1" x14ac:dyDescent="0.2">
      <c r="A18" s="19">
        <v>14</v>
      </c>
      <c r="B18" s="181" t="s">
        <v>464</v>
      </c>
      <c r="C18" s="182"/>
      <c r="D18" s="14">
        <f t="shared" si="0"/>
        <v>170693</v>
      </c>
      <c r="E18" s="17">
        <f t="shared" si="1"/>
        <v>1662412.3069268998</v>
      </c>
      <c r="F18" s="21">
        <f t="shared" si="2"/>
        <v>9.74</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327825</v>
      </c>
      <c r="E20" s="17">
        <f t="shared" si="1"/>
        <v>1833629.180343136</v>
      </c>
      <c r="F20" s="21">
        <f t="shared" si="2"/>
        <v>5.59</v>
      </c>
    </row>
    <row r="21" spans="1:6" x14ac:dyDescent="0.2">
      <c r="A21" s="19">
        <v>17</v>
      </c>
      <c r="B21" s="181" t="s">
        <v>15</v>
      </c>
      <c r="C21" s="182"/>
      <c r="D21" s="14">
        <f t="shared" si="0"/>
        <v>11656</v>
      </c>
      <c r="E21" s="17">
        <f t="shared" si="1"/>
        <v>137783.38418997818</v>
      </c>
      <c r="F21" s="21">
        <f t="shared" si="2"/>
        <v>11.82</v>
      </c>
    </row>
    <row r="22" spans="1:6" x14ac:dyDescent="0.2">
      <c r="A22" s="19">
        <v>18</v>
      </c>
      <c r="B22" s="181" t="s">
        <v>16</v>
      </c>
      <c r="C22" s="182"/>
      <c r="D22" s="14">
        <f t="shared" si="0"/>
        <v>109216</v>
      </c>
      <c r="E22" s="17">
        <f t="shared" si="1"/>
        <v>530686.61081783252</v>
      </c>
      <c r="F22" s="21">
        <f t="shared" si="2"/>
        <v>4.8600000000000003</v>
      </c>
    </row>
    <row r="23" spans="1:6" x14ac:dyDescent="0.2">
      <c r="A23" s="19">
        <v>19</v>
      </c>
      <c r="B23" s="181" t="s">
        <v>17</v>
      </c>
      <c r="C23" s="182"/>
      <c r="D23" s="14">
        <f t="shared" si="0"/>
        <v>264680</v>
      </c>
      <c r="E23" s="17">
        <f t="shared" si="1"/>
        <v>1208014.0363249332</v>
      </c>
      <c r="F23" s="21">
        <f t="shared" si="2"/>
        <v>4.5599999999999996</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22860</v>
      </c>
      <c r="E25" s="17">
        <f t="shared" si="1"/>
        <v>48864.591848224169</v>
      </c>
      <c r="F25" s="21">
        <f t="shared" si="2"/>
        <v>2.14</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97824</v>
      </c>
      <c r="E27" s="17">
        <f t="shared" si="1"/>
        <v>794524.54212426429</v>
      </c>
      <c r="F27" s="21">
        <f t="shared" si="2"/>
        <v>8.1199999999999992</v>
      </c>
    </row>
    <row r="28" spans="1:6" x14ac:dyDescent="0.2">
      <c r="A28" s="19">
        <v>24</v>
      </c>
      <c r="B28" s="181" t="s">
        <v>21</v>
      </c>
      <c r="C28" s="182"/>
      <c r="D28" s="14">
        <f t="shared" si="0"/>
        <v>118576</v>
      </c>
      <c r="E28" s="17">
        <f t="shared" si="1"/>
        <v>724976.16023600299</v>
      </c>
      <c r="F28" s="21">
        <f t="shared" si="2"/>
        <v>6.11</v>
      </c>
    </row>
    <row r="29" spans="1:6" x14ac:dyDescent="0.2">
      <c r="A29" s="19">
        <v>25</v>
      </c>
      <c r="B29" s="181" t="s">
        <v>22</v>
      </c>
      <c r="C29" s="182"/>
      <c r="D29" s="14">
        <f t="shared" si="0"/>
        <v>466512</v>
      </c>
      <c r="E29" s="17">
        <f t="shared" si="1"/>
        <v>1718754.783565125</v>
      </c>
      <c r="F29" s="21">
        <f t="shared" si="2"/>
        <v>3.68</v>
      </c>
    </row>
    <row r="30" spans="1:6" x14ac:dyDescent="0.2">
      <c r="A30" s="19">
        <v>26</v>
      </c>
      <c r="B30" s="181" t="s">
        <v>23</v>
      </c>
      <c r="C30" s="182"/>
      <c r="D30" s="14">
        <f t="shared" si="0"/>
        <v>271676</v>
      </c>
      <c r="E30" s="17">
        <f t="shared" si="1"/>
        <v>1576017.3969797967</v>
      </c>
      <c r="F30" s="21">
        <f t="shared" si="2"/>
        <v>5.8</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3374872</v>
      </c>
      <c r="E33" s="31">
        <f>SUM(E5:E32)</f>
        <v>19613115.000000004</v>
      </c>
      <c r="F33" s="32">
        <f t="shared" si="2"/>
        <v>5.81</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IF(F3="1",SUMIF(Data!A:A,'27'!$A$2,Data!CU:CU),0)</f>
        <v>0</v>
      </c>
      <c r="E36" s="15">
        <f>IF(F3="1",SUMIF(Data!$A:$A,$A$2,Data!IO:IO),0)</f>
        <v>0</v>
      </c>
      <c r="F36" s="20" t="str">
        <f t="shared" ref="F36:F64" si="3">IF(OR(D36=0,E36=0),"",ROUND(E36/D36,2))</f>
        <v/>
      </c>
    </row>
    <row r="37" spans="1:6" x14ac:dyDescent="0.2">
      <c r="A37" s="19">
        <v>2</v>
      </c>
      <c r="B37" s="181" t="s">
        <v>1</v>
      </c>
      <c r="C37" s="182"/>
      <c r="D37" s="14">
        <f>IF(F3="1",SUMIF(Data!A:A,'27'!$A$2,Data!CV:CV),0)</f>
        <v>7528</v>
      </c>
      <c r="E37" s="17">
        <f>IF(F3="1",SUMIF(Data!$A:$A,$A$2,Data!IP:IP),0)</f>
        <v>74445</v>
      </c>
      <c r="F37" s="21">
        <f t="shared" si="3"/>
        <v>9.89</v>
      </c>
    </row>
    <row r="38" spans="1:6" ht="14.25" customHeight="1" x14ac:dyDescent="0.2">
      <c r="A38" s="19">
        <v>3</v>
      </c>
      <c r="B38" s="181" t="s">
        <v>2</v>
      </c>
      <c r="C38" s="182"/>
      <c r="D38" s="14">
        <f>IF(F3="1",SUMIF(Data!A:A,'27'!$A$2,Data!CW:CW),0)</f>
        <v>245476</v>
      </c>
      <c r="E38" s="17">
        <f>IF($F$3="1",SUMIF(Data!$A:$A,$A$2,Data!IQ:IQ),0)</f>
        <v>50092</v>
      </c>
      <c r="F38" s="21">
        <f t="shared" si="3"/>
        <v>0.2</v>
      </c>
    </row>
    <row r="39" spans="1:6" ht="14.25" customHeight="1" x14ac:dyDescent="0.2">
      <c r="A39" s="19">
        <v>4</v>
      </c>
      <c r="B39" s="181" t="s">
        <v>3</v>
      </c>
      <c r="C39" s="182"/>
      <c r="D39" s="14">
        <f>IF(F3="1",SUMIF(Data!A:A,'27'!$A$2,Data!CX:CX),0)</f>
        <v>280305</v>
      </c>
      <c r="E39" s="17">
        <f>IF($F$3="1",SUMIF(Data!$A:$A,$A$2,Data!IR:IR),0)</f>
        <v>198165</v>
      </c>
      <c r="F39" s="21">
        <f t="shared" si="3"/>
        <v>0.71</v>
      </c>
    </row>
    <row r="40" spans="1:6" x14ac:dyDescent="0.2">
      <c r="A40" s="19">
        <v>5</v>
      </c>
      <c r="B40" s="181" t="s">
        <v>4</v>
      </c>
      <c r="C40" s="182"/>
      <c r="D40" s="14">
        <f>IF(F3="1",SUMIF(Data!A:A,'27'!$A$2,Data!CY:CY),0)</f>
        <v>0</v>
      </c>
      <c r="E40" s="17">
        <f>IF($F$3="1",SUMIF(Data!$A:$A,$A$2,Data!IS:IS),0)</f>
        <v>0</v>
      </c>
      <c r="F40" s="21" t="str">
        <f t="shared" si="3"/>
        <v/>
      </c>
    </row>
    <row r="41" spans="1:6" x14ac:dyDescent="0.2">
      <c r="A41" s="19">
        <v>6</v>
      </c>
      <c r="B41" s="181" t="s">
        <v>5</v>
      </c>
      <c r="C41" s="182"/>
      <c r="D41" s="14">
        <f>IF(F3="1",SUMIF(Data!A:A,'27'!$A$2,Data!CZ:CZ),0)</f>
        <v>26850</v>
      </c>
      <c r="E41" s="17">
        <f>IF($F$3="1",SUMIF(Data!$A:$A,$A$2,Data!IT:IT),0)</f>
        <v>7053</v>
      </c>
      <c r="F41" s="21">
        <f t="shared" si="3"/>
        <v>0.26</v>
      </c>
    </row>
    <row r="42" spans="1:6" x14ac:dyDescent="0.2">
      <c r="A42" s="19">
        <v>7</v>
      </c>
      <c r="B42" s="181" t="s">
        <v>6</v>
      </c>
      <c r="C42" s="182"/>
      <c r="D42" s="14">
        <f>IF(F3="1",SUMIF(Data!A:A,'27'!$A$2,Data!DA:DA),0)</f>
        <v>140278</v>
      </c>
      <c r="E42" s="17">
        <f>IF($F$3="1",SUMIF(Data!$A:$A,$A$2,Data!IU:IU),0)</f>
        <v>220789</v>
      </c>
      <c r="F42" s="21">
        <f t="shared" si="3"/>
        <v>1.57</v>
      </c>
    </row>
    <row r="43" spans="1:6" x14ac:dyDescent="0.2">
      <c r="A43" s="19">
        <v>8</v>
      </c>
      <c r="B43" s="181" t="s">
        <v>7</v>
      </c>
      <c r="C43" s="182"/>
      <c r="D43" s="14">
        <f>IF(F3="1",SUMIF(Data!A:A,'27'!$A$2,Data!DB:DB),0)</f>
        <v>75362</v>
      </c>
      <c r="E43" s="17">
        <f>IF($F$3="1",SUMIF(Data!$A:$A,$A$2,Data!IV:IV),0)</f>
        <v>119316</v>
      </c>
      <c r="F43" s="21">
        <f t="shared" si="3"/>
        <v>1.58</v>
      </c>
    </row>
    <row r="44" spans="1:6" x14ac:dyDescent="0.2">
      <c r="A44" s="19">
        <v>9</v>
      </c>
      <c r="B44" s="181" t="s">
        <v>8</v>
      </c>
      <c r="C44" s="182"/>
      <c r="D44" s="14">
        <f>IF(F3="1",SUMIF(Data!A:A,'27'!$A$2,Data!DC:DC),0)</f>
        <v>222211</v>
      </c>
      <c r="E44" s="17">
        <f>IF($F$3="1",SUMIF(Data!$A:$A,$A$2,Data!IW:IW),0)</f>
        <v>727575</v>
      </c>
      <c r="F44" s="21">
        <f t="shared" si="3"/>
        <v>3.27</v>
      </c>
    </row>
    <row r="45" spans="1:6" x14ac:dyDescent="0.2">
      <c r="A45" s="19">
        <v>10</v>
      </c>
      <c r="B45" s="181" t="s">
        <v>9</v>
      </c>
      <c r="C45" s="182"/>
      <c r="D45" s="14">
        <f>IF(F3="1",SUMIF(Data!A:A,'27'!$A$2,Data!DD:DD),0)</f>
        <v>0</v>
      </c>
      <c r="E45" s="17">
        <f>IF($F$3="1",SUMIF(Data!$A:$A,$A$2,Data!IX:IX),0)</f>
        <v>0</v>
      </c>
      <c r="F45" s="21" t="str">
        <f t="shared" si="3"/>
        <v/>
      </c>
    </row>
    <row r="46" spans="1:6" x14ac:dyDescent="0.2">
      <c r="A46" s="19">
        <v>11</v>
      </c>
      <c r="B46" s="181" t="s">
        <v>10</v>
      </c>
      <c r="C46" s="182"/>
      <c r="D46" s="14">
        <f>IF(F3="1",SUMIF(Data!A:A,'27'!$A$2,Data!DE:DE),0)</f>
        <v>0</v>
      </c>
      <c r="E46" s="17">
        <f>IF($F$3="1",SUMIF(Data!$A:$A,$A$2,Data!IY:IY),0)</f>
        <v>0</v>
      </c>
      <c r="F46" s="21" t="str">
        <f t="shared" si="3"/>
        <v/>
      </c>
    </row>
    <row r="47" spans="1:6" ht="14.25" customHeight="1" x14ac:dyDescent="0.2">
      <c r="A47" s="19">
        <v>12</v>
      </c>
      <c r="B47" s="181" t="s">
        <v>11</v>
      </c>
      <c r="C47" s="182"/>
      <c r="D47" s="14">
        <f>IF(F3="1",SUMIF(Data!A:A,'27'!$A$2,Data!DF:DF),0)</f>
        <v>460992</v>
      </c>
      <c r="E47" s="17">
        <f>IF($F$3="1",SUMIF(Data!$A:$A,$A$2,Data!IZ:IZ),0)</f>
        <v>98372</v>
      </c>
      <c r="F47" s="21">
        <f t="shared" si="3"/>
        <v>0.21</v>
      </c>
    </row>
    <row r="48" spans="1:6" x14ac:dyDescent="0.2">
      <c r="A48" s="19">
        <v>13</v>
      </c>
      <c r="B48" s="181" t="s">
        <v>12</v>
      </c>
      <c r="C48" s="182"/>
      <c r="D48" s="14">
        <f>IF(F3="1",SUMIF(Data!A:A,'27'!$A$2,Data!DG:DG),0)</f>
        <v>54352</v>
      </c>
      <c r="E48" s="17">
        <f>IF($F$3="1",SUMIF(Data!$A:$A,$A$2,Data!JA:JA),0)</f>
        <v>18166</v>
      </c>
      <c r="F48" s="21">
        <f t="shared" si="3"/>
        <v>0.33</v>
      </c>
    </row>
    <row r="49" spans="1:6" ht="14.25" customHeight="1" x14ac:dyDescent="0.2">
      <c r="A49" s="19">
        <v>14</v>
      </c>
      <c r="B49" s="181" t="s">
        <v>464</v>
      </c>
      <c r="C49" s="182"/>
      <c r="D49" s="14">
        <f>IF(F3="1",SUMIF(Data!A:A,'27'!$A$2,Data!DH:DH),0)</f>
        <v>170693</v>
      </c>
      <c r="E49" s="17">
        <f>IF($F$3="1",SUMIF(Data!$A:$A,$A$2,Data!JB:JB),0)</f>
        <v>133105</v>
      </c>
      <c r="F49" s="21">
        <f t="shared" si="3"/>
        <v>0.78</v>
      </c>
    </row>
    <row r="50" spans="1:6" x14ac:dyDescent="0.2">
      <c r="A50" s="19">
        <v>15</v>
      </c>
      <c r="B50" s="181" t="s">
        <v>13</v>
      </c>
      <c r="C50" s="182"/>
      <c r="D50" s="14">
        <f>IF(F3="1",SUMIF(Data!A:A,'27'!$A$2,Data!DI:DI),0)</f>
        <v>0</v>
      </c>
      <c r="E50" s="17">
        <f>IF($F$3="1",SUMIF(Data!$A:$A,$A$2,Data!JC:JC),0)</f>
        <v>0</v>
      </c>
      <c r="F50" s="21" t="str">
        <f t="shared" si="3"/>
        <v/>
      </c>
    </row>
    <row r="51" spans="1:6" x14ac:dyDescent="0.2">
      <c r="A51" s="19">
        <v>16</v>
      </c>
      <c r="B51" s="181" t="s">
        <v>14</v>
      </c>
      <c r="C51" s="182"/>
      <c r="D51" s="14">
        <f>IF(F3="1",SUMIF(Data!A:A,'27'!$A$2,Data!DJ:DJ),0)</f>
        <v>327825</v>
      </c>
      <c r="E51" s="17">
        <f>IF($F$3="1",SUMIF(Data!$A:$A,$A$2,Data!JD:JD),0)</f>
        <v>253520</v>
      </c>
      <c r="F51" s="21">
        <f t="shared" si="3"/>
        <v>0.77</v>
      </c>
    </row>
    <row r="52" spans="1:6" x14ac:dyDescent="0.2">
      <c r="A52" s="19">
        <v>17</v>
      </c>
      <c r="B52" s="181" t="s">
        <v>15</v>
      </c>
      <c r="C52" s="182"/>
      <c r="D52" s="14">
        <f>IF(F3="1",SUMIF(Data!A:A,'27'!$A$2,Data!DK:DK),0)</f>
        <v>11656</v>
      </c>
      <c r="E52" s="17">
        <f>IF($F$3="1",SUMIF(Data!$A:$A,$A$2,Data!JE:JE),0)</f>
        <v>14013</v>
      </c>
      <c r="F52" s="21">
        <f t="shared" si="3"/>
        <v>1.2</v>
      </c>
    </row>
    <row r="53" spans="1:6" x14ac:dyDescent="0.2">
      <c r="A53" s="19">
        <v>18</v>
      </c>
      <c r="B53" s="181" t="s">
        <v>16</v>
      </c>
      <c r="C53" s="182"/>
      <c r="D53" s="14">
        <f>IF(F3="1",SUMIF(Data!A:A,'27'!$A$2,Data!DL:DL),0)</f>
        <v>109216</v>
      </c>
      <c r="E53" s="17">
        <f>IF($F$3="1",SUMIF(Data!$A:$A,$A$2,Data!JF:JF),0)</f>
        <v>18976</v>
      </c>
      <c r="F53" s="21">
        <f t="shared" si="3"/>
        <v>0.17</v>
      </c>
    </row>
    <row r="54" spans="1:6" x14ac:dyDescent="0.2">
      <c r="A54" s="19">
        <v>19</v>
      </c>
      <c r="B54" s="181" t="s">
        <v>17</v>
      </c>
      <c r="C54" s="182"/>
      <c r="D54" s="14">
        <f>IF(F3="1",SUMIF(Data!A:A,'27'!$A$2,Data!DM:DM),0)</f>
        <v>264680</v>
      </c>
      <c r="E54" s="17">
        <f>IF($F$3="1",SUMIF(Data!$A:$A,$A$2,Data!JG:JG),0)</f>
        <v>82675</v>
      </c>
      <c r="F54" s="21">
        <f t="shared" si="3"/>
        <v>0.31</v>
      </c>
    </row>
    <row r="55" spans="1:6" x14ac:dyDescent="0.2">
      <c r="A55" s="19">
        <v>20</v>
      </c>
      <c r="B55" s="181" t="s">
        <v>18</v>
      </c>
      <c r="C55" s="182"/>
      <c r="D55" s="14">
        <f>IF(F3="1",SUMIF(Data!A:A,'27'!$A$2,Data!DN:DN),0)</f>
        <v>0</v>
      </c>
      <c r="E55" s="17">
        <f>IF($F$3="1",SUMIF(Data!$A:$A,$A$2,Data!JH:JH),0)</f>
        <v>0</v>
      </c>
      <c r="F55" s="21" t="str">
        <f t="shared" si="3"/>
        <v/>
      </c>
    </row>
    <row r="56" spans="1:6" ht="14.25" customHeight="1" x14ac:dyDescent="0.2">
      <c r="A56" s="19">
        <v>21</v>
      </c>
      <c r="B56" s="181" t="s">
        <v>461</v>
      </c>
      <c r="C56" s="182"/>
      <c r="D56" s="14">
        <f>IF(F3="1",SUMIF(Data!A:A,'27'!$A$2,Data!DO:DO),0)</f>
        <v>22860</v>
      </c>
      <c r="E56" s="17">
        <f>IF($F$3="1",SUMIF(Data!$A:$A,$A$2,Data!JI:JI),0)</f>
        <v>0</v>
      </c>
      <c r="F56" s="21" t="str">
        <f t="shared" si="3"/>
        <v/>
      </c>
    </row>
    <row r="57" spans="1:6" x14ac:dyDescent="0.2">
      <c r="A57" s="19">
        <v>22</v>
      </c>
      <c r="B57" s="181" t="s">
        <v>19</v>
      </c>
      <c r="C57" s="182"/>
      <c r="D57" s="14">
        <f>IF(F3="1",SUMIF(Data!A:A,'27'!$A$2,Data!DP:DP),0)</f>
        <v>0</v>
      </c>
      <c r="E57" s="17">
        <f>IF($F$3="1",SUMIF(Data!$A:$A,$A$2,Data!JJ:JJ),0)</f>
        <v>0</v>
      </c>
      <c r="F57" s="21" t="str">
        <f t="shared" si="3"/>
        <v/>
      </c>
    </row>
    <row r="58" spans="1:6" x14ac:dyDescent="0.2">
      <c r="A58" s="19">
        <v>23</v>
      </c>
      <c r="B58" s="181" t="s">
        <v>20</v>
      </c>
      <c r="C58" s="182"/>
      <c r="D58" s="14">
        <f>IF(F3="1",SUMIF(Data!A:A,'27'!$A$2,Data!DQ:DQ),0)</f>
        <v>97824</v>
      </c>
      <c r="E58" s="17">
        <f>IF($F$3="1",SUMIF(Data!$A:$A,$A$2,Data!JK:JK),0)</f>
        <v>62562</v>
      </c>
      <c r="F58" s="21">
        <f t="shared" si="3"/>
        <v>0.64</v>
      </c>
    </row>
    <row r="59" spans="1:6" x14ac:dyDescent="0.2">
      <c r="A59" s="19">
        <v>24</v>
      </c>
      <c r="B59" s="181" t="s">
        <v>21</v>
      </c>
      <c r="C59" s="182"/>
      <c r="D59" s="14">
        <f>IF(F3="1",SUMIF(Data!A:A,'27'!$A$2,Data!DR:DR),0)</f>
        <v>118576</v>
      </c>
      <c r="E59" s="17">
        <f>IF($F$3="1",SUMIF(Data!$A:$A,$A$2,Data!JL:JL),0)</f>
        <v>353151</v>
      </c>
      <c r="F59" s="21">
        <f t="shared" si="3"/>
        <v>2.98</v>
      </c>
    </row>
    <row r="60" spans="1:6" x14ac:dyDescent="0.2">
      <c r="A60" s="19">
        <v>25</v>
      </c>
      <c r="B60" s="181" t="s">
        <v>22</v>
      </c>
      <c r="C60" s="182"/>
      <c r="D60" s="14">
        <f>IF(F3="1",SUMIF(Data!A:A,'27'!$A$2,Data!DS:DS),0)</f>
        <v>466512</v>
      </c>
      <c r="E60" s="17">
        <f>IF($F$3="1",SUMIF(Data!$A:$A,$A$2,Data!JM:JM),0)</f>
        <v>44499</v>
      </c>
      <c r="F60" s="21">
        <f t="shared" si="3"/>
        <v>0.1</v>
      </c>
    </row>
    <row r="61" spans="1:6" x14ac:dyDescent="0.2">
      <c r="A61" s="19">
        <v>26</v>
      </c>
      <c r="B61" s="181" t="s">
        <v>23</v>
      </c>
      <c r="C61" s="182"/>
      <c r="D61" s="14">
        <f>IF(F3="1",SUMIF(Data!A:A,'27'!$A$2,Data!DT:DT),0)</f>
        <v>271676</v>
      </c>
      <c r="E61" s="17">
        <f>IF($F$3="1",SUMIF(Data!$A:$A,$A$2,Data!JN:JN),0)</f>
        <v>161669</v>
      </c>
      <c r="F61" s="21">
        <f t="shared" si="3"/>
        <v>0.6</v>
      </c>
    </row>
    <row r="62" spans="1:6" x14ac:dyDescent="0.2">
      <c r="A62" s="19">
        <v>28</v>
      </c>
      <c r="B62" s="181" t="s">
        <v>24</v>
      </c>
      <c r="C62" s="182"/>
      <c r="D62" s="14">
        <f>IF(F3="1",SUMIF(Data!A:A,'27'!$A$2,Data!DV:DV),0)</f>
        <v>0</v>
      </c>
      <c r="E62" s="17">
        <f>IF($F$3="1",SUMIF(Data!$A:$A,$A$2,Data!JP:JP),0)</f>
        <v>0</v>
      </c>
      <c r="F62" s="21" t="str">
        <f t="shared" si="3"/>
        <v/>
      </c>
    </row>
    <row r="63" spans="1:6" ht="15.75" customHeight="1" thickBot="1" x14ac:dyDescent="0.25">
      <c r="A63" s="22">
        <v>29</v>
      </c>
      <c r="B63" s="183" t="s">
        <v>25</v>
      </c>
      <c r="C63" s="184"/>
      <c r="D63" s="23">
        <f>IF(F3="1",SUMIF(Data!A:A,'27'!$A$2,Data!DW:DW),0)</f>
        <v>0</v>
      </c>
      <c r="E63" s="24">
        <f>IF($F$3="1",SUMIF(Data!$A:$A,$A$2,Data!JQ:JQ),0)</f>
        <v>0</v>
      </c>
      <c r="F63" s="25" t="str">
        <f t="shared" si="3"/>
        <v/>
      </c>
    </row>
    <row r="64" spans="1:6" x14ac:dyDescent="0.2">
      <c r="B64" s="30" t="s">
        <v>35</v>
      </c>
      <c r="C64" s="30"/>
      <c r="D64" s="59">
        <f>SUM(D36:D63)</f>
        <v>3374872</v>
      </c>
      <c r="E64" s="31">
        <f>SUM(E36:E63)</f>
        <v>2638143</v>
      </c>
      <c r="F64" s="32">
        <f t="shared" si="3"/>
        <v>0.78</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IF(F3="1",SUMIF(Data!A:A,'27'!$A$2,Data!DY:DY),0)</f>
        <v>0</v>
      </c>
      <c r="F67" s="20" t="str">
        <f t="shared" ref="F67:F95" si="4">IF(OR(D67=0,E67=0),"",ROUND(E67/D67,2))</f>
        <v/>
      </c>
    </row>
    <row r="68" spans="1:6" x14ac:dyDescent="0.2">
      <c r="A68" s="19">
        <v>2</v>
      </c>
      <c r="B68" s="181" t="s">
        <v>1</v>
      </c>
      <c r="C68" s="182"/>
      <c r="D68" s="14">
        <f t="shared" ref="D68:D94" si="5">D37</f>
        <v>7528</v>
      </c>
      <c r="E68" s="17">
        <f>IF(F3="1",SUMIF(Data!A:A,'27'!$A$2,Data!DZ:DZ),0)</f>
        <v>415354</v>
      </c>
      <c r="F68" s="21">
        <f t="shared" si="4"/>
        <v>55.17</v>
      </c>
    </row>
    <row r="69" spans="1:6" ht="14.25" customHeight="1" x14ac:dyDescent="0.2">
      <c r="A69" s="19">
        <v>3</v>
      </c>
      <c r="B69" s="181" t="s">
        <v>2</v>
      </c>
      <c r="C69" s="182"/>
      <c r="D69" s="14">
        <f t="shared" si="5"/>
        <v>245476</v>
      </c>
      <c r="E69" s="17">
        <f>IF(F3="1",SUMIF(Data!A:A,'27'!$A$2,Data!EA:EA),0)</f>
        <v>535720</v>
      </c>
      <c r="F69" s="21">
        <f t="shared" si="4"/>
        <v>2.1800000000000002</v>
      </c>
    </row>
    <row r="70" spans="1:6" ht="14.25" customHeight="1" x14ac:dyDescent="0.2">
      <c r="A70" s="19">
        <v>4</v>
      </c>
      <c r="B70" s="181" t="s">
        <v>3</v>
      </c>
      <c r="C70" s="182"/>
      <c r="D70" s="14">
        <f t="shared" si="5"/>
        <v>280305</v>
      </c>
      <c r="E70" s="17">
        <f>IF(F3="1",SUMIF(Data!A:A,'27'!$A$2,Data!EB:EB),0)</f>
        <v>778286</v>
      </c>
      <c r="F70" s="21">
        <f t="shared" si="4"/>
        <v>2.78</v>
      </c>
    </row>
    <row r="71" spans="1:6" x14ac:dyDescent="0.2">
      <c r="A71" s="19">
        <v>5</v>
      </c>
      <c r="B71" s="181" t="s">
        <v>4</v>
      </c>
      <c r="C71" s="182"/>
      <c r="D71" s="14">
        <f t="shared" si="5"/>
        <v>0</v>
      </c>
      <c r="E71" s="17">
        <f>IF(F3="1",SUMIF(Data!A:A,'27'!$A$2,Data!EC:EC),0)</f>
        <v>0</v>
      </c>
      <c r="F71" s="21" t="str">
        <f t="shared" si="4"/>
        <v/>
      </c>
    </row>
    <row r="72" spans="1:6" x14ac:dyDescent="0.2">
      <c r="A72" s="19">
        <v>6</v>
      </c>
      <c r="B72" s="181" t="s">
        <v>5</v>
      </c>
      <c r="C72" s="182"/>
      <c r="D72" s="14">
        <f t="shared" si="5"/>
        <v>26850</v>
      </c>
      <c r="E72" s="17">
        <f>IF(F3="1",SUMIF(Data!A:A,'27'!$A$2,Data!ED:ED),0)</f>
        <v>40090</v>
      </c>
      <c r="F72" s="21">
        <f t="shared" si="4"/>
        <v>1.49</v>
      </c>
    </row>
    <row r="73" spans="1:6" x14ac:dyDescent="0.2">
      <c r="A73" s="19">
        <v>7</v>
      </c>
      <c r="B73" s="181" t="s">
        <v>6</v>
      </c>
      <c r="C73" s="182"/>
      <c r="D73" s="14">
        <f t="shared" si="5"/>
        <v>140278</v>
      </c>
      <c r="E73" s="17">
        <f>IF(F3="1",SUMIF(Data!A:A,'27'!$A$2,Data!EE:EE),0)</f>
        <v>881052</v>
      </c>
      <c r="F73" s="21">
        <f t="shared" si="4"/>
        <v>6.28</v>
      </c>
    </row>
    <row r="74" spans="1:6" x14ac:dyDescent="0.2">
      <c r="A74" s="19">
        <v>8</v>
      </c>
      <c r="B74" s="181" t="s">
        <v>7</v>
      </c>
      <c r="C74" s="182"/>
      <c r="D74" s="14">
        <f t="shared" si="5"/>
        <v>75362</v>
      </c>
      <c r="E74" s="17">
        <f>IF(F3="1",SUMIF(Data!A:A,'27'!$A$2,Data!EF:EF),0)</f>
        <v>27066</v>
      </c>
      <c r="F74" s="21">
        <f t="shared" si="4"/>
        <v>0.36</v>
      </c>
    </row>
    <row r="75" spans="1:6" x14ac:dyDescent="0.2">
      <c r="A75" s="19">
        <v>9</v>
      </c>
      <c r="B75" s="181" t="s">
        <v>8</v>
      </c>
      <c r="C75" s="182"/>
      <c r="D75" s="14">
        <f t="shared" si="5"/>
        <v>222211</v>
      </c>
      <c r="E75" s="17">
        <f>IF(F3="1",SUMIF(Data!A:A,'27'!$A$2,Data!EG:EG),0)</f>
        <v>456935</v>
      </c>
      <c r="F75" s="21">
        <f t="shared" si="4"/>
        <v>2.06</v>
      </c>
    </row>
    <row r="76" spans="1:6" x14ac:dyDescent="0.2">
      <c r="A76" s="19">
        <v>10</v>
      </c>
      <c r="B76" s="181" t="s">
        <v>9</v>
      </c>
      <c r="C76" s="182"/>
      <c r="D76" s="14">
        <f t="shared" si="5"/>
        <v>0</v>
      </c>
      <c r="E76" s="17">
        <f>IF(F3="1",SUMIF(Data!A:A,'27'!$A$2,Data!EH:EH),0)</f>
        <v>0</v>
      </c>
      <c r="F76" s="21" t="str">
        <f t="shared" si="4"/>
        <v/>
      </c>
    </row>
    <row r="77" spans="1:6" x14ac:dyDescent="0.2">
      <c r="A77" s="19">
        <v>11</v>
      </c>
      <c r="B77" s="181" t="s">
        <v>10</v>
      </c>
      <c r="C77" s="182"/>
      <c r="D77" s="14">
        <f t="shared" si="5"/>
        <v>0</v>
      </c>
      <c r="E77" s="17">
        <f>IF(F3="1",SUMIF(Data!A:A,'27'!$A$2,Data!EI:EI),0)</f>
        <v>0</v>
      </c>
      <c r="F77" s="21" t="str">
        <f t="shared" si="4"/>
        <v/>
      </c>
    </row>
    <row r="78" spans="1:6" ht="14.25" customHeight="1" x14ac:dyDescent="0.2">
      <c r="A78" s="19">
        <v>12</v>
      </c>
      <c r="B78" s="181" t="s">
        <v>11</v>
      </c>
      <c r="C78" s="182"/>
      <c r="D78" s="14">
        <f t="shared" si="5"/>
        <v>460992</v>
      </c>
      <c r="E78" s="17">
        <f>IF(F3="1",SUMIF(Data!A:A,'27'!$A$2,Data!EJ:EJ),0)</f>
        <v>1372419</v>
      </c>
      <c r="F78" s="21">
        <f t="shared" si="4"/>
        <v>2.98</v>
      </c>
    </row>
    <row r="79" spans="1:6" x14ac:dyDescent="0.2">
      <c r="A79" s="19">
        <v>13</v>
      </c>
      <c r="B79" s="181" t="s">
        <v>12</v>
      </c>
      <c r="C79" s="182"/>
      <c r="D79" s="14">
        <f t="shared" si="5"/>
        <v>54352</v>
      </c>
      <c r="E79" s="17">
        <f>IF(F3="1",SUMIF(Data!A:A,'27'!$A$2,Data!EK:EK),0)</f>
        <v>121674</v>
      </c>
      <c r="F79" s="21">
        <f t="shared" si="4"/>
        <v>2.2400000000000002</v>
      </c>
    </row>
    <row r="80" spans="1:6" ht="14.25" customHeight="1" x14ac:dyDescent="0.2">
      <c r="A80" s="19">
        <v>14</v>
      </c>
      <c r="B80" s="181" t="s">
        <v>464</v>
      </c>
      <c r="C80" s="182"/>
      <c r="D80" s="14">
        <f t="shared" si="5"/>
        <v>170693</v>
      </c>
      <c r="E80" s="17">
        <f>IF(F3="1",SUMIF(Data!A:A,'27'!$A$2,Data!EL:EL),0)</f>
        <v>1164441</v>
      </c>
      <c r="F80" s="21">
        <f t="shared" si="4"/>
        <v>6.82</v>
      </c>
    </row>
    <row r="81" spans="1:6" x14ac:dyDescent="0.2">
      <c r="A81" s="19">
        <v>15</v>
      </c>
      <c r="B81" s="181" t="s">
        <v>13</v>
      </c>
      <c r="C81" s="182"/>
      <c r="D81" s="14">
        <f t="shared" si="5"/>
        <v>0</v>
      </c>
      <c r="E81" s="17">
        <f>IF(F3="1",SUMIF(Data!A:A,'27'!$A$2,Data!EM:EM),0)</f>
        <v>0</v>
      </c>
      <c r="F81" s="21" t="str">
        <f t="shared" si="4"/>
        <v/>
      </c>
    </row>
    <row r="82" spans="1:6" x14ac:dyDescent="0.2">
      <c r="A82" s="19">
        <v>16</v>
      </c>
      <c r="B82" s="181" t="s">
        <v>14</v>
      </c>
      <c r="C82" s="182"/>
      <c r="D82" s="14">
        <f t="shared" si="5"/>
        <v>327825</v>
      </c>
      <c r="E82" s="17">
        <f>IF(F3="1",SUMIF(Data!A:A,'27'!$A$2,Data!EN:EN),0)</f>
        <v>879364</v>
      </c>
      <c r="F82" s="21">
        <f t="shared" si="4"/>
        <v>2.68</v>
      </c>
    </row>
    <row r="83" spans="1:6" x14ac:dyDescent="0.2">
      <c r="A83" s="19">
        <v>17</v>
      </c>
      <c r="B83" s="181" t="s">
        <v>15</v>
      </c>
      <c r="C83" s="182"/>
      <c r="D83" s="14">
        <f t="shared" si="5"/>
        <v>11656</v>
      </c>
      <c r="E83" s="17">
        <f>IF(F3="1",SUMIF(Data!A:A,'27'!$A$2,Data!EO:EO),0)</f>
        <v>98855</v>
      </c>
      <c r="F83" s="21">
        <f t="shared" si="4"/>
        <v>8.48</v>
      </c>
    </row>
    <row r="84" spans="1:6" x14ac:dyDescent="0.2">
      <c r="A84" s="19">
        <v>18</v>
      </c>
      <c r="B84" s="181" t="s">
        <v>16</v>
      </c>
      <c r="C84" s="182"/>
      <c r="D84" s="14">
        <f t="shared" si="5"/>
        <v>109216</v>
      </c>
      <c r="E84" s="17">
        <f>IF(F3="1",SUMIF(Data!A:A,'27'!$A$2,Data!EP:EP),0)</f>
        <v>278255</v>
      </c>
      <c r="F84" s="21">
        <f t="shared" si="4"/>
        <v>2.5499999999999998</v>
      </c>
    </row>
    <row r="85" spans="1:6" x14ac:dyDescent="0.2">
      <c r="A85" s="19">
        <v>19</v>
      </c>
      <c r="B85" s="181" t="s">
        <v>17</v>
      </c>
      <c r="C85" s="182"/>
      <c r="D85" s="14">
        <f t="shared" si="5"/>
        <v>264680</v>
      </c>
      <c r="E85" s="17">
        <f>IF(F3="1",SUMIF(Data!A:A,'27'!$A$2,Data!EQ:EQ),0)</f>
        <v>559570</v>
      </c>
      <c r="F85" s="21">
        <f t="shared" si="4"/>
        <v>2.11</v>
      </c>
    </row>
    <row r="86" spans="1:6" x14ac:dyDescent="0.2">
      <c r="A86" s="19">
        <v>20</v>
      </c>
      <c r="B86" s="181" t="s">
        <v>18</v>
      </c>
      <c r="C86" s="182"/>
      <c r="D86" s="14">
        <f t="shared" si="5"/>
        <v>0</v>
      </c>
      <c r="E86" s="17">
        <f>IF(F3="1",SUMIF(Data!A:A,'27'!$A$2,Data!ER:ER),0)</f>
        <v>0</v>
      </c>
      <c r="F86" s="21" t="str">
        <f t="shared" si="4"/>
        <v/>
      </c>
    </row>
    <row r="87" spans="1:6" ht="14.25" customHeight="1" x14ac:dyDescent="0.2">
      <c r="A87" s="19">
        <v>21</v>
      </c>
      <c r="B87" s="181" t="s">
        <v>461</v>
      </c>
      <c r="C87" s="182"/>
      <c r="D87" s="14">
        <f t="shared" si="5"/>
        <v>22860</v>
      </c>
      <c r="E87" s="17">
        <f>IF(F3="1",SUMIF(Data!A:A,'27'!$A$2,Data!ES:ES),0)</f>
        <v>0</v>
      </c>
      <c r="F87" s="21" t="str">
        <f t="shared" si="4"/>
        <v/>
      </c>
    </row>
    <row r="88" spans="1:6" x14ac:dyDescent="0.2">
      <c r="A88" s="19">
        <v>22</v>
      </c>
      <c r="B88" s="181" t="s">
        <v>19</v>
      </c>
      <c r="C88" s="182"/>
      <c r="D88" s="14">
        <f t="shared" si="5"/>
        <v>0</v>
      </c>
      <c r="E88" s="17">
        <f>IF(F3="1",SUMIF(Data!A:A,'27'!$A$2,Data!ET:ET),0)</f>
        <v>0</v>
      </c>
      <c r="F88" s="21" t="str">
        <f t="shared" si="4"/>
        <v/>
      </c>
    </row>
    <row r="89" spans="1:6" x14ac:dyDescent="0.2">
      <c r="A89" s="19">
        <v>23</v>
      </c>
      <c r="B89" s="181" t="s">
        <v>20</v>
      </c>
      <c r="C89" s="182"/>
      <c r="D89" s="14">
        <f t="shared" si="5"/>
        <v>97824</v>
      </c>
      <c r="E89" s="17">
        <f>IF(F3="1",SUMIF(Data!A:A,'27'!$A$2,Data!EU:EU),0)</f>
        <v>522858</v>
      </c>
      <c r="F89" s="21">
        <f t="shared" si="4"/>
        <v>5.34</v>
      </c>
    </row>
    <row r="90" spans="1:6" x14ac:dyDescent="0.2">
      <c r="A90" s="19">
        <v>24</v>
      </c>
      <c r="B90" s="181" t="s">
        <v>21</v>
      </c>
      <c r="C90" s="182"/>
      <c r="D90" s="14">
        <f t="shared" si="5"/>
        <v>118576</v>
      </c>
      <c r="E90" s="17">
        <f>IF(F3="1",SUMIF(Data!A:A,'27'!$A$2,Data!EV:EV),0)</f>
        <v>118362</v>
      </c>
      <c r="F90" s="21">
        <f t="shared" si="4"/>
        <v>1</v>
      </c>
    </row>
    <row r="91" spans="1:6" x14ac:dyDescent="0.2">
      <c r="A91" s="19">
        <v>25</v>
      </c>
      <c r="B91" s="181" t="s">
        <v>22</v>
      </c>
      <c r="C91" s="182"/>
      <c r="D91" s="14">
        <f t="shared" si="5"/>
        <v>466512</v>
      </c>
      <c r="E91" s="17">
        <f>IF(F3="1",SUMIF(Data!A:A,'27'!$A$2,Data!EW:EW),0)</f>
        <v>677059</v>
      </c>
      <c r="F91" s="21">
        <f t="shared" si="4"/>
        <v>1.45</v>
      </c>
    </row>
    <row r="92" spans="1:6" x14ac:dyDescent="0.2">
      <c r="A92" s="19">
        <v>26</v>
      </c>
      <c r="B92" s="181" t="s">
        <v>23</v>
      </c>
      <c r="C92" s="182"/>
      <c r="D92" s="14">
        <f t="shared" si="5"/>
        <v>271676</v>
      </c>
      <c r="E92" s="17">
        <f>IF(F3="1",SUMIF(Data!A:A,'27'!$A$2,Data!EX:EX),0)</f>
        <v>833625</v>
      </c>
      <c r="F92" s="21">
        <f t="shared" si="4"/>
        <v>3.07</v>
      </c>
    </row>
    <row r="93" spans="1:6" x14ac:dyDescent="0.2">
      <c r="A93" s="19">
        <v>28</v>
      </c>
      <c r="B93" s="181" t="s">
        <v>24</v>
      </c>
      <c r="C93" s="182"/>
      <c r="D93" s="14">
        <f t="shared" si="5"/>
        <v>0</v>
      </c>
      <c r="E93" s="17">
        <f>IF(F3="1",SUMIF(Data!A:A,'27'!$A$2,Data!EZ:EZ),0)</f>
        <v>0</v>
      </c>
      <c r="F93" s="21" t="str">
        <f t="shared" si="4"/>
        <v/>
      </c>
    </row>
    <row r="94" spans="1:6" ht="15.75" customHeight="1" thickBot="1" x14ac:dyDescent="0.25">
      <c r="A94" s="22">
        <v>29</v>
      </c>
      <c r="B94" s="183" t="s">
        <v>25</v>
      </c>
      <c r="C94" s="184"/>
      <c r="D94" s="23">
        <f t="shared" si="5"/>
        <v>0</v>
      </c>
      <c r="E94" s="24">
        <f>IF(F3="1",SUMIF(Data!A:A,'27'!$A$2,Data!FA:FA),0)</f>
        <v>0</v>
      </c>
      <c r="F94" s="25" t="str">
        <f t="shared" si="4"/>
        <v/>
      </c>
    </row>
    <row r="95" spans="1:6" x14ac:dyDescent="0.2">
      <c r="B95" s="30" t="s">
        <v>35</v>
      </c>
      <c r="C95" s="30"/>
      <c r="D95" s="59">
        <f>SUM(D67:D94)</f>
        <v>3374872</v>
      </c>
      <c r="E95" s="31">
        <f>SUM(E67:E94)</f>
        <v>9760985</v>
      </c>
      <c r="F95" s="32">
        <f t="shared" si="4"/>
        <v>2.89</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IF(F3="1",SUMIF(Data!A:A,'27'!$A$2,Data!AH:AH),0)</f>
        <v>3812497</v>
      </c>
      <c r="F98" s="20">
        <f>IF(OR(E98=0,E98=0),"",ROUND(E98/$D$105,2))</f>
        <v>1.1299999999999999</v>
      </c>
    </row>
    <row r="99" spans="2:6" x14ac:dyDescent="0.2">
      <c r="B99" s="187" t="s">
        <v>31</v>
      </c>
      <c r="C99" s="188"/>
      <c r="D99" s="36"/>
      <c r="E99" s="17">
        <f>IF(F3="1",SUMIF(Data!A:A,'27'!$A$2,Data!AI:AI),0)</f>
        <v>1331434</v>
      </c>
      <c r="F99" s="21">
        <f t="shared" ref="F99:F104" si="6">IF(OR(E99=0,E99=0),"",ROUND(E99/$D$105,2))</f>
        <v>0.39</v>
      </c>
    </row>
    <row r="100" spans="2:6" x14ac:dyDescent="0.2">
      <c r="B100" s="187" t="s">
        <v>1078</v>
      </c>
      <c r="C100" s="188"/>
      <c r="D100" s="36"/>
      <c r="E100" s="17">
        <f>IF(F3="1",SUMIF(Data!A:A,'27'!$A$2,Data!AJ:AJ),0)</f>
        <v>1150462</v>
      </c>
      <c r="F100" s="21">
        <f t="shared" si="6"/>
        <v>0.34</v>
      </c>
    </row>
    <row r="101" spans="2:6" x14ac:dyDescent="0.2">
      <c r="B101" s="187" t="s">
        <v>1079</v>
      </c>
      <c r="C101" s="188"/>
      <c r="D101" s="36"/>
      <c r="E101" s="17">
        <f>IF(F3="1",SUMIF(Data!A:A,'27'!$A$2,Data!AK:AK),0)</f>
        <v>410587</v>
      </c>
      <c r="F101" s="21">
        <f t="shared" si="6"/>
        <v>0.12</v>
      </c>
    </row>
    <row r="102" spans="2:6" x14ac:dyDescent="0.2">
      <c r="B102" s="187" t="s">
        <v>1080</v>
      </c>
      <c r="C102" s="188"/>
      <c r="D102" s="36"/>
      <c r="E102" s="17">
        <f>IF(F3="1",SUMIF(Data!A:A,'27'!$A$2,Data!AL:AL),0)</f>
        <v>0</v>
      </c>
      <c r="F102" s="21" t="str">
        <f t="shared" si="6"/>
        <v/>
      </c>
    </row>
    <row r="103" spans="2:6" x14ac:dyDescent="0.2">
      <c r="B103" s="189" t="s">
        <v>34</v>
      </c>
      <c r="C103" s="190"/>
      <c r="D103" s="36"/>
      <c r="E103" s="17">
        <f>IF(F3="1",SUMIF(Data!A:A,'27'!$A$2,Data!AM:AM),0)</f>
        <v>0</v>
      </c>
      <c r="F103" s="21" t="str">
        <f t="shared" si="6"/>
        <v/>
      </c>
    </row>
    <row r="104" spans="2:6" ht="15.75" customHeight="1" thickBot="1" x14ac:dyDescent="0.25">
      <c r="B104" s="179" t="s">
        <v>29</v>
      </c>
      <c r="C104" s="180"/>
      <c r="D104" s="37"/>
      <c r="E104" s="24">
        <f>IF(F3="1",SUMIF(Data!A:A,'27'!$A$2,Data!Q:Q),0)</f>
        <v>509007</v>
      </c>
      <c r="F104" s="25">
        <f t="shared" si="6"/>
        <v>0.15</v>
      </c>
    </row>
    <row r="105" spans="2:6" x14ac:dyDescent="0.2">
      <c r="B105" s="30" t="s">
        <v>35</v>
      </c>
      <c r="C105" s="30"/>
      <c r="D105" s="34">
        <f>D95</f>
        <v>3374872</v>
      </c>
      <c r="E105" s="31">
        <f>SUM(E98:E104)</f>
        <v>7213987</v>
      </c>
      <c r="F105" s="32">
        <f>IF($D$105=0,"",ROUND(E105/$D$105,2))</f>
        <v>2.14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9760985</v>
      </c>
      <c r="D109" s="15">
        <f>IF(F3="1",SUMIF(Data!$A:$A,$A$2,Data!HJ:HJ),0)</f>
        <v>0</v>
      </c>
      <c r="E109" s="15">
        <f>IF(F3="1",SUMIF(Data!$A:$A,$A$2,Data!IN:IN),0)</f>
        <v>0</v>
      </c>
      <c r="F109" s="47">
        <f>SUM(C109:E109)</f>
        <v>9760985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509007</v>
      </c>
      <c r="E117" s="52"/>
      <c r="F117" s="49">
        <f>SUM(C117:E117)</f>
        <v>509007</v>
      </c>
    </row>
    <row r="118" spans="1:6" x14ac:dyDescent="0.2">
      <c r="B118" s="13" t="s">
        <v>35</v>
      </c>
      <c r="C118" s="4">
        <f>SUM(C109:C116)</f>
        <v>9760985</v>
      </c>
      <c r="D118" s="4">
        <f>SUM(D109:D116)</f>
        <v>0</v>
      </c>
      <c r="E118" s="4">
        <f>SUM(E109:E116)</f>
        <v>0</v>
      </c>
      <c r="F118" s="4">
        <f>SUM(F109:F116)</f>
        <v>9760985</v>
      </c>
    </row>
    <row r="119" spans="1:6" ht="15" thickBot="1" x14ac:dyDescent="0.25"/>
    <row r="120" spans="1:6" ht="15" thickBot="1" x14ac:dyDescent="0.25">
      <c r="B120" s="55" t="s">
        <v>934</v>
      </c>
      <c r="C120" s="53"/>
      <c r="D120" s="53"/>
      <c r="E120" s="53">
        <f>IF(F3="1",SUMIF(Data!A:A,'27'!$A$2,Data!AM:AM),0)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433</v>
      </c>
      <c r="B2" s="58" t="str">
        <f>VLOOKUP(A2,Data!A:G,7,0)</f>
        <v>Midland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5488</v>
      </c>
      <c r="E5" s="15">
        <f>E36+E67+IFERROR($E$105/$D$105*D5,0)</f>
        <v>104553.61888300694</v>
      </c>
      <c r="F5" s="20">
        <f>IF(OR(D5=0,E5=0),"",ROUND(E5/D5,2))</f>
        <v>19.05</v>
      </c>
    </row>
    <row r="6" spans="1:6" x14ac:dyDescent="0.2">
      <c r="A6" s="19">
        <v>2</v>
      </c>
      <c r="B6" s="181" t="s">
        <v>1</v>
      </c>
      <c r="C6" s="182"/>
      <c r="D6" s="14">
        <f t="shared" ref="D6:D32" si="0">D37</f>
        <v>65711</v>
      </c>
      <c r="E6" s="17">
        <f t="shared" ref="E6:E32" si="1">E37+E68+IFERROR($E$105/$D$105*D6,0)</f>
        <v>585172.38801407977</v>
      </c>
      <c r="F6" s="21">
        <f t="shared" ref="F6:F33" si="2">IF(OR(D6=0,E6=0),"",ROUND(E6/D6,2))</f>
        <v>8.91</v>
      </c>
    </row>
    <row r="7" spans="1:6" ht="14.25" customHeight="1" x14ac:dyDescent="0.2">
      <c r="A7" s="19">
        <v>3</v>
      </c>
      <c r="B7" s="181" t="s">
        <v>2</v>
      </c>
      <c r="C7" s="182"/>
      <c r="D7" s="14">
        <f t="shared" si="0"/>
        <v>284192</v>
      </c>
      <c r="E7" s="17">
        <f t="shared" si="1"/>
        <v>1775135.4944605522</v>
      </c>
      <c r="F7" s="21">
        <f t="shared" si="2"/>
        <v>6.25</v>
      </c>
    </row>
    <row r="8" spans="1:6" ht="14.25" customHeight="1" x14ac:dyDescent="0.2">
      <c r="A8" s="19">
        <v>4</v>
      </c>
      <c r="B8" s="181" t="s">
        <v>3</v>
      </c>
      <c r="C8" s="182"/>
      <c r="D8" s="14">
        <f t="shared" si="0"/>
        <v>163899</v>
      </c>
      <c r="E8" s="17">
        <f t="shared" si="1"/>
        <v>1307719.1210470037</v>
      </c>
      <c r="F8" s="21">
        <f t="shared" si="2"/>
        <v>7.98</v>
      </c>
    </row>
    <row r="9" spans="1:6" x14ac:dyDescent="0.2">
      <c r="A9" s="19">
        <v>5</v>
      </c>
      <c r="B9" s="181" t="s">
        <v>4</v>
      </c>
      <c r="C9" s="182"/>
      <c r="D9" s="14">
        <f t="shared" si="0"/>
        <v>13188</v>
      </c>
      <c r="E9" s="17">
        <f t="shared" si="1"/>
        <v>177921.15047906261</v>
      </c>
      <c r="F9" s="21">
        <f t="shared" si="2"/>
        <v>13.49</v>
      </c>
    </row>
    <row r="10" spans="1:6" x14ac:dyDescent="0.2">
      <c r="A10" s="19">
        <v>6</v>
      </c>
      <c r="B10" s="181" t="s">
        <v>5</v>
      </c>
      <c r="C10" s="182"/>
      <c r="D10" s="14">
        <f t="shared" si="0"/>
        <v>16840</v>
      </c>
      <c r="E10" s="17">
        <f t="shared" si="1"/>
        <v>209318.79117890616</v>
      </c>
      <c r="F10" s="21">
        <f t="shared" si="2"/>
        <v>12.43</v>
      </c>
    </row>
    <row r="11" spans="1:6" x14ac:dyDescent="0.2">
      <c r="A11" s="19">
        <v>7</v>
      </c>
      <c r="B11" s="181" t="s">
        <v>6</v>
      </c>
      <c r="C11" s="182"/>
      <c r="D11" s="14">
        <f t="shared" si="0"/>
        <v>103718</v>
      </c>
      <c r="E11" s="17">
        <f t="shared" si="1"/>
        <v>794178.51481554564</v>
      </c>
      <c r="F11" s="21">
        <f t="shared" si="2"/>
        <v>7.66</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32996</v>
      </c>
      <c r="E13" s="17">
        <f t="shared" si="1"/>
        <v>201911.78656408476</v>
      </c>
      <c r="F13" s="21">
        <f t="shared" si="2"/>
        <v>6.12</v>
      </c>
    </row>
    <row r="14" spans="1:6" x14ac:dyDescent="0.2">
      <c r="A14" s="19">
        <v>10</v>
      </c>
      <c r="B14" s="181" t="s">
        <v>9</v>
      </c>
      <c r="C14" s="182"/>
      <c r="D14" s="14">
        <f t="shared" si="0"/>
        <v>2914</v>
      </c>
      <c r="E14" s="17">
        <f t="shared" si="1"/>
        <v>13604.492606611197</v>
      </c>
      <c r="F14" s="21">
        <f t="shared" si="2"/>
        <v>4.67</v>
      </c>
    </row>
    <row r="15" spans="1:6" x14ac:dyDescent="0.2">
      <c r="A15" s="19">
        <v>11</v>
      </c>
      <c r="B15" s="181" t="s">
        <v>10</v>
      </c>
      <c r="C15" s="182"/>
      <c r="D15" s="14">
        <f t="shared" si="0"/>
        <v>109961</v>
      </c>
      <c r="E15" s="17">
        <f t="shared" si="1"/>
        <v>822411.30010829575</v>
      </c>
      <c r="F15" s="21">
        <f t="shared" si="2"/>
        <v>7.48</v>
      </c>
    </row>
    <row r="16" spans="1:6" ht="14.25" customHeight="1" x14ac:dyDescent="0.2">
      <c r="A16" s="19">
        <v>12</v>
      </c>
      <c r="B16" s="181" t="s">
        <v>11</v>
      </c>
      <c r="C16" s="182"/>
      <c r="D16" s="14">
        <f t="shared" si="0"/>
        <v>365544</v>
      </c>
      <c r="E16" s="17">
        <f t="shared" si="1"/>
        <v>2508733.4994478663</v>
      </c>
      <c r="F16" s="21">
        <f t="shared" si="2"/>
        <v>6.86</v>
      </c>
    </row>
    <row r="17" spans="1:6" x14ac:dyDescent="0.2">
      <c r="A17" s="19">
        <v>13</v>
      </c>
      <c r="B17" s="181" t="s">
        <v>12</v>
      </c>
      <c r="C17" s="182"/>
      <c r="D17" s="14">
        <f t="shared" si="0"/>
        <v>65552</v>
      </c>
      <c r="E17" s="17">
        <f t="shared" si="1"/>
        <v>402543.6284655378</v>
      </c>
      <c r="F17" s="21">
        <f t="shared" si="2"/>
        <v>6.14</v>
      </c>
    </row>
    <row r="18" spans="1:6" ht="14.25" customHeight="1" x14ac:dyDescent="0.2">
      <c r="A18" s="19">
        <v>14</v>
      </c>
      <c r="B18" s="181" t="s">
        <v>464</v>
      </c>
      <c r="C18" s="182"/>
      <c r="D18" s="14">
        <f t="shared" si="0"/>
        <v>69093</v>
      </c>
      <c r="E18" s="17">
        <f t="shared" si="1"/>
        <v>797692.26721639931</v>
      </c>
      <c r="F18" s="21">
        <f t="shared" si="2"/>
        <v>11.55</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158941</v>
      </c>
      <c r="E20" s="17">
        <f t="shared" si="1"/>
        <v>1379998.367325803</v>
      </c>
      <c r="F20" s="21">
        <f t="shared" si="2"/>
        <v>8.68</v>
      </c>
    </row>
    <row r="21" spans="1:6" x14ac:dyDescent="0.2">
      <c r="A21" s="19">
        <v>17</v>
      </c>
      <c r="B21" s="181" t="s">
        <v>15</v>
      </c>
      <c r="C21" s="182"/>
      <c r="D21" s="14">
        <f t="shared" si="0"/>
        <v>9416</v>
      </c>
      <c r="E21" s="17">
        <f t="shared" si="1"/>
        <v>166759.61578031949</v>
      </c>
      <c r="F21" s="21">
        <f t="shared" si="2"/>
        <v>17.71</v>
      </c>
    </row>
    <row r="22" spans="1:6" x14ac:dyDescent="0.2">
      <c r="A22" s="19">
        <v>18</v>
      </c>
      <c r="B22" s="181" t="s">
        <v>16</v>
      </c>
      <c r="C22" s="182"/>
      <c r="D22" s="14">
        <f t="shared" si="0"/>
        <v>42706</v>
      </c>
      <c r="E22" s="17">
        <f t="shared" si="1"/>
        <v>447545.54264170822</v>
      </c>
      <c r="F22" s="21">
        <f t="shared" si="2"/>
        <v>10.48</v>
      </c>
    </row>
    <row r="23" spans="1:6" x14ac:dyDescent="0.2">
      <c r="A23" s="19">
        <v>19</v>
      </c>
      <c r="B23" s="181" t="s">
        <v>17</v>
      </c>
      <c r="C23" s="182"/>
      <c r="D23" s="14">
        <f t="shared" si="0"/>
        <v>154572</v>
      </c>
      <c r="E23" s="17">
        <f t="shared" si="1"/>
        <v>1143915.6599825346</v>
      </c>
      <c r="F23" s="21">
        <f t="shared" si="2"/>
        <v>7.4</v>
      </c>
    </row>
    <row r="24" spans="1:6" x14ac:dyDescent="0.2">
      <c r="A24" s="19">
        <v>20</v>
      </c>
      <c r="B24" s="181" t="s">
        <v>18</v>
      </c>
      <c r="C24" s="182"/>
      <c r="D24" s="14">
        <f t="shared" si="0"/>
        <v>40520</v>
      </c>
      <c r="E24" s="17">
        <f t="shared" si="1"/>
        <v>338604.54029508773</v>
      </c>
      <c r="F24" s="21">
        <f t="shared" si="2"/>
        <v>8.36</v>
      </c>
    </row>
    <row r="25" spans="1:6" ht="14.25" customHeight="1" x14ac:dyDescent="0.2">
      <c r="A25" s="19">
        <v>21</v>
      </c>
      <c r="B25" s="181" t="s">
        <v>461</v>
      </c>
      <c r="C25" s="182"/>
      <c r="D25" s="14">
        <f t="shared" si="0"/>
        <v>37624</v>
      </c>
      <c r="E25" s="17">
        <f t="shared" si="1"/>
        <v>683940.83178831148</v>
      </c>
      <c r="F25" s="21">
        <f t="shared" si="2"/>
        <v>18.18</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60384</v>
      </c>
      <c r="E27" s="17">
        <f t="shared" si="1"/>
        <v>656679.06024626305</v>
      </c>
      <c r="F27" s="21">
        <f t="shared" si="2"/>
        <v>10.88</v>
      </c>
    </row>
    <row r="28" spans="1:6" x14ac:dyDescent="0.2">
      <c r="A28" s="19">
        <v>24</v>
      </c>
      <c r="B28" s="181" t="s">
        <v>21</v>
      </c>
      <c r="C28" s="182"/>
      <c r="D28" s="14">
        <f t="shared" si="0"/>
        <v>94920</v>
      </c>
      <c r="E28" s="17">
        <f t="shared" si="1"/>
        <v>604329.15312955901</v>
      </c>
      <c r="F28" s="21">
        <f t="shared" si="2"/>
        <v>6.37</v>
      </c>
    </row>
    <row r="29" spans="1:6" x14ac:dyDescent="0.2">
      <c r="A29" s="19">
        <v>25</v>
      </c>
      <c r="B29" s="181" t="s">
        <v>22</v>
      </c>
      <c r="C29" s="182"/>
      <c r="D29" s="14">
        <f t="shared" si="0"/>
        <v>328510</v>
      </c>
      <c r="E29" s="17">
        <f t="shared" si="1"/>
        <v>2112352.4798208112</v>
      </c>
      <c r="F29" s="21">
        <f t="shared" si="2"/>
        <v>6.43</v>
      </c>
    </row>
    <row r="30" spans="1:6" x14ac:dyDescent="0.2">
      <c r="A30" s="19">
        <v>26</v>
      </c>
      <c r="B30" s="181" t="s">
        <v>23</v>
      </c>
      <c r="C30" s="182"/>
      <c r="D30" s="14">
        <f t="shared" si="0"/>
        <v>119664</v>
      </c>
      <c r="E30" s="17">
        <f t="shared" si="1"/>
        <v>933809.69570265012</v>
      </c>
      <c r="F30" s="21">
        <f t="shared" si="2"/>
        <v>7.8</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2346353</v>
      </c>
      <c r="E33" s="31">
        <f>SUM(E5:E32)</f>
        <v>18168831</v>
      </c>
      <c r="F33" s="32">
        <f t="shared" si="2"/>
        <v>7.74</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IF(F3="1",SUMIF(Data!A:A,'28'!$A$2,Data!CU:CU),0)</f>
        <v>5488</v>
      </c>
      <c r="E36" s="15">
        <f>IF(F3="1",SUMIF(Data!$A:$A,$A$2,Data!IO:IO),0)</f>
        <v>42359</v>
      </c>
      <c r="F36" s="20">
        <f t="shared" ref="F36:F64" si="3">IF(OR(D36=0,E36=0),"",ROUND(E36/D36,2))</f>
        <v>7.72</v>
      </c>
    </row>
    <row r="37" spans="1:6" x14ac:dyDescent="0.2">
      <c r="A37" s="19">
        <v>2</v>
      </c>
      <c r="B37" s="181" t="s">
        <v>1</v>
      </c>
      <c r="C37" s="182"/>
      <c r="D37" s="14">
        <f>IF(F3="1",SUMIF(Data!A:A,'28'!$A$2,Data!CV:CV),0)</f>
        <v>65711</v>
      </c>
      <c r="E37" s="17">
        <f>IF(F3="1",SUMIF(Data!$A:$A,$A$2,Data!IP:IP),0)</f>
        <v>105334</v>
      </c>
      <c r="F37" s="21">
        <f t="shared" si="3"/>
        <v>1.6</v>
      </c>
    </row>
    <row r="38" spans="1:6" ht="14.25" customHeight="1" x14ac:dyDescent="0.2">
      <c r="A38" s="19">
        <v>3</v>
      </c>
      <c r="B38" s="181" t="s">
        <v>2</v>
      </c>
      <c r="C38" s="182"/>
      <c r="D38" s="14">
        <f>IF(F3="1",SUMIF(Data!A:A,'28'!$A$2,Data!CW:CW),0)</f>
        <v>284192</v>
      </c>
      <c r="E38" s="17">
        <f>IF($F$3="1",SUMIF(Data!$A:$A,$A$2,Data!IQ:IQ),0)</f>
        <v>260798</v>
      </c>
      <c r="F38" s="21">
        <f t="shared" si="3"/>
        <v>0.92</v>
      </c>
    </row>
    <row r="39" spans="1:6" ht="14.25" customHeight="1" x14ac:dyDescent="0.2">
      <c r="A39" s="19">
        <v>4</v>
      </c>
      <c r="B39" s="181" t="s">
        <v>3</v>
      </c>
      <c r="C39" s="182"/>
      <c r="D39" s="14">
        <f>IF(F3="1",SUMIF(Data!A:A,'28'!$A$2,Data!CX:CX),0)</f>
        <v>163899</v>
      </c>
      <c r="E39" s="17">
        <f>IF($F$3="1",SUMIF(Data!$A:$A,$A$2,Data!IR:IR),0)</f>
        <v>298038</v>
      </c>
      <c r="F39" s="21">
        <f t="shared" si="3"/>
        <v>1.82</v>
      </c>
    </row>
    <row r="40" spans="1:6" x14ac:dyDescent="0.2">
      <c r="A40" s="19">
        <v>5</v>
      </c>
      <c r="B40" s="181" t="s">
        <v>4</v>
      </c>
      <c r="C40" s="182"/>
      <c r="D40" s="14">
        <f>IF(F3="1",SUMIF(Data!A:A,'28'!$A$2,Data!CY:CY),0)</f>
        <v>13188</v>
      </c>
      <c r="E40" s="17">
        <f>IF($F$3="1",SUMIF(Data!$A:$A,$A$2,Data!IS:IS),0)</f>
        <v>20922</v>
      </c>
      <c r="F40" s="21">
        <f t="shared" si="3"/>
        <v>1.59</v>
      </c>
    </row>
    <row r="41" spans="1:6" x14ac:dyDescent="0.2">
      <c r="A41" s="19">
        <v>6</v>
      </c>
      <c r="B41" s="181" t="s">
        <v>5</v>
      </c>
      <c r="C41" s="182"/>
      <c r="D41" s="14">
        <f>IF(F3="1",SUMIF(Data!A:A,'28'!$A$2,Data!CZ:CZ),0)</f>
        <v>16840</v>
      </c>
      <c r="E41" s="17">
        <f>IF($F$3="1",SUMIF(Data!$A:$A,$A$2,Data!IT:IT),0)</f>
        <v>41683</v>
      </c>
      <c r="F41" s="21">
        <f t="shared" si="3"/>
        <v>2.48</v>
      </c>
    </row>
    <row r="42" spans="1:6" x14ac:dyDescent="0.2">
      <c r="A42" s="19">
        <v>7</v>
      </c>
      <c r="B42" s="181" t="s">
        <v>6</v>
      </c>
      <c r="C42" s="182"/>
      <c r="D42" s="14">
        <f>IF(F3="1",SUMIF(Data!A:A,'28'!$A$2,Data!DA:DA),0)</f>
        <v>103718</v>
      </c>
      <c r="E42" s="17">
        <f>IF($F$3="1",SUMIF(Data!$A:$A,$A$2,Data!IU:IU),0)</f>
        <v>165755</v>
      </c>
      <c r="F42" s="21">
        <f t="shared" si="3"/>
        <v>1.6</v>
      </c>
    </row>
    <row r="43" spans="1:6" x14ac:dyDescent="0.2">
      <c r="A43" s="19">
        <v>8</v>
      </c>
      <c r="B43" s="181" t="s">
        <v>7</v>
      </c>
      <c r="C43" s="182"/>
      <c r="D43" s="14">
        <f>IF(F3="1",SUMIF(Data!A:A,'28'!$A$2,Data!DB:DB),0)</f>
        <v>0</v>
      </c>
      <c r="E43" s="17">
        <f>IF($F$3="1",SUMIF(Data!$A:$A,$A$2,Data!IV:IV),0)</f>
        <v>0</v>
      </c>
      <c r="F43" s="21" t="str">
        <f t="shared" si="3"/>
        <v/>
      </c>
    </row>
    <row r="44" spans="1:6" x14ac:dyDescent="0.2">
      <c r="A44" s="19">
        <v>9</v>
      </c>
      <c r="B44" s="181" t="s">
        <v>8</v>
      </c>
      <c r="C44" s="182"/>
      <c r="D44" s="14">
        <f>IF(F3="1",SUMIF(Data!A:A,'28'!$A$2,Data!DC:DC),0)</f>
        <v>32996</v>
      </c>
      <c r="E44" s="17">
        <f>IF($F$3="1",SUMIF(Data!$A:$A,$A$2,Data!IW:IW),0)</f>
        <v>21245</v>
      </c>
      <c r="F44" s="21">
        <f t="shared" si="3"/>
        <v>0.64</v>
      </c>
    </row>
    <row r="45" spans="1:6" x14ac:dyDescent="0.2">
      <c r="A45" s="19">
        <v>10</v>
      </c>
      <c r="B45" s="181" t="s">
        <v>9</v>
      </c>
      <c r="C45" s="182"/>
      <c r="D45" s="14">
        <f>IF(F3="1",SUMIF(Data!A:A,'28'!$A$2,Data!DD:DD),0)</f>
        <v>2914</v>
      </c>
      <c r="E45" s="17">
        <f>IF($F$3="1",SUMIF(Data!$A:$A,$A$2,Data!IX:IX),0)</f>
        <v>1974</v>
      </c>
      <c r="F45" s="21">
        <f t="shared" si="3"/>
        <v>0.68</v>
      </c>
    </row>
    <row r="46" spans="1:6" x14ac:dyDescent="0.2">
      <c r="A46" s="19">
        <v>11</v>
      </c>
      <c r="B46" s="181" t="s">
        <v>10</v>
      </c>
      <c r="C46" s="182"/>
      <c r="D46" s="14">
        <f>IF(F3="1",SUMIF(Data!A:A,'28'!$A$2,Data!DE:DE),0)</f>
        <v>109961</v>
      </c>
      <c r="E46" s="17">
        <f>IF($F$3="1",SUMIF(Data!$A:$A,$A$2,Data!IY:IY),0)</f>
        <v>162055</v>
      </c>
      <c r="F46" s="21">
        <f t="shared" si="3"/>
        <v>1.47</v>
      </c>
    </row>
    <row r="47" spans="1:6" ht="14.25" customHeight="1" x14ac:dyDescent="0.2">
      <c r="A47" s="19">
        <v>12</v>
      </c>
      <c r="B47" s="181" t="s">
        <v>11</v>
      </c>
      <c r="C47" s="182"/>
      <c r="D47" s="14">
        <f>IF(F3="1",SUMIF(Data!A:A,'28'!$A$2,Data!DF:DF),0)</f>
        <v>365544</v>
      </c>
      <c r="E47" s="17">
        <f>IF($F$3="1",SUMIF(Data!$A:$A,$A$2,Data!IZ:IZ),0)</f>
        <v>180153</v>
      </c>
      <c r="F47" s="21">
        <f t="shared" si="3"/>
        <v>0.49</v>
      </c>
    </row>
    <row r="48" spans="1:6" x14ac:dyDescent="0.2">
      <c r="A48" s="19">
        <v>13</v>
      </c>
      <c r="B48" s="181" t="s">
        <v>12</v>
      </c>
      <c r="C48" s="182"/>
      <c r="D48" s="14">
        <f>IF(F3="1",SUMIF(Data!A:A,'28'!$A$2,Data!DG:DG),0)</f>
        <v>65552</v>
      </c>
      <c r="E48" s="17">
        <f>IF($F$3="1",SUMIF(Data!$A:$A,$A$2,Data!JA:JA),0)</f>
        <v>46280</v>
      </c>
      <c r="F48" s="21">
        <f t="shared" si="3"/>
        <v>0.71</v>
      </c>
    </row>
    <row r="49" spans="1:6" ht="14.25" customHeight="1" x14ac:dyDescent="0.2">
      <c r="A49" s="19">
        <v>14</v>
      </c>
      <c r="B49" s="181" t="s">
        <v>464</v>
      </c>
      <c r="C49" s="182"/>
      <c r="D49" s="14">
        <f>IF(F3="1",SUMIF(Data!A:A,'28'!$A$2,Data!DH:DH),0)</f>
        <v>69093</v>
      </c>
      <c r="E49" s="17">
        <f>IF($F$3="1",SUMIF(Data!$A:$A,$A$2,Data!JB:JB),0)</f>
        <v>87582</v>
      </c>
      <c r="F49" s="21">
        <f t="shared" si="3"/>
        <v>1.27</v>
      </c>
    </row>
    <row r="50" spans="1:6" x14ac:dyDescent="0.2">
      <c r="A50" s="19">
        <v>15</v>
      </c>
      <c r="B50" s="181" t="s">
        <v>13</v>
      </c>
      <c r="C50" s="182"/>
      <c r="D50" s="14">
        <f>IF(F3="1",SUMIF(Data!A:A,'28'!$A$2,Data!DI:DI),0)</f>
        <v>0</v>
      </c>
      <c r="E50" s="17">
        <f>IF($F$3="1",SUMIF(Data!$A:$A,$A$2,Data!JC:JC),0)</f>
        <v>0</v>
      </c>
      <c r="F50" s="21" t="str">
        <f t="shared" si="3"/>
        <v/>
      </c>
    </row>
    <row r="51" spans="1:6" x14ac:dyDescent="0.2">
      <c r="A51" s="19">
        <v>16</v>
      </c>
      <c r="B51" s="181" t="s">
        <v>14</v>
      </c>
      <c r="C51" s="182"/>
      <c r="D51" s="14">
        <f>IF(F3="1",SUMIF(Data!A:A,'28'!$A$2,Data!DJ:DJ),0)</f>
        <v>158941</v>
      </c>
      <c r="E51" s="17">
        <f>IF($F$3="1",SUMIF(Data!$A:$A,$A$2,Data!JD:JD),0)</f>
        <v>271843</v>
      </c>
      <c r="F51" s="21">
        <f t="shared" si="3"/>
        <v>1.71</v>
      </c>
    </row>
    <row r="52" spans="1:6" x14ac:dyDescent="0.2">
      <c r="A52" s="19">
        <v>17</v>
      </c>
      <c r="B52" s="181" t="s">
        <v>15</v>
      </c>
      <c r="C52" s="182"/>
      <c r="D52" s="14">
        <f>IF(F3="1",SUMIF(Data!A:A,'28'!$A$2,Data!DK:DK),0)</f>
        <v>9416</v>
      </c>
      <c r="E52" s="17">
        <f>IF($F$3="1",SUMIF(Data!$A:$A,$A$2,Data!JE:JE),0)</f>
        <v>14844</v>
      </c>
      <c r="F52" s="21">
        <f t="shared" si="3"/>
        <v>1.58</v>
      </c>
    </row>
    <row r="53" spans="1:6" x14ac:dyDescent="0.2">
      <c r="A53" s="19">
        <v>18</v>
      </c>
      <c r="B53" s="181" t="s">
        <v>16</v>
      </c>
      <c r="C53" s="182"/>
      <c r="D53" s="14">
        <f>IF(F3="1",SUMIF(Data!A:A,'28'!$A$2,Data!DL:DL),0)</f>
        <v>42706</v>
      </c>
      <c r="E53" s="17">
        <f>IF($F$3="1",SUMIF(Data!$A:$A,$A$2,Data!JF:JF),0)</f>
        <v>25462</v>
      </c>
      <c r="F53" s="21">
        <f t="shared" si="3"/>
        <v>0.6</v>
      </c>
    </row>
    <row r="54" spans="1:6" x14ac:dyDescent="0.2">
      <c r="A54" s="19">
        <v>19</v>
      </c>
      <c r="B54" s="181" t="s">
        <v>17</v>
      </c>
      <c r="C54" s="182"/>
      <c r="D54" s="14">
        <f>IF(F3="1",SUMIF(Data!A:A,'28'!$A$2,Data!DM:DM),0)</f>
        <v>154572</v>
      </c>
      <c r="E54" s="17">
        <f>IF($F$3="1",SUMIF(Data!$A:$A,$A$2,Data!JG:JG),0)</f>
        <v>102231</v>
      </c>
      <c r="F54" s="21">
        <f t="shared" si="3"/>
        <v>0.66</v>
      </c>
    </row>
    <row r="55" spans="1:6" x14ac:dyDescent="0.2">
      <c r="A55" s="19">
        <v>20</v>
      </c>
      <c r="B55" s="181" t="s">
        <v>18</v>
      </c>
      <c r="C55" s="182"/>
      <c r="D55" s="14">
        <f>IF(F3="1",SUMIF(Data!A:A,'28'!$A$2,Data!DN:DN),0)</f>
        <v>40520</v>
      </c>
      <c r="E55" s="17">
        <f>IF($F$3="1",SUMIF(Data!$A:$A,$A$2,Data!JH:JH),0)</f>
        <v>49781</v>
      </c>
      <c r="F55" s="21">
        <f t="shared" si="3"/>
        <v>1.23</v>
      </c>
    </row>
    <row r="56" spans="1:6" ht="14.25" customHeight="1" x14ac:dyDescent="0.2">
      <c r="A56" s="19">
        <v>21</v>
      </c>
      <c r="B56" s="181" t="s">
        <v>461</v>
      </c>
      <c r="C56" s="182"/>
      <c r="D56" s="14">
        <f>IF(F3="1",SUMIF(Data!A:A,'28'!$A$2,Data!DO:DO),0)</f>
        <v>37624</v>
      </c>
      <c r="E56" s="17">
        <f>IF($F$3="1",SUMIF(Data!$A:$A,$A$2,Data!JI:JI),0)</f>
        <v>343736</v>
      </c>
      <c r="F56" s="21">
        <f t="shared" si="3"/>
        <v>9.14</v>
      </c>
    </row>
    <row r="57" spans="1:6" x14ac:dyDescent="0.2">
      <c r="A57" s="19">
        <v>22</v>
      </c>
      <c r="B57" s="181" t="s">
        <v>19</v>
      </c>
      <c r="C57" s="182"/>
      <c r="D57" s="14">
        <f>IF(F3="1",SUMIF(Data!A:A,'28'!$A$2,Data!DP:DP),0)</f>
        <v>0</v>
      </c>
      <c r="E57" s="17">
        <f>IF($F$3="1",SUMIF(Data!$A:$A,$A$2,Data!JJ:JJ),0)</f>
        <v>0</v>
      </c>
      <c r="F57" s="21" t="str">
        <f t="shared" si="3"/>
        <v/>
      </c>
    </row>
    <row r="58" spans="1:6" x14ac:dyDescent="0.2">
      <c r="A58" s="19">
        <v>23</v>
      </c>
      <c r="B58" s="181" t="s">
        <v>20</v>
      </c>
      <c r="C58" s="182"/>
      <c r="D58" s="14">
        <f>IF(F3="1",SUMIF(Data!A:A,'28'!$A$2,Data!DQ:DQ),0)</f>
        <v>60384</v>
      </c>
      <c r="E58" s="17">
        <f>IF($F$3="1",SUMIF(Data!$A:$A,$A$2,Data!JK:JK),0)</f>
        <v>32431</v>
      </c>
      <c r="F58" s="21">
        <f t="shared" si="3"/>
        <v>0.54</v>
      </c>
    </row>
    <row r="59" spans="1:6" x14ac:dyDescent="0.2">
      <c r="A59" s="19">
        <v>24</v>
      </c>
      <c r="B59" s="181" t="s">
        <v>21</v>
      </c>
      <c r="C59" s="182"/>
      <c r="D59" s="14">
        <f>IF(F3="1",SUMIF(Data!A:A,'28'!$A$2,Data!DR:DR),0)</f>
        <v>94920</v>
      </c>
      <c r="E59" s="17">
        <f>IF($F$3="1",SUMIF(Data!$A:$A,$A$2,Data!JL:JL),0)</f>
        <v>66360</v>
      </c>
      <c r="F59" s="21">
        <f t="shared" si="3"/>
        <v>0.7</v>
      </c>
    </row>
    <row r="60" spans="1:6" x14ac:dyDescent="0.2">
      <c r="A60" s="19">
        <v>25</v>
      </c>
      <c r="B60" s="181" t="s">
        <v>22</v>
      </c>
      <c r="C60" s="182"/>
      <c r="D60" s="14">
        <f>IF(F3="1",SUMIF(Data!A:A,'28'!$A$2,Data!DS:DS),0)</f>
        <v>328510</v>
      </c>
      <c r="E60" s="17">
        <f>IF($F$3="1",SUMIF(Data!$A:$A,$A$2,Data!JM:JM),0)</f>
        <v>35362</v>
      </c>
      <c r="F60" s="21">
        <f t="shared" si="3"/>
        <v>0.11</v>
      </c>
    </row>
    <row r="61" spans="1:6" x14ac:dyDescent="0.2">
      <c r="A61" s="19">
        <v>26</v>
      </c>
      <c r="B61" s="181" t="s">
        <v>23</v>
      </c>
      <c r="C61" s="182"/>
      <c r="D61" s="14">
        <f>IF(F3="1",SUMIF(Data!A:A,'28'!$A$2,Data!DT:DT),0)</f>
        <v>119664</v>
      </c>
      <c r="E61" s="17">
        <f>IF($F$3="1",SUMIF(Data!$A:$A,$A$2,Data!JN:JN),0)</f>
        <v>40780</v>
      </c>
      <c r="F61" s="21">
        <f t="shared" si="3"/>
        <v>0.34</v>
      </c>
    </row>
    <row r="62" spans="1:6" x14ac:dyDescent="0.2">
      <c r="A62" s="19">
        <v>28</v>
      </c>
      <c r="B62" s="181" t="s">
        <v>24</v>
      </c>
      <c r="C62" s="182"/>
      <c r="D62" s="14">
        <f>IF(F3="1",SUMIF(Data!A:A,'28'!$A$2,Data!DV:DV),0)</f>
        <v>0</v>
      </c>
      <c r="E62" s="17">
        <f>IF($F$3="1",SUMIF(Data!$A:$A,$A$2,Data!JP:JP),0)</f>
        <v>0</v>
      </c>
      <c r="F62" s="21" t="str">
        <f t="shared" si="3"/>
        <v/>
      </c>
    </row>
    <row r="63" spans="1:6" ht="15.75" customHeight="1" thickBot="1" x14ac:dyDescent="0.25">
      <c r="A63" s="22">
        <v>29</v>
      </c>
      <c r="B63" s="183" t="s">
        <v>25</v>
      </c>
      <c r="C63" s="184"/>
      <c r="D63" s="23">
        <f>IF(F3="1",SUMIF(Data!A:A,'28'!$A$2,Data!DW:DW),0)</f>
        <v>0</v>
      </c>
      <c r="E63" s="24">
        <f>IF($F$3="1",SUMIF(Data!$A:$A,$A$2,Data!JQ:JQ),0)</f>
        <v>0</v>
      </c>
      <c r="F63" s="25" t="str">
        <f t="shared" si="3"/>
        <v/>
      </c>
    </row>
    <row r="64" spans="1:6" x14ac:dyDescent="0.2">
      <c r="B64" s="30" t="s">
        <v>35</v>
      </c>
      <c r="C64" s="30"/>
      <c r="D64" s="59">
        <f>SUM(D36:D63)</f>
        <v>2346353</v>
      </c>
      <c r="E64" s="31">
        <f>SUM(E36:E63)</f>
        <v>2417008</v>
      </c>
      <c r="F64" s="32">
        <f t="shared" si="3"/>
        <v>1.03</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5488</v>
      </c>
      <c r="E67" s="15">
        <f>IF(F3="1",SUMIF(Data!A:A,'28'!$A$2,Data!DY:DY),0)</f>
        <v>41528</v>
      </c>
      <c r="F67" s="20">
        <f t="shared" ref="F67:F95" si="4">IF(OR(D67=0,E67=0),"",ROUND(E67/D67,2))</f>
        <v>7.57</v>
      </c>
    </row>
    <row r="68" spans="1:6" x14ac:dyDescent="0.2">
      <c r="A68" s="19">
        <v>2</v>
      </c>
      <c r="B68" s="181" t="s">
        <v>1</v>
      </c>
      <c r="C68" s="182"/>
      <c r="D68" s="14">
        <f t="shared" ref="D68:D94" si="5">D37</f>
        <v>65711</v>
      </c>
      <c r="E68" s="17">
        <f>IF(F3="1",SUMIF(Data!A:A,'28'!$A$2,Data!DZ:DZ),0)</f>
        <v>232385</v>
      </c>
      <c r="F68" s="21">
        <f t="shared" si="4"/>
        <v>3.54</v>
      </c>
    </row>
    <row r="69" spans="1:6" ht="14.25" customHeight="1" x14ac:dyDescent="0.2">
      <c r="A69" s="19">
        <v>3</v>
      </c>
      <c r="B69" s="181" t="s">
        <v>2</v>
      </c>
      <c r="C69" s="182"/>
      <c r="D69" s="14">
        <f t="shared" si="5"/>
        <v>284192</v>
      </c>
      <c r="E69" s="17">
        <f>IF(F3="1",SUMIF(Data!A:A,'28'!$A$2,Data!EA:EA),0)</f>
        <v>444132</v>
      </c>
      <c r="F69" s="21">
        <f t="shared" si="4"/>
        <v>1.56</v>
      </c>
    </row>
    <row r="70" spans="1:6" ht="14.25" customHeight="1" x14ac:dyDescent="0.2">
      <c r="A70" s="19">
        <v>4</v>
      </c>
      <c r="B70" s="181" t="s">
        <v>3</v>
      </c>
      <c r="C70" s="182"/>
      <c r="D70" s="14">
        <f t="shared" si="5"/>
        <v>163899</v>
      </c>
      <c r="E70" s="17">
        <f>IF(F3="1",SUMIF(Data!A:A,'28'!$A$2,Data!EB:EB),0)</f>
        <v>392473</v>
      </c>
      <c r="F70" s="21">
        <f t="shared" si="4"/>
        <v>2.39</v>
      </c>
    </row>
    <row r="71" spans="1:6" x14ac:dyDescent="0.2">
      <c r="A71" s="19">
        <v>5</v>
      </c>
      <c r="B71" s="181" t="s">
        <v>4</v>
      </c>
      <c r="C71" s="182"/>
      <c r="D71" s="14">
        <f t="shared" si="5"/>
        <v>13188</v>
      </c>
      <c r="E71" s="17">
        <f>IF(F3="1",SUMIF(Data!A:A,'28'!$A$2,Data!EC:EC),0)</f>
        <v>107336</v>
      </c>
      <c r="F71" s="21">
        <f t="shared" si="4"/>
        <v>8.14</v>
      </c>
    </row>
    <row r="72" spans="1:6" x14ac:dyDescent="0.2">
      <c r="A72" s="19">
        <v>6</v>
      </c>
      <c r="B72" s="181" t="s">
        <v>5</v>
      </c>
      <c r="C72" s="182"/>
      <c r="D72" s="14">
        <f t="shared" si="5"/>
        <v>16840</v>
      </c>
      <c r="E72" s="17">
        <f>IF(F3="1",SUMIF(Data!A:A,'28'!$A$2,Data!ED:ED),0)</f>
        <v>104220</v>
      </c>
      <c r="F72" s="21">
        <f t="shared" si="4"/>
        <v>6.19</v>
      </c>
    </row>
    <row r="73" spans="1:6" x14ac:dyDescent="0.2">
      <c r="A73" s="19">
        <v>7</v>
      </c>
      <c r="B73" s="181" t="s">
        <v>6</v>
      </c>
      <c r="C73" s="182"/>
      <c r="D73" s="14">
        <f t="shared" si="5"/>
        <v>103718</v>
      </c>
      <c r="E73" s="17">
        <f>IF(F3="1",SUMIF(Data!A:A,'28'!$A$2,Data!EE:EE),0)</f>
        <v>237844</v>
      </c>
      <c r="F73" s="21">
        <f t="shared" si="4"/>
        <v>2.29</v>
      </c>
    </row>
    <row r="74" spans="1:6" x14ac:dyDescent="0.2">
      <c r="A74" s="19">
        <v>8</v>
      </c>
      <c r="B74" s="181" t="s">
        <v>7</v>
      </c>
      <c r="C74" s="182"/>
      <c r="D74" s="14">
        <f t="shared" si="5"/>
        <v>0</v>
      </c>
      <c r="E74" s="17">
        <f>IF(F3="1",SUMIF(Data!A:A,'28'!$A$2,Data!EF:EF),0)</f>
        <v>0</v>
      </c>
      <c r="F74" s="21" t="str">
        <f t="shared" si="4"/>
        <v/>
      </c>
    </row>
    <row r="75" spans="1:6" x14ac:dyDescent="0.2">
      <c r="A75" s="19">
        <v>9</v>
      </c>
      <c r="B75" s="181" t="s">
        <v>8</v>
      </c>
      <c r="C75" s="182"/>
      <c r="D75" s="14">
        <f t="shared" si="5"/>
        <v>32996</v>
      </c>
      <c r="E75" s="17">
        <f>IF(F3="1",SUMIF(Data!A:A,'28'!$A$2,Data!EG:EG),0)</f>
        <v>56411</v>
      </c>
      <c r="F75" s="21">
        <f t="shared" si="4"/>
        <v>1.71</v>
      </c>
    </row>
    <row r="76" spans="1:6" x14ac:dyDescent="0.2">
      <c r="A76" s="19">
        <v>10</v>
      </c>
      <c r="B76" s="181" t="s">
        <v>9</v>
      </c>
      <c r="C76" s="182"/>
      <c r="D76" s="14">
        <f t="shared" si="5"/>
        <v>2914</v>
      </c>
      <c r="E76" s="17">
        <f>IF(F3="1",SUMIF(Data!A:A,'28'!$A$2,Data!EH:EH),0)</f>
        <v>657</v>
      </c>
      <c r="F76" s="21">
        <f t="shared" si="4"/>
        <v>0.23</v>
      </c>
    </row>
    <row r="77" spans="1:6" x14ac:dyDescent="0.2">
      <c r="A77" s="19">
        <v>11</v>
      </c>
      <c r="B77" s="181" t="s">
        <v>10</v>
      </c>
      <c r="C77" s="182"/>
      <c r="D77" s="14">
        <f t="shared" si="5"/>
        <v>109961</v>
      </c>
      <c r="E77" s="17">
        <f>IF(F3="1",SUMIF(Data!A:A,'28'!$A$2,Data!EI:EI),0)</f>
        <v>246267</v>
      </c>
      <c r="F77" s="21">
        <f t="shared" si="4"/>
        <v>2.2400000000000002</v>
      </c>
    </row>
    <row r="78" spans="1:6" ht="14.25" customHeight="1" x14ac:dyDescent="0.2">
      <c r="A78" s="19">
        <v>12</v>
      </c>
      <c r="B78" s="181" t="s">
        <v>11</v>
      </c>
      <c r="C78" s="182"/>
      <c r="D78" s="14">
        <f t="shared" si="5"/>
        <v>365544</v>
      </c>
      <c r="E78" s="17">
        <f>IF(F3="1",SUMIF(Data!A:A,'28'!$A$2,Data!EJ:EJ),0)</f>
        <v>952021</v>
      </c>
      <c r="F78" s="21">
        <f t="shared" si="4"/>
        <v>2.6</v>
      </c>
    </row>
    <row r="79" spans="1:6" x14ac:dyDescent="0.2">
      <c r="A79" s="19">
        <v>13</v>
      </c>
      <c r="B79" s="181" t="s">
        <v>12</v>
      </c>
      <c r="C79" s="182"/>
      <c r="D79" s="14">
        <f t="shared" si="5"/>
        <v>65552</v>
      </c>
      <c r="E79" s="17">
        <f>IF(F3="1",SUMIF(Data!A:A,'28'!$A$2,Data!EK:EK),0)</f>
        <v>109409</v>
      </c>
      <c r="F79" s="21">
        <f t="shared" si="4"/>
        <v>1.67</v>
      </c>
    </row>
    <row r="80" spans="1:6" ht="14.25" customHeight="1" x14ac:dyDescent="0.2">
      <c r="A80" s="19">
        <v>14</v>
      </c>
      <c r="B80" s="181" t="s">
        <v>464</v>
      </c>
      <c r="C80" s="182"/>
      <c r="D80" s="14">
        <f t="shared" si="5"/>
        <v>69093</v>
      </c>
      <c r="E80" s="17">
        <f>IF(F3="1",SUMIF(Data!A:A,'28'!$A$2,Data!EL:EL),0)</f>
        <v>449921</v>
      </c>
      <c r="F80" s="21">
        <f t="shared" si="4"/>
        <v>6.51</v>
      </c>
    </row>
    <row r="81" spans="1:6" x14ac:dyDescent="0.2">
      <c r="A81" s="19">
        <v>15</v>
      </c>
      <c r="B81" s="181" t="s">
        <v>13</v>
      </c>
      <c r="C81" s="182"/>
      <c r="D81" s="14">
        <f t="shared" si="5"/>
        <v>0</v>
      </c>
      <c r="E81" s="17">
        <f>IF(F3="1",SUMIF(Data!A:A,'28'!$A$2,Data!EM:EM),0)</f>
        <v>0</v>
      </c>
      <c r="F81" s="21" t="str">
        <f t="shared" si="4"/>
        <v/>
      </c>
    </row>
    <row r="82" spans="1:6" x14ac:dyDescent="0.2">
      <c r="A82" s="19">
        <v>16</v>
      </c>
      <c r="B82" s="181" t="s">
        <v>14</v>
      </c>
      <c r="C82" s="182"/>
      <c r="D82" s="14">
        <f t="shared" si="5"/>
        <v>158941</v>
      </c>
      <c r="E82" s="17">
        <f>IF(F3="1",SUMIF(Data!A:A,'28'!$A$2,Data!EN:EN),0)</f>
        <v>509618</v>
      </c>
      <c r="F82" s="21">
        <f t="shared" si="4"/>
        <v>3.21</v>
      </c>
    </row>
    <row r="83" spans="1:6" x14ac:dyDescent="0.2">
      <c r="A83" s="19">
        <v>17</v>
      </c>
      <c r="B83" s="181" t="s">
        <v>15</v>
      </c>
      <c r="C83" s="182"/>
      <c r="D83" s="14">
        <f t="shared" si="5"/>
        <v>9416</v>
      </c>
      <c r="E83" s="17">
        <f>IF(F3="1",SUMIF(Data!A:A,'28'!$A$2,Data!EO:EO),0)</f>
        <v>116457</v>
      </c>
      <c r="F83" s="21">
        <f t="shared" si="4"/>
        <v>12.37</v>
      </c>
    </row>
    <row r="84" spans="1:6" x14ac:dyDescent="0.2">
      <c r="A84" s="19">
        <v>18</v>
      </c>
      <c r="B84" s="181" t="s">
        <v>16</v>
      </c>
      <c r="C84" s="182"/>
      <c r="D84" s="14">
        <f t="shared" si="5"/>
        <v>42706</v>
      </c>
      <c r="E84" s="17">
        <f>IF(F3="1",SUMIF(Data!A:A,'28'!$A$2,Data!EP:EP),0)</f>
        <v>261262</v>
      </c>
      <c r="F84" s="21">
        <f t="shared" si="4"/>
        <v>6.12</v>
      </c>
    </row>
    <row r="85" spans="1:6" x14ac:dyDescent="0.2">
      <c r="A85" s="19">
        <v>19</v>
      </c>
      <c r="B85" s="181" t="s">
        <v>17</v>
      </c>
      <c r="C85" s="182"/>
      <c r="D85" s="14">
        <f t="shared" si="5"/>
        <v>154572</v>
      </c>
      <c r="E85" s="17">
        <f>IF(F3="1",SUMIF(Data!A:A,'28'!$A$2,Data!EQ:EQ),0)</f>
        <v>459600</v>
      </c>
      <c r="F85" s="21">
        <f t="shared" si="4"/>
        <v>2.97</v>
      </c>
    </row>
    <row r="86" spans="1:6" x14ac:dyDescent="0.2">
      <c r="A86" s="19">
        <v>20</v>
      </c>
      <c r="B86" s="181" t="s">
        <v>18</v>
      </c>
      <c r="C86" s="182"/>
      <c r="D86" s="14">
        <f t="shared" si="5"/>
        <v>40520</v>
      </c>
      <c r="E86" s="17">
        <f>IF(F3="1",SUMIF(Data!A:A,'28'!$A$2,Data!ER:ER),0)</f>
        <v>136234</v>
      </c>
      <c r="F86" s="21">
        <f t="shared" si="4"/>
        <v>3.36</v>
      </c>
    </row>
    <row r="87" spans="1:6" ht="14.25" customHeight="1" x14ac:dyDescent="0.2">
      <c r="A87" s="19">
        <v>21</v>
      </c>
      <c r="B87" s="181" t="s">
        <v>461</v>
      </c>
      <c r="C87" s="182"/>
      <c r="D87" s="14">
        <f t="shared" si="5"/>
        <v>37624</v>
      </c>
      <c r="E87" s="17">
        <f>IF(F3="1",SUMIF(Data!A:A,'28'!$A$2,Data!ES:ES),0)</f>
        <v>198521</v>
      </c>
      <c r="F87" s="21">
        <f t="shared" si="4"/>
        <v>5.28</v>
      </c>
    </row>
    <row r="88" spans="1:6" x14ac:dyDescent="0.2">
      <c r="A88" s="19">
        <v>22</v>
      </c>
      <c r="B88" s="181" t="s">
        <v>19</v>
      </c>
      <c r="C88" s="182"/>
      <c r="D88" s="14">
        <f t="shared" si="5"/>
        <v>0</v>
      </c>
      <c r="E88" s="17">
        <f>IF(F3="1",SUMIF(Data!A:A,'28'!$A$2,Data!ET:ET),0)</f>
        <v>0</v>
      </c>
      <c r="F88" s="21" t="str">
        <f t="shared" si="4"/>
        <v/>
      </c>
    </row>
    <row r="89" spans="1:6" x14ac:dyDescent="0.2">
      <c r="A89" s="19">
        <v>23</v>
      </c>
      <c r="B89" s="181" t="s">
        <v>20</v>
      </c>
      <c r="C89" s="182"/>
      <c r="D89" s="14">
        <f t="shared" si="5"/>
        <v>60384</v>
      </c>
      <c r="E89" s="17">
        <f>IF(F3="1",SUMIF(Data!A:A,'28'!$A$2,Data!EU:EU),0)</f>
        <v>396855</v>
      </c>
      <c r="F89" s="21">
        <f t="shared" si="4"/>
        <v>6.57</v>
      </c>
    </row>
    <row r="90" spans="1:6" x14ac:dyDescent="0.2">
      <c r="A90" s="19">
        <v>24</v>
      </c>
      <c r="B90" s="181" t="s">
        <v>21</v>
      </c>
      <c r="C90" s="182"/>
      <c r="D90" s="14">
        <f t="shared" si="5"/>
        <v>94920</v>
      </c>
      <c r="E90" s="17">
        <f>IF(F3="1",SUMIF(Data!A:A,'28'!$A$2,Data!EV:EV),0)</f>
        <v>180521</v>
      </c>
      <c r="F90" s="21">
        <f t="shared" si="4"/>
        <v>1.9</v>
      </c>
    </row>
    <row r="91" spans="1:6" x14ac:dyDescent="0.2">
      <c r="A91" s="19">
        <v>25</v>
      </c>
      <c r="B91" s="181" t="s">
        <v>22</v>
      </c>
      <c r="C91" s="182"/>
      <c r="D91" s="14">
        <f t="shared" si="5"/>
        <v>328510</v>
      </c>
      <c r="E91" s="17">
        <f>IF(F3="1",SUMIF(Data!A:A,'28'!$A$2,Data!EW:EW),0)</f>
        <v>839893</v>
      </c>
      <c r="F91" s="21">
        <f t="shared" si="4"/>
        <v>2.56</v>
      </c>
    </row>
    <row r="92" spans="1:6" x14ac:dyDescent="0.2">
      <c r="A92" s="19">
        <v>26</v>
      </c>
      <c r="B92" s="181" t="s">
        <v>23</v>
      </c>
      <c r="C92" s="182"/>
      <c r="D92" s="14">
        <f t="shared" si="5"/>
        <v>119664</v>
      </c>
      <c r="E92" s="17">
        <f>IF(F3="1",SUMIF(Data!A:A,'28'!$A$2,Data!EX:EX),0)</f>
        <v>442401</v>
      </c>
      <c r="F92" s="21">
        <f t="shared" si="4"/>
        <v>3.7</v>
      </c>
    </row>
    <row r="93" spans="1:6" x14ac:dyDescent="0.2">
      <c r="A93" s="19">
        <v>28</v>
      </c>
      <c r="B93" s="181" t="s">
        <v>24</v>
      </c>
      <c r="C93" s="182"/>
      <c r="D93" s="14">
        <f t="shared" si="5"/>
        <v>0</v>
      </c>
      <c r="E93" s="17">
        <f>IF(F3="1",SUMIF(Data!A:A,'28'!$A$2,Data!EZ:EZ),0)</f>
        <v>0</v>
      </c>
      <c r="F93" s="21" t="str">
        <f t="shared" si="4"/>
        <v/>
      </c>
    </row>
    <row r="94" spans="1:6" ht="15.75" customHeight="1" thickBot="1" x14ac:dyDescent="0.25">
      <c r="A94" s="22">
        <v>29</v>
      </c>
      <c r="B94" s="183" t="s">
        <v>25</v>
      </c>
      <c r="C94" s="184"/>
      <c r="D94" s="23">
        <f t="shared" si="5"/>
        <v>0</v>
      </c>
      <c r="E94" s="24">
        <f>IF(F3="1",SUMIF(Data!A:A,'28'!$A$2,Data!FA:FA),0)</f>
        <v>0</v>
      </c>
      <c r="F94" s="25" t="str">
        <f t="shared" si="4"/>
        <v/>
      </c>
    </row>
    <row r="95" spans="1:6" x14ac:dyDescent="0.2">
      <c r="B95" s="30" t="s">
        <v>35</v>
      </c>
      <c r="C95" s="30"/>
      <c r="D95" s="59">
        <f>SUM(D67:D94)</f>
        <v>2346353</v>
      </c>
      <c r="E95" s="31">
        <f>SUM(E67:E94)</f>
        <v>6915966</v>
      </c>
      <c r="F95" s="32">
        <f t="shared" si="4"/>
        <v>2.95</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IF(F3="1",SUMIF(Data!A:A,'28'!$A$2,Data!AH:AH),0)</f>
        <v>2542238</v>
      </c>
      <c r="F98" s="20">
        <f>IF(OR(E98=0,E98=0),"",ROUND(E98/$D$105,2))</f>
        <v>1.08</v>
      </c>
    </row>
    <row r="99" spans="2:6" x14ac:dyDescent="0.2">
      <c r="B99" s="187" t="s">
        <v>31</v>
      </c>
      <c r="C99" s="188"/>
      <c r="D99" s="36"/>
      <c r="E99" s="17">
        <f>IF(F3="1",SUMIF(Data!A:A,'28'!$A$2,Data!AI:AI),0)</f>
        <v>1514715</v>
      </c>
      <c r="F99" s="21">
        <f t="shared" ref="F99:F104" si="6">IF(OR(E99=0,E99=0),"",ROUND(E99/$D$105,2))</f>
        <v>0.65</v>
      </c>
    </row>
    <row r="100" spans="2:6" x14ac:dyDescent="0.2">
      <c r="B100" s="187" t="s">
        <v>1078</v>
      </c>
      <c r="C100" s="188"/>
      <c r="D100" s="36"/>
      <c r="E100" s="17">
        <f>IF(F3="1",SUMIF(Data!A:A,'28'!$A$2,Data!AJ:AJ),0)</f>
        <v>553232</v>
      </c>
      <c r="F100" s="21">
        <f t="shared" si="6"/>
        <v>0.24</v>
      </c>
    </row>
    <row r="101" spans="2:6" x14ac:dyDescent="0.2">
      <c r="B101" s="187" t="s">
        <v>1079</v>
      </c>
      <c r="C101" s="188"/>
      <c r="D101" s="36"/>
      <c r="E101" s="17">
        <f>IF(F3="1",SUMIF(Data!A:A,'28'!$A$2,Data!AK:AK),0)</f>
        <v>2412743</v>
      </c>
      <c r="F101" s="21">
        <f t="shared" si="6"/>
        <v>1.03</v>
      </c>
    </row>
    <row r="102" spans="2:6" x14ac:dyDescent="0.2">
      <c r="B102" s="187" t="s">
        <v>1080</v>
      </c>
      <c r="C102" s="188"/>
      <c r="D102" s="36"/>
      <c r="E102" s="17">
        <f>IF(F3="1",SUMIF(Data!A:A,'28'!$A$2,Data!AL:AL),0)</f>
        <v>276591</v>
      </c>
      <c r="F102" s="21">
        <f t="shared" si="6"/>
        <v>0.12</v>
      </c>
    </row>
    <row r="103" spans="2:6" x14ac:dyDescent="0.2">
      <c r="B103" s="189" t="s">
        <v>34</v>
      </c>
      <c r="C103" s="190"/>
      <c r="D103" s="36"/>
      <c r="E103" s="17">
        <f>IF(F3="1",SUMIF(Data!A:A,'28'!$A$2,Data!AM:AM),0)</f>
        <v>0</v>
      </c>
      <c r="F103" s="21" t="str">
        <f t="shared" si="6"/>
        <v/>
      </c>
    </row>
    <row r="104" spans="2:6" ht="15.75" customHeight="1" thickBot="1" x14ac:dyDescent="0.25">
      <c r="B104" s="179" t="s">
        <v>29</v>
      </c>
      <c r="C104" s="180"/>
      <c r="D104" s="37"/>
      <c r="E104" s="24">
        <f>IF(F3="1",SUMIF(Data!A:A,'28'!$A$2,Data!Q:Q),0)</f>
        <v>1536338</v>
      </c>
      <c r="F104" s="25">
        <f t="shared" si="6"/>
        <v>0.65</v>
      </c>
    </row>
    <row r="105" spans="2:6" x14ac:dyDescent="0.2">
      <c r="B105" s="30" t="s">
        <v>35</v>
      </c>
      <c r="C105" s="30"/>
      <c r="D105" s="34">
        <f>D95</f>
        <v>2346353</v>
      </c>
      <c r="E105" s="31">
        <f>SUM(E98:E104)</f>
        <v>8835857</v>
      </c>
      <c r="F105" s="32">
        <f>IF($D$105=0,"",ROUND(E105/$D$105,2))</f>
        <v>3.77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6915966</v>
      </c>
      <c r="D109" s="15">
        <f>IF(F3="1",SUMIF(Data!$A:$A,$A$2,Data!HJ:HJ),0)</f>
        <v>0</v>
      </c>
      <c r="E109" s="15">
        <f>IF(F3="1",SUMIF(Data!$A:$A,$A$2,Data!IN:IN),0)</f>
        <v>0</v>
      </c>
      <c r="F109" s="47">
        <f>SUM(C109:E109)</f>
        <v>6915966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276591</v>
      </c>
      <c r="F116" s="48">
        <f t="shared" si="7"/>
        <v>276591</v>
      </c>
    </row>
    <row r="117" spans="1:6" ht="15" thickBot="1" x14ac:dyDescent="0.25">
      <c r="B117" s="43" t="s">
        <v>933</v>
      </c>
      <c r="C117" s="52"/>
      <c r="D117" s="52">
        <f>IF(F3="1",SUMIF(Data!A:A,$A$2,Data!Q:Q),0)</f>
        <v>1536338</v>
      </c>
      <c r="E117" s="52"/>
      <c r="F117" s="49">
        <f>SUM(C117:E117)</f>
        <v>1536338</v>
      </c>
    </row>
    <row r="118" spans="1:6" x14ac:dyDescent="0.2">
      <c r="B118" s="13" t="s">
        <v>35</v>
      </c>
      <c r="C118" s="4">
        <f>SUM(C109:C116)</f>
        <v>6915966</v>
      </c>
      <c r="D118" s="4">
        <f>SUM(D109:D116)</f>
        <v>0</v>
      </c>
      <c r="E118" s="4">
        <f>SUM(E109:E116)</f>
        <v>276591</v>
      </c>
      <c r="F118" s="4">
        <f>SUM(F109:F116)</f>
        <v>7192557</v>
      </c>
    </row>
    <row r="119" spans="1:6" ht="15" thickBot="1" x14ac:dyDescent="0.25"/>
    <row r="120" spans="1:6" ht="15" thickBot="1" x14ac:dyDescent="0.25">
      <c r="B120" s="55" t="s">
        <v>934</v>
      </c>
      <c r="C120" s="53"/>
      <c r="D120" s="53"/>
      <c r="E120" s="53">
        <f>IF(F3="1",SUMIF(Data!A:A,'28'!$A$2,Data!AM:AM),0)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384</v>
      </c>
      <c r="B2" s="58" t="str">
        <f>VLOOKUP(A2,Data!A:G,7,0)</f>
        <v>Navarro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9124</v>
      </c>
      <c r="E5" s="15">
        <f>E36+E67+IFERROR($E$105/$D$105*D5,0)</f>
        <v>76739.16745279319</v>
      </c>
      <c r="F5" s="20">
        <f>IF(OR(D5=0,E5=0),"",ROUND(E5/D5,2))</f>
        <v>8.41</v>
      </c>
    </row>
    <row r="6" spans="1:6" x14ac:dyDescent="0.2">
      <c r="A6" s="19">
        <v>2</v>
      </c>
      <c r="B6" s="181" t="s">
        <v>1</v>
      </c>
      <c r="C6" s="182"/>
      <c r="D6" s="14">
        <f t="shared" ref="D6:D32" si="0">D37</f>
        <v>18992</v>
      </c>
      <c r="E6" s="17">
        <f t="shared" ref="E6:E32" si="1">E37+E68+IFERROR($E$105/$D$105*D6,0)</f>
        <v>109686.74487762473</v>
      </c>
      <c r="F6" s="21">
        <f t="shared" ref="F6:F33" si="2">IF(OR(D6=0,E6=0),"",ROUND(E6/D6,2))</f>
        <v>5.78</v>
      </c>
    </row>
    <row r="7" spans="1:6" ht="14.25" customHeight="1" x14ac:dyDescent="0.2">
      <c r="A7" s="19">
        <v>3</v>
      </c>
      <c r="B7" s="181" t="s">
        <v>2</v>
      </c>
      <c r="C7" s="182"/>
      <c r="D7" s="14">
        <f t="shared" si="0"/>
        <v>228992</v>
      </c>
      <c r="E7" s="17">
        <f t="shared" si="1"/>
        <v>1123539.9466626497</v>
      </c>
      <c r="F7" s="21">
        <f t="shared" si="2"/>
        <v>4.91</v>
      </c>
    </row>
    <row r="8" spans="1:6" ht="14.25" customHeight="1" x14ac:dyDescent="0.2">
      <c r="A8" s="19">
        <v>4</v>
      </c>
      <c r="B8" s="181" t="s">
        <v>3</v>
      </c>
      <c r="C8" s="182"/>
      <c r="D8" s="14">
        <f t="shared" si="0"/>
        <v>241678</v>
      </c>
      <c r="E8" s="17">
        <f t="shared" si="1"/>
        <v>1178451.1683095298</v>
      </c>
      <c r="F8" s="21">
        <f t="shared" si="2"/>
        <v>4.88</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26096</v>
      </c>
      <c r="E10" s="17">
        <f t="shared" si="1"/>
        <v>221902.56267515244</v>
      </c>
      <c r="F10" s="21">
        <f t="shared" si="2"/>
        <v>8.5</v>
      </c>
    </row>
    <row r="11" spans="1:6" x14ac:dyDescent="0.2">
      <c r="A11" s="19">
        <v>7</v>
      </c>
      <c r="B11" s="181" t="s">
        <v>6</v>
      </c>
      <c r="C11" s="182"/>
      <c r="D11" s="14">
        <f t="shared" si="0"/>
        <v>235682</v>
      </c>
      <c r="E11" s="17">
        <f t="shared" si="1"/>
        <v>1166710.6492338013</v>
      </c>
      <c r="F11" s="21">
        <f t="shared" si="2"/>
        <v>4.95</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62512</v>
      </c>
      <c r="E13" s="17">
        <f t="shared" si="1"/>
        <v>268994.07012374041</v>
      </c>
      <c r="F13" s="21">
        <f t="shared" si="2"/>
        <v>4.3</v>
      </c>
    </row>
    <row r="14" spans="1:6" x14ac:dyDescent="0.2">
      <c r="A14" s="19">
        <v>10</v>
      </c>
      <c r="B14" s="181" t="s">
        <v>9</v>
      </c>
      <c r="C14" s="182"/>
      <c r="D14" s="14">
        <f t="shared" si="0"/>
        <v>896</v>
      </c>
      <c r="E14" s="17">
        <f t="shared" si="1"/>
        <v>11611.41846094944</v>
      </c>
      <c r="F14" s="21">
        <f t="shared" si="2"/>
        <v>12.96</v>
      </c>
    </row>
    <row r="15" spans="1:6" x14ac:dyDescent="0.2">
      <c r="A15" s="19">
        <v>11</v>
      </c>
      <c r="B15" s="181" t="s">
        <v>10</v>
      </c>
      <c r="C15" s="182"/>
      <c r="D15" s="14">
        <f t="shared" si="0"/>
        <v>10641</v>
      </c>
      <c r="E15" s="17">
        <f t="shared" si="1"/>
        <v>93518.258753306902</v>
      </c>
      <c r="F15" s="21">
        <f t="shared" si="2"/>
        <v>8.7899999999999991</v>
      </c>
    </row>
    <row r="16" spans="1:6" ht="14.25" customHeight="1" x14ac:dyDescent="0.2">
      <c r="A16" s="19">
        <v>12</v>
      </c>
      <c r="B16" s="181" t="s">
        <v>11</v>
      </c>
      <c r="C16" s="182"/>
      <c r="D16" s="14">
        <f t="shared" si="0"/>
        <v>453226</v>
      </c>
      <c r="E16" s="17">
        <f t="shared" si="1"/>
        <v>2264214.0618105703</v>
      </c>
      <c r="F16" s="21">
        <f t="shared" si="2"/>
        <v>5</v>
      </c>
    </row>
    <row r="17" spans="1:6" x14ac:dyDescent="0.2">
      <c r="A17" s="19">
        <v>13</v>
      </c>
      <c r="B17" s="181" t="s">
        <v>12</v>
      </c>
      <c r="C17" s="182"/>
      <c r="D17" s="14">
        <f t="shared" si="0"/>
        <v>14638</v>
      </c>
      <c r="E17" s="17">
        <f t="shared" si="1"/>
        <v>66814.383293948544</v>
      </c>
      <c r="F17" s="21">
        <f t="shared" si="2"/>
        <v>4.5599999999999996</v>
      </c>
    </row>
    <row r="18" spans="1:6" ht="14.25" customHeight="1" x14ac:dyDescent="0.2">
      <c r="A18" s="19">
        <v>14</v>
      </c>
      <c r="B18" s="181" t="s">
        <v>464</v>
      </c>
      <c r="C18" s="182"/>
      <c r="D18" s="14">
        <f t="shared" si="0"/>
        <v>68648</v>
      </c>
      <c r="E18" s="17">
        <f t="shared" si="1"/>
        <v>709718.62333399244</v>
      </c>
      <c r="F18" s="21">
        <f t="shared" si="2"/>
        <v>10.34</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75955</v>
      </c>
      <c r="E20" s="17">
        <f t="shared" si="1"/>
        <v>441236.34062657889</v>
      </c>
      <c r="F20" s="21">
        <f t="shared" si="2"/>
        <v>5.81</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111360</v>
      </c>
      <c r="E22" s="17">
        <f t="shared" si="1"/>
        <v>675572.00871800189</v>
      </c>
      <c r="F22" s="21">
        <f t="shared" si="2"/>
        <v>6.07</v>
      </c>
    </row>
    <row r="23" spans="1:6" x14ac:dyDescent="0.2">
      <c r="A23" s="19">
        <v>19</v>
      </c>
      <c r="B23" s="181" t="s">
        <v>17</v>
      </c>
      <c r="C23" s="182"/>
      <c r="D23" s="14">
        <f t="shared" si="0"/>
        <v>267500</v>
      </c>
      <c r="E23" s="17">
        <f t="shared" si="1"/>
        <v>1276223.6498928294</v>
      </c>
      <c r="F23" s="21">
        <f t="shared" si="2"/>
        <v>4.7699999999999996</v>
      </c>
    </row>
    <row r="24" spans="1:6" x14ac:dyDescent="0.2">
      <c r="A24" s="19">
        <v>20</v>
      </c>
      <c r="B24" s="181" t="s">
        <v>18</v>
      </c>
      <c r="C24" s="182"/>
      <c r="D24" s="14">
        <f t="shared" si="0"/>
        <v>1350</v>
      </c>
      <c r="E24" s="17">
        <f t="shared" si="1"/>
        <v>3597.1148686180181</v>
      </c>
      <c r="F24" s="21">
        <f t="shared" si="2"/>
        <v>2.66</v>
      </c>
    </row>
    <row r="25" spans="1:6" ht="14.25" customHeight="1" x14ac:dyDescent="0.2">
      <c r="A25" s="19">
        <v>21</v>
      </c>
      <c r="B25" s="181" t="s">
        <v>461</v>
      </c>
      <c r="C25" s="182"/>
      <c r="D25" s="14">
        <f t="shared" si="0"/>
        <v>43880</v>
      </c>
      <c r="E25" s="17">
        <f t="shared" si="1"/>
        <v>291082.55587774713</v>
      </c>
      <c r="F25" s="21">
        <f t="shared" si="2"/>
        <v>6.63</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106416</v>
      </c>
      <c r="E27" s="17">
        <f t="shared" si="1"/>
        <v>621747.57471026294</v>
      </c>
      <c r="F27" s="21">
        <f t="shared" si="2"/>
        <v>5.84</v>
      </c>
    </row>
    <row r="28" spans="1:6" x14ac:dyDescent="0.2">
      <c r="A28" s="19">
        <v>24</v>
      </c>
      <c r="B28" s="181" t="s">
        <v>21</v>
      </c>
      <c r="C28" s="182"/>
      <c r="D28" s="14">
        <f t="shared" si="0"/>
        <v>122692</v>
      </c>
      <c r="E28" s="17">
        <f t="shared" si="1"/>
        <v>661609.45737813471</v>
      </c>
      <c r="F28" s="21">
        <f t="shared" si="2"/>
        <v>5.39</v>
      </c>
    </row>
    <row r="29" spans="1:6" x14ac:dyDescent="0.2">
      <c r="A29" s="19">
        <v>25</v>
      </c>
      <c r="B29" s="181" t="s">
        <v>22</v>
      </c>
      <c r="C29" s="182"/>
      <c r="D29" s="14">
        <f t="shared" si="0"/>
        <v>326962</v>
      </c>
      <c r="E29" s="17">
        <f t="shared" si="1"/>
        <v>1539188.9049430254</v>
      </c>
      <c r="F29" s="21">
        <f t="shared" si="2"/>
        <v>4.71</v>
      </c>
    </row>
    <row r="30" spans="1:6" x14ac:dyDescent="0.2">
      <c r="A30" s="19">
        <v>26</v>
      </c>
      <c r="B30" s="181" t="s">
        <v>23</v>
      </c>
      <c r="C30" s="182"/>
      <c r="D30" s="14">
        <f t="shared" si="0"/>
        <v>121968</v>
      </c>
      <c r="E30" s="17">
        <f t="shared" si="1"/>
        <v>770173.33799674246</v>
      </c>
      <c r="F30" s="21">
        <f t="shared" si="2"/>
        <v>6.31</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2549208</v>
      </c>
      <c r="E33" s="31">
        <f>SUM(E5:E32)</f>
        <v>13572331.999999998</v>
      </c>
      <c r="F33" s="32">
        <f t="shared" si="2"/>
        <v>5.32</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IF(F3="1",SUMIF(Data!A:A,'29'!$A$2,Data!CU:CU),0)</f>
        <v>9124</v>
      </c>
      <c r="E36" s="15">
        <f>IF(F3="1",SUMIF(Data!$A:$A,$A$2,Data!IO:IO),0)</f>
        <v>6158</v>
      </c>
      <c r="F36" s="20">
        <f t="shared" ref="F36:F64" si="3">IF(OR(D36=0,E36=0),"",ROUND(E36/D36,2))</f>
        <v>0.67</v>
      </c>
    </row>
    <row r="37" spans="1:6" x14ac:dyDescent="0.2">
      <c r="A37" s="19">
        <v>2</v>
      </c>
      <c r="B37" s="181" t="s">
        <v>1</v>
      </c>
      <c r="C37" s="182"/>
      <c r="D37" s="14">
        <f>IF(F3="1",SUMIF(Data!A:A,'29'!$A$2,Data!CV:CV),0)</f>
        <v>18992</v>
      </c>
      <c r="E37" s="17">
        <f>IF(F3="1",SUMIF(Data!$A:$A,$A$2,Data!IP:IP),0)</f>
        <v>12817</v>
      </c>
      <c r="F37" s="21">
        <f t="shared" si="3"/>
        <v>0.67</v>
      </c>
    </row>
    <row r="38" spans="1:6" ht="14.25" customHeight="1" x14ac:dyDescent="0.2">
      <c r="A38" s="19">
        <v>3</v>
      </c>
      <c r="B38" s="181" t="s">
        <v>2</v>
      </c>
      <c r="C38" s="182"/>
      <c r="D38" s="14">
        <f>IF(F3="1",SUMIF(Data!A:A,'29'!$A$2,Data!CW:CW),0)</f>
        <v>228992</v>
      </c>
      <c r="E38" s="17">
        <f>IF($F$3="1",SUMIF(Data!$A:$A,$A$2,Data!IQ:IQ),0)</f>
        <v>44580</v>
      </c>
      <c r="F38" s="21">
        <f t="shared" si="3"/>
        <v>0.19</v>
      </c>
    </row>
    <row r="39" spans="1:6" ht="14.25" customHeight="1" x14ac:dyDescent="0.2">
      <c r="A39" s="19">
        <v>4</v>
      </c>
      <c r="B39" s="181" t="s">
        <v>3</v>
      </c>
      <c r="C39" s="182"/>
      <c r="D39" s="14">
        <f>IF(F3="1",SUMIF(Data!A:A,'29'!$A$2,Data!CX:CX),0)</f>
        <v>241678</v>
      </c>
      <c r="E39" s="17">
        <f>IF($F$3="1",SUMIF(Data!$A:$A,$A$2,Data!IR:IR),0)</f>
        <v>31657</v>
      </c>
      <c r="F39" s="21">
        <f t="shared" si="3"/>
        <v>0.13</v>
      </c>
    </row>
    <row r="40" spans="1:6" x14ac:dyDescent="0.2">
      <c r="A40" s="19">
        <v>5</v>
      </c>
      <c r="B40" s="181" t="s">
        <v>4</v>
      </c>
      <c r="C40" s="182"/>
      <c r="D40" s="14">
        <f>IF(F3="1",SUMIF(Data!A:A,'29'!$A$2,Data!CY:CY),0)</f>
        <v>0</v>
      </c>
      <c r="E40" s="17">
        <f>IF($F$3="1",SUMIF(Data!$A:$A,$A$2,Data!IS:IS),0)</f>
        <v>0</v>
      </c>
      <c r="F40" s="21" t="str">
        <f t="shared" si="3"/>
        <v/>
      </c>
    </row>
    <row r="41" spans="1:6" x14ac:dyDescent="0.2">
      <c r="A41" s="19">
        <v>6</v>
      </c>
      <c r="B41" s="181" t="s">
        <v>5</v>
      </c>
      <c r="C41" s="182"/>
      <c r="D41" s="14">
        <f>IF(F3="1",SUMIF(Data!A:A,'29'!$A$2,Data!CZ:CZ),0)</f>
        <v>26096</v>
      </c>
      <c r="E41" s="17">
        <f>IF($F$3="1",SUMIF(Data!$A:$A,$A$2,Data!IT:IT),0)</f>
        <v>103899</v>
      </c>
      <c r="F41" s="21">
        <f t="shared" si="3"/>
        <v>3.98</v>
      </c>
    </row>
    <row r="42" spans="1:6" x14ac:dyDescent="0.2">
      <c r="A42" s="19">
        <v>7</v>
      </c>
      <c r="B42" s="181" t="s">
        <v>6</v>
      </c>
      <c r="C42" s="182"/>
      <c r="D42" s="14">
        <f>IF(F3="1",SUMIF(Data!A:A,'29'!$A$2,Data!DA:DA),0)</f>
        <v>235682</v>
      </c>
      <c r="E42" s="17">
        <f>IF($F$3="1",SUMIF(Data!$A:$A,$A$2,Data!IU:IU),0)</f>
        <v>57010</v>
      </c>
      <c r="F42" s="21">
        <f t="shared" si="3"/>
        <v>0.24</v>
      </c>
    </row>
    <row r="43" spans="1:6" x14ac:dyDescent="0.2">
      <c r="A43" s="19">
        <v>8</v>
      </c>
      <c r="B43" s="181" t="s">
        <v>7</v>
      </c>
      <c r="C43" s="182"/>
      <c r="D43" s="14">
        <f>IF(F3="1",SUMIF(Data!A:A,'29'!$A$2,Data!DB:DB),0)</f>
        <v>0</v>
      </c>
      <c r="E43" s="17">
        <f>IF($F$3="1",SUMIF(Data!$A:$A,$A$2,Data!IV:IV),0)</f>
        <v>0</v>
      </c>
      <c r="F43" s="21" t="str">
        <f t="shared" si="3"/>
        <v/>
      </c>
    </row>
    <row r="44" spans="1:6" x14ac:dyDescent="0.2">
      <c r="A44" s="19">
        <v>9</v>
      </c>
      <c r="B44" s="181" t="s">
        <v>8</v>
      </c>
      <c r="C44" s="182"/>
      <c r="D44" s="14">
        <f>IF(F3="1",SUMIF(Data!A:A,'29'!$A$2,Data!DC:DC),0)</f>
        <v>62512</v>
      </c>
      <c r="E44" s="17">
        <f>IF($F$3="1",SUMIF(Data!$A:$A,$A$2,Data!IW:IW),0)</f>
        <v>3380</v>
      </c>
      <c r="F44" s="21">
        <f t="shared" si="3"/>
        <v>0.05</v>
      </c>
    </row>
    <row r="45" spans="1:6" x14ac:dyDescent="0.2">
      <c r="A45" s="19">
        <v>10</v>
      </c>
      <c r="B45" s="181" t="s">
        <v>9</v>
      </c>
      <c r="C45" s="182"/>
      <c r="D45" s="14">
        <f>IF(F3="1",SUMIF(Data!A:A,'29'!$A$2,Data!DD:DD),0)</f>
        <v>896</v>
      </c>
      <c r="E45" s="17">
        <f>IF($F$3="1",SUMIF(Data!$A:$A,$A$2,Data!IX:IX),0)</f>
        <v>0</v>
      </c>
      <c r="F45" s="21" t="str">
        <f t="shared" si="3"/>
        <v/>
      </c>
    </row>
    <row r="46" spans="1:6" x14ac:dyDescent="0.2">
      <c r="A46" s="19">
        <v>11</v>
      </c>
      <c r="B46" s="181" t="s">
        <v>10</v>
      </c>
      <c r="C46" s="182"/>
      <c r="D46" s="14">
        <f>IF(F3="1",SUMIF(Data!A:A,'29'!$A$2,Data!DE:DE),0)</f>
        <v>10641</v>
      </c>
      <c r="E46" s="17">
        <f>IF($F$3="1",SUMIF(Data!$A:$A,$A$2,Data!IY:IY),0)</f>
        <v>9346</v>
      </c>
      <c r="F46" s="21">
        <f t="shared" si="3"/>
        <v>0.88</v>
      </c>
    </row>
    <row r="47" spans="1:6" ht="14.25" customHeight="1" x14ac:dyDescent="0.2">
      <c r="A47" s="19">
        <v>12</v>
      </c>
      <c r="B47" s="181" t="s">
        <v>11</v>
      </c>
      <c r="C47" s="182"/>
      <c r="D47" s="14">
        <f>IF(F3="1",SUMIF(Data!A:A,'29'!$A$2,Data!DF:DF),0)</f>
        <v>453226</v>
      </c>
      <c r="E47" s="17">
        <f>IF($F$3="1",SUMIF(Data!$A:$A,$A$2,Data!IZ:IZ),0)</f>
        <v>54626</v>
      </c>
      <c r="F47" s="21">
        <f t="shared" si="3"/>
        <v>0.12</v>
      </c>
    </row>
    <row r="48" spans="1:6" x14ac:dyDescent="0.2">
      <c r="A48" s="19">
        <v>13</v>
      </c>
      <c r="B48" s="181" t="s">
        <v>12</v>
      </c>
      <c r="C48" s="182"/>
      <c r="D48" s="14">
        <f>IF(F3="1",SUMIF(Data!A:A,'29'!$A$2,Data!DG:DG),0)</f>
        <v>14638</v>
      </c>
      <c r="E48" s="17">
        <f>IF($F$3="1",SUMIF(Data!$A:$A,$A$2,Data!JA:JA),0)</f>
        <v>555</v>
      </c>
      <c r="F48" s="21">
        <f t="shared" si="3"/>
        <v>0.04</v>
      </c>
    </row>
    <row r="49" spans="1:6" ht="14.25" customHeight="1" x14ac:dyDescent="0.2">
      <c r="A49" s="19">
        <v>14</v>
      </c>
      <c r="B49" s="181" t="s">
        <v>464</v>
      </c>
      <c r="C49" s="182"/>
      <c r="D49" s="14">
        <f>IF(F3="1",SUMIF(Data!A:A,'29'!$A$2,Data!DH:DH),0)</f>
        <v>68648</v>
      </c>
      <c r="E49" s="17">
        <f>IF($F$3="1",SUMIF(Data!$A:$A,$A$2,Data!JB:JB),0)</f>
        <v>40605</v>
      </c>
      <c r="F49" s="21">
        <f t="shared" si="3"/>
        <v>0.59</v>
      </c>
    </row>
    <row r="50" spans="1:6" x14ac:dyDescent="0.2">
      <c r="A50" s="19">
        <v>15</v>
      </c>
      <c r="B50" s="181" t="s">
        <v>13</v>
      </c>
      <c r="C50" s="182"/>
      <c r="D50" s="14">
        <f>IF(F3="1",SUMIF(Data!A:A,'29'!$A$2,Data!DI:DI),0)</f>
        <v>0</v>
      </c>
      <c r="E50" s="17">
        <f>IF($F$3="1",SUMIF(Data!$A:$A,$A$2,Data!JC:JC),0)</f>
        <v>0</v>
      </c>
      <c r="F50" s="21" t="str">
        <f t="shared" si="3"/>
        <v/>
      </c>
    </row>
    <row r="51" spans="1:6" x14ac:dyDescent="0.2">
      <c r="A51" s="19">
        <v>16</v>
      </c>
      <c r="B51" s="181" t="s">
        <v>14</v>
      </c>
      <c r="C51" s="182"/>
      <c r="D51" s="14">
        <f>IF(F3="1",SUMIF(Data!A:A,'29'!$A$2,Data!DJ:DJ),0)</f>
        <v>75955</v>
      </c>
      <c r="E51" s="17">
        <f>IF($F$3="1",SUMIF(Data!$A:$A,$A$2,Data!JD:JD),0)</f>
        <v>23438</v>
      </c>
      <c r="F51" s="21">
        <f t="shared" si="3"/>
        <v>0.31</v>
      </c>
    </row>
    <row r="52" spans="1:6" x14ac:dyDescent="0.2">
      <c r="A52" s="19">
        <v>17</v>
      </c>
      <c r="B52" s="181" t="s">
        <v>15</v>
      </c>
      <c r="C52" s="182"/>
      <c r="D52" s="14">
        <f>IF(F3="1",SUMIF(Data!A:A,'29'!$A$2,Data!DK:DK),0)</f>
        <v>0</v>
      </c>
      <c r="E52" s="17">
        <f>IF($F$3="1",SUMIF(Data!$A:$A,$A$2,Data!JE:JE),0)</f>
        <v>0</v>
      </c>
      <c r="F52" s="21" t="str">
        <f t="shared" si="3"/>
        <v/>
      </c>
    </row>
    <row r="53" spans="1:6" x14ac:dyDescent="0.2">
      <c r="A53" s="19">
        <v>18</v>
      </c>
      <c r="B53" s="181" t="s">
        <v>16</v>
      </c>
      <c r="C53" s="182"/>
      <c r="D53" s="14">
        <f>IF(F3="1",SUMIF(Data!A:A,'29'!$A$2,Data!DL:DL),0)</f>
        <v>111360</v>
      </c>
      <c r="E53" s="17">
        <f>IF($F$3="1",SUMIF(Data!$A:$A,$A$2,Data!JF:JF),0)</f>
        <v>56139</v>
      </c>
      <c r="F53" s="21">
        <f t="shared" si="3"/>
        <v>0.5</v>
      </c>
    </row>
    <row r="54" spans="1:6" x14ac:dyDescent="0.2">
      <c r="A54" s="19">
        <v>19</v>
      </c>
      <c r="B54" s="181" t="s">
        <v>17</v>
      </c>
      <c r="C54" s="182"/>
      <c r="D54" s="14">
        <f>IF(F3="1",SUMIF(Data!A:A,'29'!$A$2,Data!DM:DM),0)</f>
        <v>267500</v>
      </c>
      <c r="E54" s="17">
        <f>IF($F$3="1",SUMIF(Data!$A:$A,$A$2,Data!JG:JG),0)</f>
        <v>17127</v>
      </c>
      <c r="F54" s="21">
        <f t="shared" si="3"/>
        <v>0.06</v>
      </c>
    </row>
    <row r="55" spans="1:6" x14ac:dyDescent="0.2">
      <c r="A55" s="19">
        <v>20</v>
      </c>
      <c r="B55" s="181" t="s">
        <v>18</v>
      </c>
      <c r="C55" s="182"/>
      <c r="D55" s="14">
        <f>IF(F3="1",SUMIF(Data!A:A,'29'!$A$2,Data!DN:DN),0)</f>
        <v>1350</v>
      </c>
      <c r="E55" s="17">
        <f>IF($F$3="1",SUMIF(Data!$A:$A,$A$2,Data!JH:JH),0)</f>
        <v>0</v>
      </c>
      <c r="F55" s="21" t="str">
        <f t="shared" si="3"/>
        <v/>
      </c>
    </row>
    <row r="56" spans="1:6" ht="14.25" customHeight="1" x14ac:dyDescent="0.2">
      <c r="A56" s="19">
        <v>21</v>
      </c>
      <c r="B56" s="181" t="s">
        <v>461</v>
      </c>
      <c r="C56" s="182"/>
      <c r="D56" s="14">
        <f>IF(F3="1",SUMIF(Data!A:A,'29'!$A$2,Data!DO:DO),0)</f>
        <v>43880</v>
      </c>
      <c r="E56" s="17">
        <f>IF($F$3="1",SUMIF(Data!$A:$A,$A$2,Data!JI:JI),0)</f>
        <v>31671</v>
      </c>
      <c r="F56" s="21">
        <f t="shared" si="3"/>
        <v>0.72</v>
      </c>
    </row>
    <row r="57" spans="1:6" x14ac:dyDescent="0.2">
      <c r="A57" s="19">
        <v>22</v>
      </c>
      <c r="B57" s="181" t="s">
        <v>19</v>
      </c>
      <c r="C57" s="182"/>
      <c r="D57" s="14">
        <f>IF(F3="1",SUMIF(Data!A:A,'29'!$A$2,Data!DP:DP),0)</f>
        <v>0</v>
      </c>
      <c r="E57" s="17">
        <f>IF($F$3="1",SUMIF(Data!$A:$A,$A$2,Data!JJ:JJ),0)</f>
        <v>0</v>
      </c>
      <c r="F57" s="21" t="str">
        <f t="shared" si="3"/>
        <v/>
      </c>
    </row>
    <row r="58" spans="1:6" x14ac:dyDescent="0.2">
      <c r="A58" s="19">
        <v>23</v>
      </c>
      <c r="B58" s="181" t="s">
        <v>20</v>
      </c>
      <c r="C58" s="182"/>
      <c r="D58" s="14">
        <f>IF(F3="1",SUMIF(Data!A:A,'29'!$A$2,Data!DQ:DQ),0)</f>
        <v>106416</v>
      </c>
      <c r="E58" s="17">
        <f>IF($F$3="1",SUMIF(Data!$A:$A,$A$2,Data!JK:JK),0)</f>
        <v>27190</v>
      </c>
      <c r="F58" s="21">
        <f t="shared" si="3"/>
        <v>0.26</v>
      </c>
    </row>
    <row r="59" spans="1:6" x14ac:dyDescent="0.2">
      <c r="A59" s="19">
        <v>24</v>
      </c>
      <c r="B59" s="181" t="s">
        <v>21</v>
      </c>
      <c r="C59" s="182"/>
      <c r="D59" s="14">
        <f>IF(F3="1",SUMIF(Data!A:A,'29'!$A$2,Data!DR:DR),0)</f>
        <v>122692</v>
      </c>
      <c r="E59" s="17">
        <f>IF($F$3="1",SUMIF(Data!$A:$A,$A$2,Data!JL:JL),0)</f>
        <v>42723</v>
      </c>
      <c r="F59" s="21">
        <f t="shared" si="3"/>
        <v>0.35</v>
      </c>
    </row>
    <row r="60" spans="1:6" x14ac:dyDescent="0.2">
      <c r="A60" s="19">
        <v>25</v>
      </c>
      <c r="B60" s="181" t="s">
        <v>22</v>
      </c>
      <c r="C60" s="182"/>
      <c r="D60" s="14">
        <f>IF(F3="1",SUMIF(Data!A:A,'29'!$A$2,Data!DS:DS),0)</f>
        <v>326962</v>
      </c>
      <c r="E60" s="17">
        <f>IF($F$3="1",SUMIF(Data!$A:$A,$A$2,Data!JM:JM),0)</f>
        <v>89413</v>
      </c>
      <c r="F60" s="21">
        <f t="shared" si="3"/>
        <v>0.27</v>
      </c>
    </row>
    <row r="61" spans="1:6" x14ac:dyDescent="0.2">
      <c r="A61" s="19">
        <v>26</v>
      </c>
      <c r="B61" s="181" t="s">
        <v>23</v>
      </c>
      <c r="C61" s="182"/>
      <c r="D61" s="14">
        <f>IF(F3="1",SUMIF(Data!A:A,'29'!$A$2,Data!DT:DT),0)</f>
        <v>121968</v>
      </c>
      <c r="E61" s="17">
        <f>IF($F$3="1",SUMIF(Data!$A:$A,$A$2,Data!JN:JN),0)</f>
        <v>75650</v>
      </c>
      <c r="F61" s="21">
        <f t="shared" si="3"/>
        <v>0.62</v>
      </c>
    </row>
    <row r="62" spans="1:6" x14ac:dyDescent="0.2">
      <c r="A62" s="19">
        <v>28</v>
      </c>
      <c r="B62" s="181" t="s">
        <v>24</v>
      </c>
      <c r="C62" s="182"/>
      <c r="D62" s="14">
        <f>IF(F3="1",SUMIF(Data!A:A,'29'!$A$2,Data!DV:DV),0)</f>
        <v>0</v>
      </c>
      <c r="E62" s="17">
        <f>IF($F$3="1",SUMIF(Data!$A:$A,$A$2,Data!JP:JP),0)</f>
        <v>0</v>
      </c>
      <c r="F62" s="21" t="str">
        <f t="shared" si="3"/>
        <v/>
      </c>
    </row>
    <row r="63" spans="1:6" ht="15.75" customHeight="1" thickBot="1" x14ac:dyDescent="0.25">
      <c r="A63" s="22">
        <v>29</v>
      </c>
      <c r="B63" s="183" t="s">
        <v>25</v>
      </c>
      <c r="C63" s="184"/>
      <c r="D63" s="23">
        <f>IF(F3="1",SUMIF(Data!A:A,'29'!$A$2,Data!DW:DW),0)</f>
        <v>0</v>
      </c>
      <c r="E63" s="24">
        <f>IF($F$3="1",SUMIF(Data!$A:$A,$A$2,Data!JQ:JQ),0)</f>
        <v>0</v>
      </c>
      <c r="F63" s="25" t="str">
        <f t="shared" si="3"/>
        <v/>
      </c>
    </row>
    <row r="64" spans="1:6" x14ac:dyDescent="0.2">
      <c r="B64" s="30" t="s">
        <v>35</v>
      </c>
      <c r="C64" s="30"/>
      <c r="D64" s="59">
        <f>SUM(D36:D63)</f>
        <v>2549208</v>
      </c>
      <c r="E64" s="31">
        <f>SUM(E36:E63)</f>
        <v>727984</v>
      </c>
      <c r="F64" s="32">
        <f t="shared" si="3"/>
        <v>0.28999999999999998</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9124</v>
      </c>
      <c r="E67" s="15">
        <f>IF(F3="1",SUMIF(Data!A:A,'29'!$A$2,Data!DY:DY),0)</f>
        <v>46270</v>
      </c>
      <c r="F67" s="20">
        <f t="shared" ref="F67:F95" si="4">IF(OR(D67=0,E67=0),"",ROUND(E67/D67,2))</f>
        <v>5.07</v>
      </c>
    </row>
    <row r="68" spans="1:6" x14ac:dyDescent="0.2">
      <c r="A68" s="19">
        <v>2</v>
      </c>
      <c r="B68" s="181" t="s">
        <v>1</v>
      </c>
      <c r="C68" s="182"/>
      <c r="D68" s="14">
        <f t="shared" ref="D68:D94" si="5">D37</f>
        <v>18992</v>
      </c>
      <c r="E68" s="17">
        <f>IF(F3="1",SUMIF(Data!A:A,'29'!$A$2,Data!DZ:DZ),0)</f>
        <v>46265</v>
      </c>
      <c r="F68" s="21">
        <f t="shared" si="4"/>
        <v>2.44</v>
      </c>
    </row>
    <row r="69" spans="1:6" ht="14.25" customHeight="1" x14ac:dyDescent="0.2">
      <c r="A69" s="19">
        <v>3</v>
      </c>
      <c r="B69" s="181" t="s">
        <v>2</v>
      </c>
      <c r="C69" s="182"/>
      <c r="D69" s="14">
        <f t="shared" si="5"/>
        <v>228992</v>
      </c>
      <c r="E69" s="17">
        <f>IF(F3="1",SUMIF(Data!A:A,'29'!$A$2,Data!EA:EA),0)</f>
        <v>468804</v>
      </c>
      <c r="F69" s="21">
        <f t="shared" si="4"/>
        <v>2.0499999999999998</v>
      </c>
    </row>
    <row r="70" spans="1:6" ht="14.25" customHeight="1" x14ac:dyDescent="0.2">
      <c r="A70" s="19">
        <v>4</v>
      </c>
      <c r="B70" s="181" t="s">
        <v>3</v>
      </c>
      <c r="C70" s="182"/>
      <c r="D70" s="14">
        <f t="shared" si="5"/>
        <v>241678</v>
      </c>
      <c r="E70" s="17">
        <f>IF(F3="1",SUMIF(Data!A:A,'29'!$A$2,Data!EB:EB),0)</f>
        <v>502836</v>
      </c>
      <c r="F70" s="21">
        <f t="shared" si="4"/>
        <v>2.08</v>
      </c>
    </row>
    <row r="71" spans="1:6" x14ac:dyDescent="0.2">
      <c r="A71" s="19">
        <v>5</v>
      </c>
      <c r="B71" s="181" t="s">
        <v>4</v>
      </c>
      <c r="C71" s="182"/>
      <c r="D71" s="14">
        <f t="shared" si="5"/>
        <v>0</v>
      </c>
      <c r="E71" s="17">
        <f>IF(F3="1",SUMIF(Data!A:A,'29'!$A$2,Data!EC:EC),0)</f>
        <v>0</v>
      </c>
      <c r="F71" s="21" t="str">
        <f t="shared" si="4"/>
        <v/>
      </c>
    </row>
    <row r="72" spans="1:6" x14ac:dyDescent="0.2">
      <c r="A72" s="19">
        <v>6</v>
      </c>
      <c r="B72" s="181" t="s">
        <v>5</v>
      </c>
      <c r="C72" s="182"/>
      <c r="D72" s="14">
        <f t="shared" si="5"/>
        <v>26096</v>
      </c>
      <c r="E72" s="17">
        <f>IF(F3="1",SUMIF(Data!A:A,'29'!$A$2,Data!ED:ED),0)</f>
        <v>48470</v>
      </c>
      <c r="F72" s="21">
        <f t="shared" si="4"/>
        <v>1.86</v>
      </c>
    </row>
    <row r="73" spans="1:6" x14ac:dyDescent="0.2">
      <c r="A73" s="19">
        <v>7</v>
      </c>
      <c r="B73" s="181" t="s">
        <v>6</v>
      </c>
      <c r="C73" s="182"/>
      <c r="D73" s="14">
        <f t="shared" si="5"/>
        <v>235682</v>
      </c>
      <c r="E73" s="17">
        <f>IF(F3="1",SUMIF(Data!A:A,'29'!$A$2,Data!EE:EE),0)</f>
        <v>481719</v>
      </c>
      <c r="F73" s="21">
        <f t="shared" si="4"/>
        <v>2.04</v>
      </c>
    </row>
    <row r="74" spans="1:6" x14ac:dyDescent="0.2">
      <c r="A74" s="19">
        <v>8</v>
      </c>
      <c r="B74" s="181" t="s">
        <v>7</v>
      </c>
      <c r="C74" s="182"/>
      <c r="D74" s="14">
        <f t="shared" si="5"/>
        <v>0</v>
      </c>
      <c r="E74" s="17">
        <f>IF(F3="1",SUMIF(Data!A:A,'29'!$A$2,Data!EF:EF),0)</f>
        <v>0</v>
      </c>
      <c r="F74" s="21" t="str">
        <f t="shared" si="4"/>
        <v/>
      </c>
    </row>
    <row r="75" spans="1:6" x14ac:dyDescent="0.2">
      <c r="A75" s="19">
        <v>9</v>
      </c>
      <c r="B75" s="181" t="s">
        <v>8</v>
      </c>
      <c r="C75" s="182"/>
      <c r="D75" s="14">
        <f t="shared" si="5"/>
        <v>62512</v>
      </c>
      <c r="E75" s="17">
        <f>IF(F3="1",SUMIF(Data!A:A,'29'!$A$2,Data!EG:EG),0)</f>
        <v>99049</v>
      </c>
      <c r="F75" s="21">
        <f t="shared" si="4"/>
        <v>1.58</v>
      </c>
    </row>
    <row r="76" spans="1:6" x14ac:dyDescent="0.2">
      <c r="A76" s="19">
        <v>10</v>
      </c>
      <c r="B76" s="181" t="s">
        <v>9</v>
      </c>
      <c r="C76" s="182"/>
      <c r="D76" s="14">
        <f t="shared" si="5"/>
        <v>896</v>
      </c>
      <c r="E76" s="17">
        <f>IF(F3="1",SUMIF(Data!A:A,'29'!$A$2,Data!EH:EH),0)</f>
        <v>9224</v>
      </c>
      <c r="F76" s="21">
        <f t="shared" si="4"/>
        <v>10.29</v>
      </c>
    </row>
    <row r="77" spans="1:6" x14ac:dyDescent="0.2">
      <c r="A77" s="19">
        <v>11</v>
      </c>
      <c r="B77" s="181" t="s">
        <v>10</v>
      </c>
      <c r="C77" s="182"/>
      <c r="D77" s="14">
        <f t="shared" si="5"/>
        <v>10641</v>
      </c>
      <c r="E77" s="17">
        <f>IF(F3="1",SUMIF(Data!A:A,'29'!$A$2,Data!EI:EI),0)</f>
        <v>55819</v>
      </c>
      <c r="F77" s="21">
        <f t="shared" si="4"/>
        <v>5.25</v>
      </c>
    </row>
    <row r="78" spans="1:6" ht="14.25" customHeight="1" x14ac:dyDescent="0.2">
      <c r="A78" s="19">
        <v>12</v>
      </c>
      <c r="B78" s="181" t="s">
        <v>11</v>
      </c>
      <c r="C78" s="182"/>
      <c r="D78" s="14">
        <f t="shared" si="5"/>
        <v>453226</v>
      </c>
      <c r="E78" s="17">
        <f>IF(F3="1",SUMIF(Data!A:A,'29'!$A$2,Data!EJ:EJ),0)</f>
        <v>1001954</v>
      </c>
      <c r="F78" s="21">
        <f t="shared" si="4"/>
        <v>2.21</v>
      </c>
    </row>
    <row r="79" spans="1:6" x14ac:dyDescent="0.2">
      <c r="A79" s="19">
        <v>13</v>
      </c>
      <c r="B79" s="181" t="s">
        <v>12</v>
      </c>
      <c r="C79" s="182"/>
      <c r="D79" s="14">
        <f t="shared" si="5"/>
        <v>14638</v>
      </c>
      <c r="E79" s="17">
        <f>IF(F3="1",SUMIF(Data!A:A,'29'!$A$2,Data!EK:EK),0)</f>
        <v>27256</v>
      </c>
      <c r="F79" s="21">
        <f t="shared" si="4"/>
        <v>1.86</v>
      </c>
    </row>
    <row r="80" spans="1:6" ht="14.25" customHeight="1" x14ac:dyDescent="0.2">
      <c r="A80" s="19">
        <v>14</v>
      </c>
      <c r="B80" s="181" t="s">
        <v>464</v>
      </c>
      <c r="C80" s="182"/>
      <c r="D80" s="14">
        <f t="shared" si="5"/>
        <v>68648</v>
      </c>
      <c r="E80" s="17">
        <f>IF(F3="1",SUMIF(Data!A:A,'29'!$A$2,Data!EL:EL),0)</f>
        <v>486199</v>
      </c>
      <c r="F80" s="21">
        <f t="shared" si="4"/>
        <v>7.08</v>
      </c>
    </row>
    <row r="81" spans="1:6" x14ac:dyDescent="0.2">
      <c r="A81" s="19">
        <v>15</v>
      </c>
      <c r="B81" s="181" t="s">
        <v>13</v>
      </c>
      <c r="C81" s="182"/>
      <c r="D81" s="14">
        <f t="shared" si="5"/>
        <v>0</v>
      </c>
      <c r="E81" s="17">
        <f>IF(F3="1",SUMIF(Data!A:A,'29'!$A$2,Data!EM:EM),0)</f>
        <v>0</v>
      </c>
      <c r="F81" s="21" t="str">
        <f t="shared" si="4"/>
        <v/>
      </c>
    </row>
    <row r="82" spans="1:6" x14ac:dyDescent="0.2">
      <c r="A82" s="19">
        <v>16</v>
      </c>
      <c r="B82" s="181" t="s">
        <v>14</v>
      </c>
      <c r="C82" s="182"/>
      <c r="D82" s="14">
        <f t="shared" si="5"/>
        <v>75955</v>
      </c>
      <c r="E82" s="17">
        <f>IF(F3="1",SUMIF(Data!A:A,'29'!$A$2,Data!EN:EN),0)</f>
        <v>215414</v>
      </c>
      <c r="F82" s="21">
        <f t="shared" si="4"/>
        <v>2.84</v>
      </c>
    </row>
    <row r="83" spans="1:6" x14ac:dyDescent="0.2">
      <c r="A83" s="19">
        <v>17</v>
      </c>
      <c r="B83" s="181" t="s">
        <v>15</v>
      </c>
      <c r="C83" s="182"/>
      <c r="D83" s="14">
        <f t="shared" si="5"/>
        <v>0</v>
      </c>
      <c r="E83" s="17">
        <f>IF(F3="1",SUMIF(Data!A:A,'29'!$A$2,Data!EO:EO),0)</f>
        <v>0</v>
      </c>
      <c r="F83" s="21" t="str">
        <f t="shared" si="4"/>
        <v/>
      </c>
    </row>
    <row r="84" spans="1:6" x14ac:dyDescent="0.2">
      <c r="A84" s="19">
        <v>18</v>
      </c>
      <c r="B84" s="181" t="s">
        <v>16</v>
      </c>
      <c r="C84" s="182"/>
      <c r="D84" s="14">
        <f t="shared" si="5"/>
        <v>111360</v>
      </c>
      <c r="E84" s="17">
        <f>IF(F3="1",SUMIF(Data!A:A,'29'!$A$2,Data!EP:EP),0)</f>
        <v>322711</v>
      </c>
      <c r="F84" s="21">
        <f t="shared" si="4"/>
        <v>2.9</v>
      </c>
    </row>
    <row r="85" spans="1:6" x14ac:dyDescent="0.2">
      <c r="A85" s="19">
        <v>19</v>
      </c>
      <c r="B85" s="181" t="s">
        <v>17</v>
      </c>
      <c r="C85" s="182"/>
      <c r="D85" s="14">
        <f t="shared" si="5"/>
        <v>267500</v>
      </c>
      <c r="E85" s="17">
        <f>IF(F3="1",SUMIF(Data!A:A,'29'!$A$2,Data!EQ:EQ),0)</f>
        <v>546335</v>
      </c>
      <c r="F85" s="21">
        <f t="shared" si="4"/>
        <v>2.04</v>
      </c>
    </row>
    <row r="86" spans="1:6" x14ac:dyDescent="0.2">
      <c r="A86" s="19">
        <v>20</v>
      </c>
      <c r="B86" s="181" t="s">
        <v>18</v>
      </c>
      <c r="C86" s="182"/>
      <c r="D86" s="14">
        <f t="shared" si="5"/>
        <v>1350</v>
      </c>
      <c r="E86" s="17">
        <f>IF(F3="1",SUMIF(Data!A:A,'29'!$A$2,Data!ER:ER),0)</f>
        <v>0</v>
      </c>
      <c r="F86" s="21" t="str">
        <f t="shared" si="4"/>
        <v/>
      </c>
    </row>
    <row r="87" spans="1:6" ht="14.25" customHeight="1" x14ac:dyDescent="0.2">
      <c r="A87" s="19">
        <v>21</v>
      </c>
      <c r="B87" s="181" t="s">
        <v>461</v>
      </c>
      <c r="C87" s="182"/>
      <c r="D87" s="14">
        <f t="shared" si="5"/>
        <v>43880</v>
      </c>
      <c r="E87" s="17">
        <f>IF(F3="1",SUMIF(Data!A:A,'29'!$A$2,Data!ES:ES),0)</f>
        <v>142492</v>
      </c>
      <c r="F87" s="21">
        <f t="shared" si="4"/>
        <v>3.25</v>
      </c>
    </row>
    <row r="88" spans="1:6" x14ac:dyDescent="0.2">
      <c r="A88" s="19">
        <v>22</v>
      </c>
      <c r="B88" s="181" t="s">
        <v>19</v>
      </c>
      <c r="C88" s="182"/>
      <c r="D88" s="14">
        <f t="shared" si="5"/>
        <v>0</v>
      </c>
      <c r="E88" s="17">
        <f>IF(F3="1",SUMIF(Data!A:A,'29'!$A$2,Data!ET:ET),0)</f>
        <v>0</v>
      </c>
      <c r="F88" s="21" t="str">
        <f t="shared" si="4"/>
        <v/>
      </c>
    </row>
    <row r="89" spans="1:6" x14ac:dyDescent="0.2">
      <c r="A89" s="19">
        <v>23</v>
      </c>
      <c r="B89" s="181" t="s">
        <v>20</v>
      </c>
      <c r="C89" s="182"/>
      <c r="D89" s="14">
        <f t="shared" si="5"/>
        <v>106416</v>
      </c>
      <c r="E89" s="17">
        <f>IF(F3="1",SUMIF(Data!A:A,'29'!$A$2,Data!EU:EU),0)</f>
        <v>311009</v>
      </c>
      <c r="F89" s="21">
        <f t="shared" si="4"/>
        <v>2.92</v>
      </c>
    </row>
    <row r="90" spans="1:6" x14ac:dyDescent="0.2">
      <c r="A90" s="19">
        <v>24</v>
      </c>
      <c r="B90" s="181" t="s">
        <v>21</v>
      </c>
      <c r="C90" s="182"/>
      <c r="D90" s="14">
        <f t="shared" si="5"/>
        <v>122692</v>
      </c>
      <c r="E90" s="17">
        <f>IF(F3="1",SUMIF(Data!A:A,'29'!$A$2,Data!EV:EV),0)</f>
        <v>291970</v>
      </c>
      <c r="F90" s="21">
        <f t="shared" si="4"/>
        <v>2.38</v>
      </c>
    </row>
    <row r="91" spans="1:6" x14ac:dyDescent="0.2">
      <c r="A91" s="19">
        <v>25</v>
      </c>
      <c r="B91" s="181" t="s">
        <v>22</v>
      </c>
      <c r="C91" s="182"/>
      <c r="D91" s="14">
        <f t="shared" si="5"/>
        <v>326962</v>
      </c>
      <c r="E91" s="17">
        <f>IF(F3="1",SUMIF(Data!A:A,'29'!$A$2,Data!EW:EW),0)</f>
        <v>578576</v>
      </c>
      <c r="F91" s="21">
        <f t="shared" si="4"/>
        <v>1.77</v>
      </c>
    </row>
    <row r="92" spans="1:6" x14ac:dyDescent="0.2">
      <c r="A92" s="19">
        <v>26</v>
      </c>
      <c r="B92" s="181" t="s">
        <v>23</v>
      </c>
      <c r="C92" s="182"/>
      <c r="D92" s="14">
        <f t="shared" si="5"/>
        <v>121968</v>
      </c>
      <c r="E92" s="17">
        <f>IF(F3="1",SUMIF(Data!A:A,'29'!$A$2,Data!EX:EX),0)</f>
        <v>369536</v>
      </c>
      <c r="F92" s="21">
        <f t="shared" si="4"/>
        <v>3.03</v>
      </c>
    </row>
    <row r="93" spans="1:6" x14ac:dyDescent="0.2">
      <c r="A93" s="19">
        <v>28</v>
      </c>
      <c r="B93" s="181" t="s">
        <v>24</v>
      </c>
      <c r="C93" s="182"/>
      <c r="D93" s="14">
        <f t="shared" si="5"/>
        <v>0</v>
      </c>
      <c r="E93" s="17">
        <f>IF(F3="1",SUMIF(Data!A:A,'29'!$A$2,Data!EZ:EZ),0)</f>
        <v>0</v>
      </c>
      <c r="F93" s="21" t="str">
        <f t="shared" si="4"/>
        <v/>
      </c>
    </row>
    <row r="94" spans="1:6" ht="15.75" customHeight="1" thickBot="1" x14ac:dyDescent="0.25">
      <c r="A94" s="22">
        <v>29</v>
      </c>
      <c r="B94" s="183" t="s">
        <v>25</v>
      </c>
      <c r="C94" s="184"/>
      <c r="D94" s="23">
        <f t="shared" si="5"/>
        <v>0</v>
      </c>
      <c r="E94" s="24">
        <f>IF(F3="1",SUMIF(Data!A:A,'29'!$A$2,Data!FA:FA),0)</f>
        <v>0</v>
      </c>
      <c r="F94" s="25" t="str">
        <f t="shared" si="4"/>
        <v/>
      </c>
    </row>
    <row r="95" spans="1:6" x14ac:dyDescent="0.2">
      <c r="B95" s="30" t="s">
        <v>35</v>
      </c>
      <c r="C95" s="30"/>
      <c r="D95" s="59">
        <f>SUM(D67:D94)</f>
        <v>2549208</v>
      </c>
      <c r="E95" s="31">
        <f>SUM(E67:E94)</f>
        <v>6051908</v>
      </c>
      <c r="F95" s="32">
        <f t="shared" si="4"/>
        <v>2.37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IF(F3="1",SUMIF(Data!A:A,'29'!$A$2,Data!AH:AH),0)</f>
        <v>2207219</v>
      </c>
      <c r="F98" s="20">
        <f>IF(OR(E98=0,E98=0),"",ROUND(E98/$D$105,2))</f>
        <v>0.87</v>
      </c>
    </row>
    <row r="99" spans="2:6" x14ac:dyDescent="0.2">
      <c r="B99" s="187" t="s">
        <v>31</v>
      </c>
      <c r="C99" s="188"/>
      <c r="D99" s="36"/>
      <c r="E99" s="17">
        <f>IF(F3="1",SUMIF(Data!A:A,'29'!$A$2,Data!AI:AI),0)</f>
        <v>1416578</v>
      </c>
      <c r="F99" s="21">
        <f t="shared" ref="F99:F104" si="6">IF(OR(E99=0,E99=0),"",ROUND(E99/$D$105,2))</f>
        <v>0.56000000000000005</v>
      </c>
    </row>
    <row r="100" spans="2:6" x14ac:dyDescent="0.2">
      <c r="B100" s="187" t="s">
        <v>1078</v>
      </c>
      <c r="C100" s="188"/>
      <c r="D100" s="36"/>
      <c r="E100" s="17">
        <f>IF(F3="1",SUMIF(Data!A:A,'29'!$A$2,Data!AJ:AJ),0)</f>
        <v>1087379</v>
      </c>
      <c r="F100" s="21">
        <f t="shared" si="6"/>
        <v>0.43</v>
      </c>
    </row>
    <row r="101" spans="2:6" x14ac:dyDescent="0.2">
      <c r="B101" s="187" t="s">
        <v>1079</v>
      </c>
      <c r="C101" s="188"/>
      <c r="D101" s="36"/>
      <c r="E101" s="17">
        <f>IF(F3="1",SUMIF(Data!A:A,'29'!$A$2,Data!AK:AK),0)</f>
        <v>1082608</v>
      </c>
      <c r="F101" s="21">
        <f t="shared" si="6"/>
        <v>0.42</v>
      </c>
    </row>
    <row r="102" spans="2:6" x14ac:dyDescent="0.2">
      <c r="B102" s="187" t="s">
        <v>1080</v>
      </c>
      <c r="C102" s="188"/>
      <c r="D102" s="36"/>
      <c r="E102" s="17">
        <f>IF(F3="1",SUMIF(Data!A:A,'29'!$A$2,Data!AL:AL),0)</f>
        <v>0</v>
      </c>
      <c r="F102" s="21" t="str">
        <f t="shared" si="6"/>
        <v/>
      </c>
    </row>
    <row r="103" spans="2:6" x14ac:dyDescent="0.2">
      <c r="B103" s="189" t="s">
        <v>34</v>
      </c>
      <c r="C103" s="190"/>
      <c r="D103" s="36"/>
      <c r="E103" s="17">
        <f>IF(F3="1",SUMIF(Data!A:A,'29'!$A$2,Data!AM:AM),0)</f>
        <v>0</v>
      </c>
      <c r="F103" s="21" t="str">
        <f t="shared" si="6"/>
        <v/>
      </c>
    </row>
    <row r="104" spans="2:6" ht="15.75" customHeight="1" thickBot="1" x14ac:dyDescent="0.25">
      <c r="B104" s="179" t="s">
        <v>29</v>
      </c>
      <c r="C104" s="180"/>
      <c r="D104" s="37"/>
      <c r="E104" s="24">
        <f>IF(F3="1",SUMIF(Data!A:A,'29'!$A$2,Data!Q:Q),0)</f>
        <v>998656</v>
      </c>
      <c r="F104" s="25">
        <f t="shared" si="6"/>
        <v>0.39</v>
      </c>
    </row>
    <row r="105" spans="2:6" x14ac:dyDescent="0.2">
      <c r="B105" s="30" t="s">
        <v>35</v>
      </c>
      <c r="C105" s="30"/>
      <c r="D105" s="34">
        <f>D95</f>
        <v>2549208</v>
      </c>
      <c r="E105" s="31">
        <f>SUM(E98:E104)</f>
        <v>6792440</v>
      </c>
      <c r="F105" s="32">
        <f>IF($D$105=0,"",ROUND(E105/$D$105,2))</f>
        <v>2.66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6051908</v>
      </c>
      <c r="D109" s="15">
        <f>IF(F3="1",SUMIF(Data!$A:$A,$A$2,Data!HJ:HJ),0)</f>
        <v>0</v>
      </c>
      <c r="E109" s="15">
        <f>IF(F3="1",SUMIF(Data!$A:$A,$A$2,Data!IN:IN),0)</f>
        <v>0</v>
      </c>
      <c r="F109" s="47">
        <f>SUM(C109:E109)</f>
        <v>6051908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998656</v>
      </c>
      <c r="E117" s="52"/>
      <c r="F117" s="49">
        <f>SUM(C117:E117)</f>
        <v>998656</v>
      </c>
    </row>
    <row r="118" spans="1:6" x14ac:dyDescent="0.2">
      <c r="B118" s="13" t="s">
        <v>35</v>
      </c>
      <c r="C118" s="4">
        <f>SUM(C109:C116)</f>
        <v>6051908</v>
      </c>
      <c r="D118" s="4">
        <f>SUM(D109:D116)</f>
        <v>0</v>
      </c>
      <c r="E118" s="4">
        <f>SUM(E109:E116)</f>
        <v>0</v>
      </c>
      <c r="F118" s="4">
        <f>SUM(F109:F116)</f>
        <v>6051908</v>
      </c>
    </row>
    <row r="119" spans="1:6" ht="15" thickBot="1" x14ac:dyDescent="0.25"/>
    <row r="120" spans="1:6" ht="15" thickBot="1" x14ac:dyDescent="0.25">
      <c r="B120" s="55" t="s">
        <v>934</v>
      </c>
      <c r="C120" s="53"/>
      <c r="D120" s="53"/>
      <c r="E120" s="53">
        <f>IF(F3="1",SUMIF(Data!A:A,'29'!$A$2,Data!AM:AM),0)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362</v>
      </c>
      <c r="B2" s="58" t="str">
        <f>VLOOKUP(A2,Data!A:G,7,0)</f>
        <v>North Central Texas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40092</v>
      </c>
      <c r="E5" s="15">
        <f>E36+E67+IFERROR($E$105/$D$105*D5,0)</f>
        <v>380077.56616214034</v>
      </c>
      <c r="F5" s="20">
        <f>IF(OR(D5=0,E5=0),"",ROUND(E5/D5,2))</f>
        <v>9.48</v>
      </c>
    </row>
    <row r="6" spans="1:6" x14ac:dyDescent="0.2">
      <c r="A6" s="19">
        <v>2</v>
      </c>
      <c r="B6" s="181" t="s">
        <v>1</v>
      </c>
      <c r="C6" s="182"/>
      <c r="D6" s="14">
        <f t="shared" ref="D6:D32" si="0">D37</f>
        <v>18272</v>
      </c>
      <c r="E6" s="17">
        <f t="shared" ref="E6:E32" si="1">E37+E68+IFERROR($E$105/$D$105*D6,0)</f>
        <v>155282.47363350861</v>
      </c>
      <c r="F6" s="21">
        <f t="shared" ref="F6:F33" si="2">IF(OR(D6=0,E6=0),"",ROUND(E6/D6,2))</f>
        <v>8.5</v>
      </c>
    </row>
    <row r="7" spans="1:6" ht="14.25" customHeight="1" x14ac:dyDescent="0.2">
      <c r="A7" s="19">
        <v>3</v>
      </c>
      <c r="B7" s="181" t="s">
        <v>2</v>
      </c>
      <c r="C7" s="182"/>
      <c r="D7" s="14">
        <f t="shared" si="0"/>
        <v>172400</v>
      </c>
      <c r="E7" s="17">
        <f t="shared" si="1"/>
        <v>773173.03537745657</v>
      </c>
      <c r="F7" s="21">
        <f t="shared" si="2"/>
        <v>4.4800000000000004</v>
      </c>
    </row>
    <row r="8" spans="1:6" ht="14.25" customHeight="1" x14ac:dyDescent="0.2">
      <c r="A8" s="19">
        <v>4</v>
      </c>
      <c r="B8" s="181" t="s">
        <v>3</v>
      </c>
      <c r="C8" s="182"/>
      <c r="D8" s="14">
        <f t="shared" si="0"/>
        <v>88454</v>
      </c>
      <c r="E8" s="17">
        <f t="shared" si="1"/>
        <v>362293.65043664468</v>
      </c>
      <c r="F8" s="21">
        <f t="shared" si="2"/>
        <v>4.0999999999999996</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0</v>
      </c>
      <c r="E10" s="17">
        <f t="shared" si="1"/>
        <v>0</v>
      </c>
      <c r="F10" s="21" t="str">
        <f t="shared" si="2"/>
        <v/>
      </c>
    </row>
    <row r="11" spans="1:6" x14ac:dyDescent="0.2">
      <c r="A11" s="19">
        <v>7</v>
      </c>
      <c r="B11" s="181" t="s">
        <v>6</v>
      </c>
      <c r="C11" s="182"/>
      <c r="D11" s="14">
        <f t="shared" si="0"/>
        <v>124045</v>
      </c>
      <c r="E11" s="17">
        <f t="shared" si="1"/>
        <v>958342.4297760824</v>
      </c>
      <c r="F11" s="21">
        <f t="shared" si="2"/>
        <v>7.73</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62406</v>
      </c>
      <c r="E13" s="17">
        <f t="shared" si="1"/>
        <v>231666.43933738722</v>
      </c>
      <c r="F13" s="21">
        <f t="shared" si="2"/>
        <v>3.71</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17172</v>
      </c>
      <c r="E15" s="17">
        <f t="shared" si="1"/>
        <v>155904.25357019537</v>
      </c>
      <c r="F15" s="21">
        <f t="shared" si="2"/>
        <v>9.08</v>
      </c>
    </row>
    <row r="16" spans="1:6" ht="14.25" customHeight="1" x14ac:dyDescent="0.2">
      <c r="A16" s="19">
        <v>12</v>
      </c>
      <c r="B16" s="181" t="s">
        <v>11</v>
      </c>
      <c r="C16" s="182"/>
      <c r="D16" s="14">
        <f t="shared" si="0"/>
        <v>312048</v>
      </c>
      <c r="E16" s="17">
        <f t="shared" si="1"/>
        <v>1397235.4275606994</v>
      </c>
      <c r="F16" s="21">
        <f t="shared" si="2"/>
        <v>4.4800000000000004</v>
      </c>
    </row>
    <row r="17" spans="1:6" x14ac:dyDescent="0.2">
      <c r="A17" s="19">
        <v>13</v>
      </c>
      <c r="B17" s="181" t="s">
        <v>12</v>
      </c>
      <c r="C17" s="182"/>
      <c r="D17" s="14">
        <f t="shared" si="0"/>
        <v>35072</v>
      </c>
      <c r="E17" s="17">
        <f t="shared" si="1"/>
        <v>187749.28914592898</v>
      </c>
      <c r="F17" s="21">
        <f t="shared" si="2"/>
        <v>5.35</v>
      </c>
    </row>
    <row r="18" spans="1:6" ht="14.25" customHeight="1" x14ac:dyDescent="0.2">
      <c r="A18" s="19">
        <v>14</v>
      </c>
      <c r="B18" s="181" t="s">
        <v>464</v>
      </c>
      <c r="C18" s="182"/>
      <c r="D18" s="14">
        <f t="shared" si="0"/>
        <v>73232</v>
      </c>
      <c r="E18" s="17">
        <f t="shared" si="1"/>
        <v>510553.74152414093</v>
      </c>
      <c r="F18" s="21">
        <f t="shared" si="2"/>
        <v>6.97</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59653</v>
      </c>
      <c r="E20" s="17">
        <f t="shared" si="1"/>
        <v>397018.18403347686</v>
      </c>
      <c r="F20" s="21">
        <f t="shared" si="2"/>
        <v>6.66</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156464</v>
      </c>
      <c r="E22" s="17">
        <f t="shared" si="1"/>
        <v>794655.30180567503</v>
      </c>
      <c r="F22" s="21">
        <f t="shared" si="2"/>
        <v>5.08</v>
      </c>
    </row>
    <row r="23" spans="1:6" x14ac:dyDescent="0.2">
      <c r="A23" s="19">
        <v>19</v>
      </c>
      <c r="B23" s="181" t="s">
        <v>17</v>
      </c>
      <c r="C23" s="182"/>
      <c r="D23" s="14">
        <f t="shared" si="0"/>
        <v>241488</v>
      </c>
      <c r="E23" s="17">
        <f t="shared" si="1"/>
        <v>959979.40240853385</v>
      </c>
      <c r="F23" s="21">
        <f t="shared" si="2"/>
        <v>3.98</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64896</v>
      </c>
      <c r="E27" s="17">
        <f t="shared" si="1"/>
        <v>369309.71020797809</v>
      </c>
      <c r="F27" s="21">
        <f t="shared" si="2"/>
        <v>5.69</v>
      </c>
    </row>
    <row r="28" spans="1:6" x14ac:dyDescent="0.2">
      <c r="A28" s="19">
        <v>24</v>
      </c>
      <c r="B28" s="181" t="s">
        <v>21</v>
      </c>
      <c r="C28" s="182"/>
      <c r="D28" s="14">
        <f t="shared" si="0"/>
        <v>29280</v>
      </c>
      <c r="E28" s="17">
        <f t="shared" si="1"/>
        <v>144390.22132164691</v>
      </c>
      <c r="F28" s="21">
        <f t="shared" si="2"/>
        <v>4.93</v>
      </c>
    </row>
    <row r="29" spans="1:6" x14ac:dyDescent="0.2">
      <c r="A29" s="19">
        <v>25</v>
      </c>
      <c r="B29" s="181" t="s">
        <v>22</v>
      </c>
      <c r="C29" s="182"/>
      <c r="D29" s="14">
        <f t="shared" si="0"/>
        <v>487776</v>
      </c>
      <c r="E29" s="17">
        <f t="shared" si="1"/>
        <v>1873005.0378206163</v>
      </c>
      <c r="F29" s="21">
        <f t="shared" si="2"/>
        <v>3.84</v>
      </c>
    </row>
    <row r="30" spans="1:6" x14ac:dyDescent="0.2">
      <c r="A30" s="19">
        <v>26</v>
      </c>
      <c r="B30" s="181" t="s">
        <v>23</v>
      </c>
      <c r="C30" s="182"/>
      <c r="D30" s="14">
        <f t="shared" si="0"/>
        <v>85064</v>
      </c>
      <c r="E30" s="17">
        <f t="shared" si="1"/>
        <v>442785.83587788843</v>
      </c>
      <c r="F30" s="21">
        <f t="shared" si="2"/>
        <v>5.21</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2067814</v>
      </c>
      <c r="E33" s="31">
        <f>SUM(E5:E32)</f>
        <v>10093422</v>
      </c>
      <c r="F33" s="32">
        <f t="shared" si="2"/>
        <v>4.88</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IF(F3="1",SUMIF(Data!A:A,'30'!$A$2,Data!CU:CU),0)</f>
        <v>40092</v>
      </c>
      <c r="E36" s="15">
        <f>IF(F3="1",SUMIF(Data!$A:$A,$A$2,Data!IO:IO),0)</f>
        <v>122666</v>
      </c>
      <c r="F36" s="20">
        <f t="shared" ref="F36:F64" si="3">IF(OR(D36=0,E36=0),"",ROUND(E36/D36,2))</f>
        <v>3.06</v>
      </c>
    </row>
    <row r="37" spans="1:6" x14ac:dyDescent="0.2">
      <c r="A37" s="19">
        <v>2</v>
      </c>
      <c r="B37" s="181" t="s">
        <v>1</v>
      </c>
      <c r="C37" s="182"/>
      <c r="D37" s="14">
        <f>IF(F3="1",SUMIF(Data!A:A,'30'!$A$2,Data!CV:CV),0)</f>
        <v>18272</v>
      </c>
      <c r="E37" s="17">
        <f>IF(F3="1",SUMIF(Data!$A:$A,$A$2,Data!IP:IP),0)</f>
        <v>19430</v>
      </c>
      <c r="F37" s="21">
        <f t="shared" si="3"/>
        <v>1.06</v>
      </c>
    </row>
    <row r="38" spans="1:6" ht="14.25" customHeight="1" x14ac:dyDescent="0.2">
      <c r="A38" s="19">
        <v>3</v>
      </c>
      <c r="B38" s="181" t="s">
        <v>2</v>
      </c>
      <c r="C38" s="182"/>
      <c r="D38" s="14">
        <f>IF(F3="1",SUMIF(Data!A:A,'30'!$A$2,Data!CW:CW),0)</f>
        <v>172400</v>
      </c>
      <c r="E38" s="17">
        <f>IF($F$3="1",SUMIF(Data!$A:$A,$A$2,Data!IQ:IQ),0)</f>
        <v>74499</v>
      </c>
      <c r="F38" s="21">
        <f t="shared" si="3"/>
        <v>0.43</v>
      </c>
    </row>
    <row r="39" spans="1:6" ht="14.25" customHeight="1" x14ac:dyDescent="0.2">
      <c r="A39" s="19">
        <v>4</v>
      </c>
      <c r="B39" s="181" t="s">
        <v>3</v>
      </c>
      <c r="C39" s="182"/>
      <c r="D39" s="14">
        <f>IF(F3="1",SUMIF(Data!A:A,'30'!$A$2,Data!CX:CX),0)</f>
        <v>88454</v>
      </c>
      <c r="E39" s="17">
        <f>IF($F$3="1",SUMIF(Data!$A:$A,$A$2,Data!IR:IR),0)</f>
        <v>49194</v>
      </c>
      <c r="F39" s="21">
        <f t="shared" si="3"/>
        <v>0.56000000000000005</v>
      </c>
    </row>
    <row r="40" spans="1:6" x14ac:dyDescent="0.2">
      <c r="A40" s="19">
        <v>5</v>
      </c>
      <c r="B40" s="181" t="s">
        <v>4</v>
      </c>
      <c r="C40" s="182"/>
      <c r="D40" s="14">
        <f>IF(F3="1",SUMIF(Data!A:A,'30'!$A$2,Data!CY:CY),0)</f>
        <v>0</v>
      </c>
      <c r="E40" s="17">
        <f>IF($F$3="1",SUMIF(Data!$A:$A,$A$2,Data!IS:IS),0)</f>
        <v>0</v>
      </c>
      <c r="F40" s="21" t="str">
        <f t="shared" si="3"/>
        <v/>
      </c>
    </row>
    <row r="41" spans="1:6" x14ac:dyDescent="0.2">
      <c r="A41" s="19">
        <v>6</v>
      </c>
      <c r="B41" s="181" t="s">
        <v>5</v>
      </c>
      <c r="C41" s="182"/>
      <c r="D41" s="14">
        <f>IF(F3="1",SUMIF(Data!A:A,'30'!$A$2,Data!CZ:CZ),0)</f>
        <v>0</v>
      </c>
      <c r="E41" s="17">
        <f>IF($F$3="1",SUMIF(Data!$A:$A,$A$2,Data!IT:IT),0)</f>
        <v>0</v>
      </c>
      <c r="F41" s="21" t="str">
        <f t="shared" si="3"/>
        <v/>
      </c>
    </row>
    <row r="42" spans="1:6" x14ac:dyDescent="0.2">
      <c r="A42" s="19">
        <v>7</v>
      </c>
      <c r="B42" s="181" t="s">
        <v>6</v>
      </c>
      <c r="C42" s="182"/>
      <c r="D42" s="14">
        <f>IF(F3="1",SUMIF(Data!A:A,'30'!$A$2,Data!DA:DA),0)</f>
        <v>124045</v>
      </c>
      <c r="E42" s="17">
        <f>IF($F$3="1",SUMIF(Data!$A:$A,$A$2,Data!IU:IU),0)</f>
        <v>382475</v>
      </c>
      <c r="F42" s="21">
        <f t="shared" si="3"/>
        <v>3.08</v>
      </c>
    </row>
    <row r="43" spans="1:6" x14ac:dyDescent="0.2">
      <c r="A43" s="19">
        <v>8</v>
      </c>
      <c r="B43" s="181" t="s">
        <v>7</v>
      </c>
      <c r="C43" s="182"/>
      <c r="D43" s="14">
        <f>IF(F3="1",SUMIF(Data!A:A,'30'!$A$2,Data!DB:DB),0)</f>
        <v>0</v>
      </c>
      <c r="E43" s="17">
        <f>IF($F$3="1",SUMIF(Data!$A:$A,$A$2,Data!IV:IV),0)</f>
        <v>0</v>
      </c>
      <c r="F43" s="21" t="str">
        <f t="shared" si="3"/>
        <v/>
      </c>
    </row>
    <row r="44" spans="1:6" x14ac:dyDescent="0.2">
      <c r="A44" s="19">
        <v>9</v>
      </c>
      <c r="B44" s="181" t="s">
        <v>8</v>
      </c>
      <c r="C44" s="182"/>
      <c r="D44" s="14">
        <f>IF(F3="1",SUMIF(Data!A:A,'30'!$A$2,Data!DC:DC),0)</f>
        <v>62406</v>
      </c>
      <c r="E44" s="17">
        <f>IF($F$3="1",SUMIF(Data!$A:$A,$A$2,Data!IW:IW),0)</f>
        <v>22569</v>
      </c>
      <c r="F44" s="21">
        <f t="shared" si="3"/>
        <v>0.36</v>
      </c>
    </row>
    <row r="45" spans="1:6" x14ac:dyDescent="0.2">
      <c r="A45" s="19">
        <v>10</v>
      </c>
      <c r="B45" s="181" t="s">
        <v>9</v>
      </c>
      <c r="C45" s="182"/>
      <c r="D45" s="14">
        <f>IF(F3="1",SUMIF(Data!A:A,'30'!$A$2,Data!DD:DD),0)</f>
        <v>0</v>
      </c>
      <c r="E45" s="17">
        <f>IF($F$3="1",SUMIF(Data!$A:$A,$A$2,Data!IX:IX),0)</f>
        <v>0</v>
      </c>
      <c r="F45" s="21" t="str">
        <f t="shared" si="3"/>
        <v/>
      </c>
    </row>
    <row r="46" spans="1:6" x14ac:dyDescent="0.2">
      <c r="A46" s="19">
        <v>11</v>
      </c>
      <c r="B46" s="181" t="s">
        <v>10</v>
      </c>
      <c r="C46" s="182"/>
      <c r="D46" s="14">
        <f>IF(F3="1",SUMIF(Data!A:A,'30'!$A$2,Data!DE:DE),0)</f>
        <v>17172</v>
      </c>
      <c r="E46" s="17">
        <f>IF($F$3="1",SUMIF(Data!$A:$A,$A$2,Data!IY:IY),0)</f>
        <v>62650</v>
      </c>
      <c r="F46" s="21">
        <f t="shared" si="3"/>
        <v>3.65</v>
      </c>
    </row>
    <row r="47" spans="1:6" ht="14.25" customHeight="1" x14ac:dyDescent="0.2">
      <c r="A47" s="19">
        <v>12</v>
      </c>
      <c r="B47" s="181" t="s">
        <v>11</v>
      </c>
      <c r="C47" s="182"/>
      <c r="D47" s="14">
        <f>IF(F3="1",SUMIF(Data!A:A,'30'!$A$2,Data!DF:DF),0)</f>
        <v>312048</v>
      </c>
      <c r="E47" s="17">
        <f>IF($F$3="1",SUMIF(Data!$A:$A,$A$2,Data!IZ:IZ),0)</f>
        <v>56547</v>
      </c>
      <c r="F47" s="21">
        <f t="shared" si="3"/>
        <v>0.18</v>
      </c>
    </row>
    <row r="48" spans="1:6" x14ac:dyDescent="0.2">
      <c r="A48" s="19">
        <v>13</v>
      </c>
      <c r="B48" s="181" t="s">
        <v>12</v>
      </c>
      <c r="C48" s="182"/>
      <c r="D48" s="14">
        <f>IF(F3="1",SUMIF(Data!A:A,'30'!$A$2,Data!DG:DG),0)</f>
        <v>35072</v>
      </c>
      <c r="E48" s="17">
        <f>IF($F$3="1",SUMIF(Data!$A:$A,$A$2,Data!JA:JA),0)</f>
        <v>16300</v>
      </c>
      <c r="F48" s="21">
        <f t="shared" si="3"/>
        <v>0.46</v>
      </c>
    </row>
    <row r="49" spans="1:6" ht="14.25" customHeight="1" x14ac:dyDescent="0.2">
      <c r="A49" s="19">
        <v>14</v>
      </c>
      <c r="B49" s="181" t="s">
        <v>464</v>
      </c>
      <c r="C49" s="182"/>
      <c r="D49" s="14">
        <f>IF(F3="1",SUMIF(Data!A:A,'30'!$A$2,Data!DH:DH),0)</f>
        <v>73232</v>
      </c>
      <c r="E49" s="17">
        <f>IF($F$3="1",SUMIF(Data!$A:$A,$A$2,Data!JB:JB),0)</f>
        <v>28742</v>
      </c>
      <c r="F49" s="21">
        <f t="shared" si="3"/>
        <v>0.39</v>
      </c>
    </row>
    <row r="50" spans="1:6" x14ac:dyDescent="0.2">
      <c r="A50" s="19">
        <v>15</v>
      </c>
      <c r="B50" s="181" t="s">
        <v>13</v>
      </c>
      <c r="C50" s="182"/>
      <c r="D50" s="14">
        <f>IF(F3="1",SUMIF(Data!A:A,'30'!$A$2,Data!DI:DI),0)</f>
        <v>0</v>
      </c>
      <c r="E50" s="17">
        <f>IF($F$3="1",SUMIF(Data!$A:$A,$A$2,Data!JC:JC),0)</f>
        <v>0</v>
      </c>
      <c r="F50" s="21" t="str">
        <f t="shared" si="3"/>
        <v/>
      </c>
    </row>
    <row r="51" spans="1:6" x14ac:dyDescent="0.2">
      <c r="A51" s="19">
        <v>16</v>
      </c>
      <c r="B51" s="181" t="s">
        <v>14</v>
      </c>
      <c r="C51" s="182"/>
      <c r="D51" s="14">
        <f>IF(F3="1",SUMIF(Data!A:A,'30'!$A$2,Data!DJ:DJ),0)</f>
        <v>59653</v>
      </c>
      <c r="E51" s="17">
        <f>IF($F$3="1",SUMIF(Data!$A:$A,$A$2,Data!JD:JD),0)</f>
        <v>60172</v>
      </c>
      <c r="F51" s="21">
        <f t="shared" si="3"/>
        <v>1.01</v>
      </c>
    </row>
    <row r="52" spans="1:6" x14ac:dyDescent="0.2">
      <c r="A52" s="19">
        <v>17</v>
      </c>
      <c r="B52" s="181" t="s">
        <v>15</v>
      </c>
      <c r="C52" s="182"/>
      <c r="D52" s="14">
        <f>IF(F3="1",SUMIF(Data!A:A,'30'!$A$2,Data!DK:DK),0)</f>
        <v>0</v>
      </c>
      <c r="E52" s="17">
        <f>IF($F$3="1",SUMIF(Data!$A:$A,$A$2,Data!JE:JE),0)</f>
        <v>0</v>
      </c>
      <c r="F52" s="21" t="str">
        <f t="shared" si="3"/>
        <v/>
      </c>
    </row>
    <row r="53" spans="1:6" x14ac:dyDescent="0.2">
      <c r="A53" s="19">
        <v>18</v>
      </c>
      <c r="B53" s="181" t="s">
        <v>16</v>
      </c>
      <c r="C53" s="182"/>
      <c r="D53" s="14">
        <f>IF(F3="1",SUMIF(Data!A:A,'30'!$A$2,Data!DL:DL),0)</f>
        <v>156464</v>
      </c>
      <c r="E53" s="17">
        <f>IF($F$3="1",SUMIF(Data!$A:$A,$A$2,Data!JF:JF),0)</f>
        <v>55851</v>
      </c>
      <c r="F53" s="21">
        <f t="shared" si="3"/>
        <v>0.36</v>
      </c>
    </row>
    <row r="54" spans="1:6" x14ac:dyDescent="0.2">
      <c r="A54" s="19">
        <v>19</v>
      </c>
      <c r="B54" s="181" t="s">
        <v>17</v>
      </c>
      <c r="C54" s="182"/>
      <c r="D54" s="14">
        <f>IF(F3="1",SUMIF(Data!A:A,'30'!$A$2,Data!DM:DM),0)</f>
        <v>241488</v>
      </c>
      <c r="E54" s="17">
        <f>IF($F$3="1",SUMIF(Data!$A:$A,$A$2,Data!JG:JG),0)</f>
        <v>21263</v>
      </c>
      <c r="F54" s="21">
        <f t="shared" si="3"/>
        <v>0.09</v>
      </c>
    </row>
    <row r="55" spans="1:6" x14ac:dyDescent="0.2">
      <c r="A55" s="19">
        <v>20</v>
      </c>
      <c r="B55" s="181" t="s">
        <v>18</v>
      </c>
      <c r="C55" s="182"/>
      <c r="D55" s="14">
        <f>IF(F3="1",SUMIF(Data!A:A,'30'!$A$2,Data!DN:DN),0)</f>
        <v>0</v>
      </c>
      <c r="E55" s="17">
        <f>IF($F$3="1",SUMIF(Data!$A:$A,$A$2,Data!JH:JH),0)</f>
        <v>0</v>
      </c>
      <c r="F55" s="21" t="str">
        <f t="shared" si="3"/>
        <v/>
      </c>
    </row>
    <row r="56" spans="1:6" ht="14.25" customHeight="1" x14ac:dyDescent="0.2">
      <c r="A56" s="19">
        <v>21</v>
      </c>
      <c r="B56" s="181" t="s">
        <v>461</v>
      </c>
      <c r="C56" s="182"/>
      <c r="D56" s="14">
        <f>IF(F3="1",SUMIF(Data!A:A,'30'!$A$2,Data!DO:DO),0)</f>
        <v>0</v>
      </c>
      <c r="E56" s="17">
        <f>IF($F$3="1",SUMIF(Data!$A:$A,$A$2,Data!JI:JI),0)</f>
        <v>0</v>
      </c>
      <c r="F56" s="21" t="str">
        <f t="shared" si="3"/>
        <v/>
      </c>
    </row>
    <row r="57" spans="1:6" x14ac:dyDescent="0.2">
      <c r="A57" s="19">
        <v>22</v>
      </c>
      <c r="B57" s="181" t="s">
        <v>19</v>
      </c>
      <c r="C57" s="182"/>
      <c r="D57" s="14">
        <f>IF(F3="1",SUMIF(Data!A:A,'30'!$A$2,Data!DP:DP),0)</f>
        <v>0</v>
      </c>
      <c r="E57" s="17">
        <f>IF($F$3="1",SUMIF(Data!$A:$A,$A$2,Data!JJ:JJ),0)</f>
        <v>0</v>
      </c>
      <c r="F57" s="21" t="str">
        <f t="shared" si="3"/>
        <v/>
      </c>
    </row>
    <row r="58" spans="1:6" x14ac:dyDescent="0.2">
      <c r="A58" s="19">
        <v>23</v>
      </c>
      <c r="B58" s="181" t="s">
        <v>20</v>
      </c>
      <c r="C58" s="182"/>
      <c r="D58" s="14">
        <f>IF(F3="1",SUMIF(Data!A:A,'30'!$A$2,Data!DQ:DQ),0)</f>
        <v>64896</v>
      </c>
      <c r="E58" s="17">
        <f>IF($F$3="1",SUMIF(Data!$A:$A,$A$2,Data!JK:JK),0)</f>
        <v>14371</v>
      </c>
      <c r="F58" s="21">
        <f t="shared" si="3"/>
        <v>0.22</v>
      </c>
    </row>
    <row r="59" spans="1:6" x14ac:dyDescent="0.2">
      <c r="A59" s="19">
        <v>24</v>
      </c>
      <c r="B59" s="181" t="s">
        <v>21</v>
      </c>
      <c r="C59" s="182"/>
      <c r="D59" s="14">
        <f>IF(F3="1",SUMIF(Data!A:A,'30'!$A$2,Data!DR:DR),0)</f>
        <v>29280</v>
      </c>
      <c r="E59" s="17">
        <f>IF($F$3="1",SUMIF(Data!$A:$A,$A$2,Data!JL:JL),0)</f>
        <v>2766</v>
      </c>
      <c r="F59" s="21">
        <f t="shared" si="3"/>
        <v>0.09</v>
      </c>
    </row>
    <row r="60" spans="1:6" x14ac:dyDescent="0.2">
      <c r="A60" s="19">
        <v>25</v>
      </c>
      <c r="B60" s="181" t="s">
        <v>22</v>
      </c>
      <c r="C60" s="182"/>
      <c r="D60" s="14">
        <f>IF(F3="1",SUMIF(Data!A:A,'30'!$A$2,Data!DS:DS),0)</f>
        <v>487776</v>
      </c>
      <c r="E60" s="17">
        <f>IF($F$3="1",SUMIF(Data!$A:$A,$A$2,Data!JM:JM),0)</f>
        <v>68495</v>
      </c>
      <c r="F60" s="21">
        <f t="shared" si="3"/>
        <v>0.14000000000000001</v>
      </c>
    </row>
    <row r="61" spans="1:6" x14ac:dyDescent="0.2">
      <c r="A61" s="19">
        <v>26</v>
      </c>
      <c r="B61" s="181" t="s">
        <v>23</v>
      </c>
      <c r="C61" s="182"/>
      <c r="D61" s="14">
        <f>IF(F3="1",SUMIF(Data!A:A,'30'!$A$2,Data!DT:DT),0)</f>
        <v>85064</v>
      </c>
      <c r="E61" s="17">
        <f>IF($F$3="1",SUMIF(Data!$A:$A,$A$2,Data!JN:JN),0)</f>
        <v>50995</v>
      </c>
      <c r="F61" s="21">
        <f t="shared" si="3"/>
        <v>0.6</v>
      </c>
    </row>
    <row r="62" spans="1:6" x14ac:dyDescent="0.2">
      <c r="A62" s="19">
        <v>28</v>
      </c>
      <c r="B62" s="181" t="s">
        <v>24</v>
      </c>
      <c r="C62" s="182"/>
      <c r="D62" s="14">
        <f>IF(F3="1",SUMIF(Data!A:A,'30'!$A$2,Data!DV:DV),0)</f>
        <v>0</v>
      </c>
      <c r="E62" s="17">
        <f>IF($F$3="1",SUMIF(Data!$A:$A,$A$2,Data!JP:JP),0)</f>
        <v>0</v>
      </c>
      <c r="F62" s="21" t="str">
        <f t="shared" si="3"/>
        <v/>
      </c>
    </row>
    <row r="63" spans="1:6" ht="15.75" customHeight="1" thickBot="1" x14ac:dyDescent="0.25">
      <c r="A63" s="22">
        <v>29</v>
      </c>
      <c r="B63" s="183" t="s">
        <v>25</v>
      </c>
      <c r="C63" s="184"/>
      <c r="D63" s="23">
        <f>IF(F3="1",SUMIF(Data!A:A,'30'!$A$2,Data!DW:DW),0)</f>
        <v>0</v>
      </c>
      <c r="E63" s="24">
        <f>IF($F$3="1",SUMIF(Data!$A:$A,$A$2,Data!JQ:JQ),0)</f>
        <v>0</v>
      </c>
      <c r="F63" s="25" t="str">
        <f t="shared" si="3"/>
        <v/>
      </c>
    </row>
    <row r="64" spans="1:6" x14ac:dyDescent="0.2">
      <c r="B64" s="30" t="s">
        <v>35</v>
      </c>
      <c r="C64" s="30"/>
      <c r="D64" s="59">
        <f>SUM(D36:D63)</f>
        <v>2067814</v>
      </c>
      <c r="E64" s="31">
        <f>SUM(E36:E63)</f>
        <v>1108985</v>
      </c>
      <c r="F64" s="32">
        <f t="shared" si="3"/>
        <v>0.54</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40092</v>
      </c>
      <c r="E67" s="15">
        <f>IF(F3="1",SUMIF(Data!A:A,'30'!$A$2,Data!DY:DY),0)</f>
        <v>174486</v>
      </c>
      <c r="F67" s="20">
        <f t="shared" ref="F67:F95" si="4">IF(OR(D67=0,E67=0),"",ROUND(E67/D67,2))</f>
        <v>4.3499999999999996</v>
      </c>
    </row>
    <row r="68" spans="1:6" x14ac:dyDescent="0.2">
      <c r="A68" s="19">
        <v>2</v>
      </c>
      <c r="B68" s="181" t="s">
        <v>1</v>
      </c>
      <c r="C68" s="182"/>
      <c r="D68" s="14">
        <f t="shared" ref="D68:D94" si="5">D37</f>
        <v>18272</v>
      </c>
      <c r="E68" s="17">
        <f>IF(F3="1",SUMIF(Data!A:A,'30'!$A$2,Data!DZ:DZ),0)</f>
        <v>98059</v>
      </c>
      <c r="F68" s="21">
        <f t="shared" si="4"/>
        <v>5.37</v>
      </c>
    </row>
    <row r="69" spans="1:6" ht="14.25" customHeight="1" x14ac:dyDescent="0.2">
      <c r="A69" s="19">
        <v>3</v>
      </c>
      <c r="B69" s="181" t="s">
        <v>2</v>
      </c>
      <c r="C69" s="182"/>
      <c r="D69" s="14">
        <f t="shared" si="5"/>
        <v>172400</v>
      </c>
      <c r="E69" s="17">
        <f>IF(F3="1",SUMIF(Data!A:A,'30'!$A$2,Data!EA:EA),0)</f>
        <v>342085</v>
      </c>
      <c r="F69" s="21">
        <f t="shared" si="4"/>
        <v>1.98</v>
      </c>
    </row>
    <row r="70" spans="1:6" ht="14.25" customHeight="1" x14ac:dyDescent="0.2">
      <c r="A70" s="19">
        <v>4</v>
      </c>
      <c r="B70" s="181" t="s">
        <v>3</v>
      </c>
      <c r="C70" s="182"/>
      <c r="D70" s="14">
        <f t="shared" si="5"/>
        <v>88454</v>
      </c>
      <c r="E70" s="17">
        <f>IF(F3="1",SUMIF(Data!A:A,'30'!$A$2,Data!EB:EB),0)</f>
        <v>130143</v>
      </c>
      <c r="F70" s="21">
        <f t="shared" si="4"/>
        <v>1.47</v>
      </c>
    </row>
    <row r="71" spans="1:6" x14ac:dyDescent="0.2">
      <c r="A71" s="19">
        <v>5</v>
      </c>
      <c r="B71" s="181" t="s">
        <v>4</v>
      </c>
      <c r="C71" s="182"/>
      <c r="D71" s="14">
        <f t="shared" si="5"/>
        <v>0</v>
      </c>
      <c r="E71" s="17">
        <f>IF(F3="1",SUMIF(Data!A:A,'30'!$A$2,Data!EC:EC),0)</f>
        <v>0</v>
      </c>
      <c r="F71" s="21" t="str">
        <f t="shared" si="4"/>
        <v/>
      </c>
    </row>
    <row r="72" spans="1:6" x14ac:dyDescent="0.2">
      <c r="A72" s="19">
        <v>6</v>
      </c>
      <c r="B72" s="181" t="s">
        <v>5</v>
      </c>
      <c r="C72" s="182"/>
      <c r="D72" s="14">
        <f t="shared" si="5"/>
        <v>0</v>
      </c>
      <c r="E72" s="17">
        <f>IF(F3="1",SUMIF(Data!A:A,'30'!$A$2,Data!ED:ED),0)</f>
        <v>0</v>
      </c>
      <c r="F72" s="21" t="str">
        <f t="shared" si="4"/>
        <v/>
      </c>
    </row>
    <row r="73" spans="1:6" x14ac:dyDescent="0.2">
      <c r="A73" s="19">
        <v>7</v>
      </c>
      <c r="B73" s="181" t="s">
        <v>6</v>
      </c>
      <c r="C73" s="182"/>
      <c r="D73" s="14">
        <f t="shared" si="5"/>
        <v>124045</v>
      </c>
      <c r="E73" s="17">
        <f>IF(F3="1",SUMIF(Data!A:A,'30'!$A$2,Data!EE:EE),0)</f>
        <v>319295</v>
      </c>
      <c r="F73" s="21">
        <f t="shared" si="4"/>
        <v>2.57</v>
      </c>
    </row>
    <row r="74" spans="1:6" x14ac:dyDescent="0.2">
      <c r="A74" s="19">
        <v>8</v>
      </c>
      <c r="B74" s="181" t="s">
        <v>7</v>
      </c>
      <c r="C74" s="182"/>
      <c r="D74" s="14">
        <f t="shared" si="5"/>
        <v>0</v>
      </c>
      <c r="E74" s="17">
        <f>IF(F3="1",SUMIF(Data!A:A,'30'!$A$2,Data!EF:EF),0)</f>
        <v>0</v>
      </c>
      <c r="F74" s="21" t="str">
        <f t="shared" si="4"/>
        <v/>
      </c>
    </row>
    <row r="75" spans="1:6" x14ac:dyDescent="0.2">
      <c r="A75" s="19">
        <v>9</v>
      </c>
      <c r="B75" s="181" t="s">
        <v>8</v>
      </c>
      <c r="C75" s="182"/>
      <c r="D75" s="14">
        <f t="shared" si="5"/>
        <v>62406</v>
      </c>
      <c r="E75" s="17">
        <f>IF(F3="1",SUMIF(Data!A:A,'30'!$A$2,Data!EG:EG),0)</f>
        <v>80018</v>
      </c>
      <c r="F75" s="21">
        <f t="shared" si="4"/>
        <v>1.28</v>
      </c>
    </row>
    <row r="76" spans="1:6" x14ac:dyDescent="0.2">
      <c r="A76" s="19">
        <v>10</v>
      </c>
      <c r="B76" s="181" t="s">
        <v>9</v>
      </c>
      <c r="C76" s="182"/>
      <c r="D76" s="14">
        <f t="shared" si="5"/>
        <v>0</v>
      </c>
      <c r="E76" s="17">
        <f>IF(F3="1",SUMIF(Data!A:A,'30'!$A$2,Data!EH:EH),0)</f>
        <v>0</v>
      </c>
      <c r="F76" s="21" t="str">
        <f t="shared" si="4"/>
        <v/>
      </c>
    </row>
    <row r="77" spans="1:6" x14ac:dyDescent="0.2">
      <c r="A77" s="19">
        <v>11</v>
      </c>
      <c r="B77" s="181" t="s">
        <v>10</v>
      </c>
      <c r="C77" s="182"/>
      <c r="D77" s="14">
        <f t="shared" si="5"/>
        <v>17172</v>
      </c>
      <c r="E77" s="17">
        <f>IF(F3="1",SUMIF(Data!A:A,'30'!$A$2,Data!EI:EI),0)</f>
        <v>57736</v>
      </c>
      <c r="F77" s="21">
        <f t="shared" si="4"/>
        <v>3.36</v>
      </c>
    </row>
    <row r="78" spans="1:6" ht="14.25" customHeight="1" x14ac:dyDescent="0.2">
      <c r="A78" s="19">
        <v>12</v>
      </c>
      <c r="B78" s="181" t="s">
        <v>11</v>
      </c>
      <c r="C78" s="182"/>
      <c r="D78" s="14">
        <f t="shared" si="5"/>
        <v>312048</v>
      </c>
      <c r="E78" s="17">
        <f>IF(F3="1",SUMIF(Data!A:A,'30'!$A$2,Data!EJ:EJ),0)</f>
        <v>695254</v>
      </c>
      <c r="F78" s="21">
        <f t="shared" si="4"/>
        <v>2.23</v>
      </c>
    </row>
    <row r="79" spans="1:6" x14ac:dyDescent="0.2">
      <c r="A79" s="19">
        <v>13</v>
      </c>
      <c r="B79" s="181" t="s">
        <v>12</v>
      </c>
      <c r="C79" s="182"/>
      <c r="D79" s="14">
        <f t="shared" si="5"/>
        <v>35072</v>
      </c>
      <c r="E79" s="17">
        <f>IF(F3="1",SUMIF(Data!A:A,'30'!$A$2,Data!EK:EK),0)</f>
        <v>98907</v>
      </c>
      <c r="F79" s="21">
        <f t="shared" si="4"/>
        <v>2.82</v>
      </c>
    </row>
    <row r="80" spans="1:6" ht="14.25" customHeight="1" x14ac:dyDescent="0.2">
      <c r="A80" s="19">
        <v>14</v>
      </c>
      <c r="B80" s="181" t="s">
        <v>464</v>
      </c>
      <c r="C80" s="182"/>
      <c r="D80" s="14">
        <f t="shared" si="5"/>
        <v>73232</v>
      </c>
      <c r="E80" s="17">
        <f>IF(F3="1",SUMIF(Data!A:A,'30'!$A$2,Data!EL:EL),0)</f>
        <v>330340</v>
      </c>
      <c r="F80" s="21">
        <f t="shared" si="4"/>
        <v>4.51</v>
      </c>
    </row>
    <row r="81" spans="1:6" x14ac:dyDescent="0.2">
      <c r="A81" s="19">
        <v>15</v>
      </c>
      <c r="B81" s="181" t="s">
        <v>13</v>
      </c>
      <c r="C81" s="182"/>
      <c r="D81" s="14">
        <f t="shared" si="5"/>
        <v>0</v>
      </c>
      <c r="E81" s="17">
        <f>IF(F3="1",SUMIF(Data!A:A,'30'!$A$2,Data!EM:EM),0)</f>
        <v>0</v>
      </c>
      <c r="F81" s="21" t="str">
        <f t="shared" si="4"/>
        <v/>
      </c>
    </row>
    <row r="82" spans="1:6" x14ac:dyDescent="0.2">
      <c r="A82" s="19">
        <v>16</v>
      </c>
      <c r="B82" s="181" t="s">
        <v>14</v>
      </c>
      <c r="C82" s="182"/>
      <c r="D82" s="14">
        <f t="shared" si="5"/>
        <v>59653</v>
      </c>
      <c r="E82" s="17">
        <f>IF(F3="1",SUMIF(Data!A:A,'30'!$A$2,Data!EN:EN),0)</f>
        <v>213461</v>
      </c>
      <c r="F82" s="21">
        <f t="shared" si="4"/>
        <v>3.58</v>
      </c>
    </row>
    <row r="83" spans="1:6" x14ac:dyDescent="0.2">
      <c r="A83" s="19">
        <v>17</v>
      </c>
      <c r="B83" s="181" t="s">
        <v>15</v>
      </c>
      <c r="C83" s="182"/>
      <c r="D83" s="14">
        <f t="shared" si="5"/>
        <v>0</v>
      </c>
      <c r="E83" s="17">
        <f>IF(F3="1",SUMIF(Data!A:A,'30'!$A$2,Data!EO:EO),0)</f>
        <v>0</v>
      </c>
      <c r="F83" s="21" t="str">
        <f t="shared" si="4"/>
        <v/>
      </c>
    </row>
    <row r="84" spans="1:6" x14ac:dyDescent="0.2">
      <c r="A84" s="19">
        <v>18</v>
      </c>
      <c r="B84" s="181" t="s">
        <v>16</v>
      </c>
      <c r="C84" s="182"/>
      <c r="D84" s="14">
        <f t="shared" si="5"/>
        <v>156464</v>
      </c>
      <c r="E84" s="17">
        <f>IF(F3="1",SUMIF(Data!A:A,'30'!$A$2,Data!EP:EP),0)</f>
        <v>415177</v>
      </c>
      <c r="F84" s="21">
        <f t="shared" si="4"/>
        <v>2.65</v>
      </c>
    </row>
    <row r="85" spans="1:6" x14ac:dyDescent="0.2">
      <c r="A85" s="19">
        <v>19</v>
      </c>
      <c r="B85" s="181" t="s">
        <v>17</v>
      </c>
      <c r="C85" s="182"/>
      <c r="D85" s="14">
        <f t="shared" si="5"/>
        <v>241488</v>
      </c>
      <c r="E85" s="17">
        <f>IF(F3="1",SUMIF(Data!A:A,'30'!$A$2,Data!EQ:EQ),0)</f>
        <v>439227</v>
      </c>
      <c r="F85" s="21">
        <f t="shared" si="4"/>
        <v>1.82</v>
      </c>
    </row>
    <row r="86" spans="1:6" x14ac:dyDescent="0.2">
      <c r="A86" s="19">
        <v>20</v>
      </c>
      <c r="B86" s="181" t="s">
        <v>18</v>
      </c>
      <c r="C86" s="182"/>
      <c r="D86" s="14">
        <f t="shared" si="5"/>
        <v>0</v>
      </c>
      <c r="E86" s="17">
        <f>IF(F3="1",SUMIF(Data!A:A,'30'!$A$2,Data!ER:ER),0)</f>
        <v>0</v>
      </c>
      <c r="F86" s="21" t="str">
        <f t="shared" si="4"/>
        <v/>
      </c>
    </row>
    <row r="87" spans="1:6" ht="14.25" customHeight="1" x14ac:dyDescent="0.2">
      <c r="A87" s="19">
        <v>21</v>
      </c>
      <c r="B87" s="181" t="s">
        <v>461</v>
      </c>
      <c r="C87" s="182"/>
      <c r="D87" s="14">
        <f t="shared" si="5"/>
        <v>0</v>
      </c>
      <c r="E87" s="17">
        <f>IF(F3="1",SUMIF(Data!A:A,'30'!$A$2,Data!ES:ES),0)</f>
        <v>0</v>
      </c>
      <c r="F87" s="21" t="str">
        <f t="shared" si="4"/>
        <v/>
      </c>
    </row>
    <row r="88" spans="1:6" x14ac:dyDescent="0.2">
      <c r="A88" s="19">
        <v>22</v>
      </c>
      <c r="B88" s="181" t="s">
        <v>19</v>
      </c>
      <c r="C88" s="182"/>
      <c r="D88" s="14">
        <f t="shared" si="5"/>
        <v>0</v>
      </c>
      <c r="E88" s="17">
        <f>IF(F3="1",SUMIF(Data!A:A,'30'!$A$2,Data!ET:ET),0)</f>
        <v>0</v>
      </c>
      <c r="F88" s="21" t="str">
        <f t="shared" si="4"/>
        <v/>
      </c>
    </row>
    <row r="89" spans="1:6" x14ac:dyDescent="0.2">
      <c r="A89" s="19">
        <v>23</v>
      </c>
      <c r="B89" s="181" t="s">
        <v>20</v>
      </c>
      <c r="C89" s="182"/>
      <c r="D89" s="14">
        <f t="shared" si="5"/>
        <v>64896</v>
      </c>
      <c r="E89" s="17">
        <f>IF(F3="1",SUMIF(Data!A:A,'30'!$A$2,Data!EU:EU),0)</f>
        <v>220709</v>
      </c>
      <c r="F89" s="21">
        <f t="shared" si="4"/>
        <v>3.4</v>
      </c>
    </row>
    <row r="90" spans="1:6" x14ac:dyDescent="0.2">
      <c r="A90" s="19">
        <v>24</v>
      </c>
      <c r="B90" s="181" t="s">
        <v>21</v>
      </c>
      <c r="C90" s="182"/>
      <c r="D90" s="14">
        <f t="shared" si="5"/>
        <v>29280</v>
      </c>
      <c r="E90" s="17">
        <f>IF(F3="1",SUMIF(Data!A:A,'30'!$A$2,Data!EV:EV),0)</f>
        <v>81062</v>
      </c>
      <c r="F90" s="21">
        <f t="shared" si="4"/>
        <v>2.77</v>
      </c>
    </row>
    <row r="91" spans="1:6" x14ac:dyDescent="0.2">
      <c r="A91" s="19">
        <v>25</v>
      </c>
      <c r="B91" s="181" t="s">
        <v>22</v>
      </c>
      <c r="C91" s="182"/>
      <c r="D91" s="14">
        <f t="shared" si="5"/>
        <v>487776</v>
      </c>
      <c r="E91" s="17">
        <f>IF(F3="1",SUMIF(Data!A:A,'30'!$A$2,Data!EW:EW),0)</f>
        <v>795603</v>
      </c>
      <c r="F91" s="21">
        <f t="shared" si="4"/>
        <v>1.63</v>
      </c>
    </row>
    <row r="92" spans="1:6" x14ac:dyDescent="0.2">
      <c r="A92" s="19">
        <v>26</v>
      </c>
      <c r="B92" s="181" t="s">
        <v>23</v>
      </c>
      <c r="C92" s="182"/>
      <c r="D92" s="14">
        <f t="shared" si="5"/>
        <v>85064</v>
      </c>
      <c r="E92" s="17">
        <f>IF(F3="1",SUMIF(Data!A:A,'30'!$A$2,Data!EX:EX),0)</f>
        <v>215846</v>
      </c>
      <c r="F92" s="21">
        <f t="shared" si="4"/>
        <v>2.54</v>
      </c>
    </row>
    <row r="93" spans="1:6" x14ac:dyDescent="0.2">
      <c r="A93" s="19">
        <v>28</v>
      </c>
      <c r="B93" s="181" t="s">
        <v>24</v>
      </c>
      <c r="C93" s="182"/>
      <c r="D93" s="14">
        <f t="shared" si="5"/>
        <v>0</v>
      </c>
      <c r="E93" s="17">
        <f>IF(F3="1",SUMIF(Data!A:A,'30'!$A$2,Data!EZ:EZ),0)</f>
        <v>0</v>
      </c>
      <c r="F93" s="21" t="str">
        <f t="shared" si="4"/>
        <v/>
      </c>
    </row>
    <row r="94" spans="1:6" ht="15.75" customHeight="1" thickBot="1" x14ac:dyDescent="0.25">
      <c r="A94" s="22">
        <v>29</v>
      </c>
      <c r="B94" s="183" t="s">
        <v>25</v>
      </c>
      <c r="C94" s="184"/>
      <c r="D94" s="23">
        <f t="shared" si="5"/>
        <v>0</v>
      </c>
      <c r="E94" s="24">
        <f>IF(F3="1",SUMIF(Data!A:A,'30'!$A$2,Data!FA:FA),0)</f>
        <v>0</v>
      </c>
      <c r="F94" s="25" t="str">
        <f t="shared" si="4"/>
        <v/>
      </c>
    </row>
    <row r="95" spans="1:6" x14ac:dyDescent="0.2">
      <c r="B95" s="30" t="s">
        <v>35</v>
      </c>
      <c r="C95" s="30"/>
      <c r="D95" s="59">
        <f>SUM(D67:D94)</f>
        <v>2067814</v>
      </c>
      <c r="E95" s="31">
        <f>SUM(E67:E94)</f>
        <v>4707408</v>
      </c>
      <c r="F95" s="32">
        <f t="shared" si="4"/>
        <v>2.2799999999999998</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IF(F3="1",SUMIF(Data!A:A,'30'!$A$2,Data!AH:AH),0)</f>
        <v>1703896</v>
      </c>
      <c r="F98" s="20">
        <f>IF(OR(E98=0,E98=0),"",ROUND(E98/$D$105,2))</f>
        <v>0.82</v>
      </c>
    </row>
    <row r="99" spans="2:6" x14ac:dyDescent="0.2">
      <c r="B99" s="187" t="s">
        <v>31</v>
      </c>
      <c r="C99" s="188"/>
      <c r="D99" s="36"/>
      <c r="E99" s="17">
        <f>IF(F3="1",SUMIF(Data!A:A,'30'!$A$2,Data!AI:AI),0)</f>
        <v>771553</v>
      </c>
      <c r="F99" s="21">
        <f t="shared" ref="F99:F104" si="6">IF(OR(E99=0,E99=0),"",ROUND(E99/$D$105,2))</f>
        <v>0.37</v>
      </c>
    </row>
    <row r="100" spans="2:6" x14ac:dyDescent="0.2">
      <c r="B100" s="187" t="s">
        <v>1078</v>
      </c>
      <c r="C100" s="188"/>
      <c r="D100" s="36"/>
      <c r="E100" s="17">
        <f>IF(F3="1",SUMIF(Data!A:A,'30'!$A$2,Data!AJ:AJ),0)</f>
        <v>341106</v>
      </c>
      <c r="F100" s="21">
        <f t="shared" si="6"/>
        <v>0.16</v>
      </c>
    </row>
    <row r="101" spans="2:6" x14ac:dyDescent="0.2">
      <c r="B101" s="187" t="s">
        <v>1079</v>
      </c>
      <c r="C101" s="188"/>
      <c r="D101" s="36"/>
      <c r="E101" s="17">
        <f>IF(F3="1",SUMIF(Data!A:A,'30'!$A$2,Data!AK:AK),0)</f>
        <v>1033499</v>
      </c>
      <c r="F101" s="21">
        <f t="shared" si="6"/>
        <v>0.5</v>
      </c>
    </row>
    <row r="102" spans="2:6" x14ac:dyDescent="0.2">
      <c r="B102" s="187" t="s">
        <v>1080</v>
      </c>
      <c r="C102" s="188"/>
      <c r="D102" s="36"/>
      <c r="E102" s="17">
        <f>IF(F3="1",SUMIF(Data!A:A,'30'!$A$2,Data!AL:AL),0)</f>
        <v>0</v>
      </c>
      <c r="F102" s="21" t="str">
        <f t="shared" si="6"/>
        <v/>
      </c>
    </row>
    <row r="103" spans="2:6" x14ac:dyDescent="0.2">
      <c r="B103" s="189" t="s">
        <v>34</v>
      </c>
      <c r="C103" s="190"/>
      <c r="D103" s="36"/>
      <c r="E103" s="17">
        <f>IF(F3="1",SUMIF(Data!A:A,'30'!$A$2,Data!AM:AM),0)</f>
        <v>0</v>
      </c>
      <c r="F103" s="21" t="str">
        <f t="shared" si="6"/>
        <v/>
      </c>
    </row>
    <row r="104" spans="2:6" ht="15.75" customHeight="1" thickBot="1" x14ac:dyDescent="0.25">
      <c r="B104" s="179" t="s">
        <v>29</v>
      </c>
      <c r="C104" s="180"/>
      <c r="D104" s="37"/>
      <c r="E104" s="24">
        <f>IF(F3="1",SUMIF(Data!A:A,'30'!$A$2,Data!Q:Q),0)</f>
        <v>426975</v>
      </c>
      <c r="F104" s="25">
        <f t="shared" si="6"/>
        <v>0.21</v>
      </c>
    </row>
    <row r="105" spans="2:6" x14ac:dyDescent="0.2">
      <c r="B105" s="30" t="s">
        <v>35</v>
      </c>
      <c r="C105" s="30"/>
      <c r="D105" s="34">
        <f>D95</f>
        <v>2067814</v>
      </c>
      <c r="E105" s="31">
        <f>SUM(E98:E104)</f>
        <v>4277029</v>
      </c>
      <c r="F105" s="32">
        <f>IF($D$105=0,"",ROUND(E105/$D$105,2))</f>
        <v>2.0699999999999998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4707408</v>
      </c>
      <c r="D109" s="15">
        <f>IF(F3="1",SUMIF(Data!$A:$A,$A$2,Data!HJ:HJ),0)</f>
        <v>0</v>
      </c>
      <c r="E109" s="15">
        <f>IF(F3="1",SUMIF(Data!$A:$A,$A$2,Data!IN:IN),0)</f>
        <v>0</v>
      </c>
      <c r="F109" s="47">
        <f>SUM(C109:E109)</f>
        <v>4707408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426975</v>
      </c>
      <c r="E117" s="52"/>
      <c r="F117" s="49">
        <f>SUM(C117:E117)</f>
        <v>426975</v>
      </c>
    </row>
    <row r="118" spans="1:6" x14ac:dyDescent="0.2">
      <c r="B118" s="13" t="s">
        <v>35</v>
      </c>
      <c r="C118" s="4">
        <f>SUM(C109:C116)</f>
        <v>4707408</v>
      </c>
      <c r="D118" s="4">
        <f>SUM(D109:D116)</f>
        <v>0</v>
      </c>
      <c r="E118" s="4">
        <f>SUM(E109:E116)</f>
        <v>0</v>
      </c>
      <c r="F118" s="4">
        <f>SUM(F109:F116)</f>
        <v>4707408</v>
      </c>
    </row>
    <row r="119" spans="1:6" ht="15" thickBot="1" x14ac:dyDescent="0.25"/>
    <row r="120" spans="1:6" ht="15" thickBot="1" x14ac:dyDescent="0.25">
      <c r="B120" s="55" t="s">
        <v>934</v>
      </c>
      <c r="C120" s="53"/>
      <c r="D120" s="53"/>
      <c r="E120" s="53">
        <f>IF(F3="1",SUMIF(Data!A:A,'30'!$A$2,Data!AM:AM),0)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446</v>
      </c>
      <c r="B2" s="58" t="str">
        <f>VLOOKUP(A2,Data!A:G,7,0)</f>
        <v>Northeast Texas Community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19576</v>
      </c>
      <c r="E5" s="15">
        <f>E36+E67+IFERROR($E$105/$D$105*D5,0)</f>
        <v>114709.05323556738</v>
      </c>
      <c r="F5" s="20">
        <f>IF(OR(D5=0,E5=0),"",ROUND(E5/D5,2))</f>
        <v>5.86</v>
      </c>
    </row>
    <row r="6" spans="1:6" x14ac:dyDescent="0.2">
      <c r="A6" s="19">
        <v>2</v>
      </c>
      <c r="B6" s="181" t="s">
        <v>1</v>
      </c>
      <c r="C6" s="182"/>
      <c r="D6" s="14">
        <f t="shared" ref="D6:D32" si="0">D37</f>
        <v>16896</v>
      </c>
      <c r="E6" s="17">
        <f t="shared" ref="E6:E32" si="1">E37+E68+IFERROR($E$105/$D$105*D6,0)</f>
        <v>166745.86000552445</v>
      </c>
      <c r="F6" s="21">
        <f t="shared" ref="F6:F33" si="2">IF(OR(D6=0,E6=0),"",ROUND(E6/D6,2))</f>
        <v>9.8699999999999992</v>
      </c>
    </row>
    <row r="7" spans="1:6" ht="14.25" customHeight="1" x14ac:dyDescent="0.2">
      <c r="A7" s="19">
        <v>3</v>
      </c>
      <c r="B7" s="181" t="s">
        <v>2</v>
      </c>
      <c r="C7" s="182"/>
      <c r="D7" s="14">
        <f t="shared" si="0"/>
        <v>126992</v>
      </c>
      <c r="E7" s="17">
        <f t="shared" si="1"/>
        <v>828634.35024985555</v>
      </c>
      <c r="F7" s="21">
        <f t="shared" si="2"/>
        <v>6.53</v>
      </c>
    </row>
    <row r="8" spans="1:6" ht="14.25" customHeight="1" x14ac:dyDescent="0.2">
      <c r="A8" s="19">
        <v>4</v>
      </c>
      <c r="B8" s="181" t="s">
        <v>3</v>
      </c>
      <c r="C8" s="182"/>
      <c r="D8" s="14">
        <f t="shared" si="0"/>
        <v>83583</v>
      </c>
      <c r="E8" s="17">
        <f t="shared" si="1"/>
        <v>496876.88647264149</v>
      </c>
      <c r="F8" s="21">
        <f t="shared" si="2"/>
        <v>5.94</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2932</v>
      </c>
      <c r="E10" s="17">
        <f t="shared" si="1"/>
        <v>47013.189011375332</v>
      </c>
      <c r="F10" s="21">
        <f t="shared" si="2"/>
        <v>16.03</v>
      </c>
    </row>
    <row r="11" spans="1:6" x14ac:dyDescent="0.2">
      <c r="A11" s="19">
        <v>7</v>
      </c>
      <c r="B11" s="181" t="s">
        <v>6</v>
      </c>
      <c r="C11" s="182"/>
      <c r="D11" s="14">
        <f t="shared" si="0"/>
        <v>63299</v>
      </c>
      <c r="E11" s="17">
        <f t="shared" si="1"/>
        <v>437431.41651809256</v>
      </c>
      <c r="F11" s="21">
        <f t="shared" si="2"/>
        <v>6.91</v>
      </c>
    </row>
    <row r="12" spans="1:6" x14ac:dyDescent="0.2">
      <c r="A12" s="19">
        <v>8</v>
      </c>
      <c r="B12" s="181" t="s">
        <v>7</v>
      </c>
      <c r="C12" s="182"/>
      <c r="D12" s="14">
        <f t="shared" si="0"/>
        <v>1680</v>
      </c>
      <c r="E12" s="17">
        <f t="shared" si="1"/>
        <v>15928.971875549305</v>
      </c>
      <c r="F12" s="21">
        <f t="shared" si="2"/>
        <v>9.48</v>
      </c>
    </row>
    <row r="13" spans="1:6" x14ac:dyDescent="0.2">
      <c r="A13" s="19">
        <v>9</v>
      </c>
      <c r="B13" s="181" t="s">
        <v>8</v>
      </c>
      <c r="C13" s="182"/>
      <c r="D13" s="14">
        <f t="shared" si="0"/>
        <v>39815</v>
      </c>
      <c r="E13" s="17">
        <f t="shared" si="1"/>
        <v>178557.23822916404</v>
      </c>
      <c r="F13" s="21">
        <f t="shared" si="2"/>
        <v>4.4800000000000004</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992</v>
      </c>
      <c r="E15" s="17">
        <f t="shared" si="1"/>
        <v>5876.4595836576855</v>
      </c>
      <c r="F15" s="21">
        <f t="shared" si="2"/>
        <v>5.92</v>
      </c>
    </row>
    <row r="16" spans="1:6" ht="14.25" customHeight="1" x14ac:dyDescent="0.2">
      <c r="A16" s="19">
        <v>12</v>
      </c>
      <c r="B16" s="181" t="s">
        <v>11</v>
      </c>
      <c r="C16" s="182"/>
      <c r="D16" s="14">
        <f t="shared" si="0"/>
        <v>146744</v>
      </c>
      <c r="E16" s="17">
        <f t="shared" si="1"/>
        <v>843648.16244381387</v>
      </c>
      <c r="F16" s="21">
        <f t="shared" si="2"/>
        <v>5.75</v>
      </c>
    </row>
    <row r="17" spans="1:6" x14ac:dyDescent="0.2">
      <c r="A17" s="19">
        <v>13</v>
      </c>
      <c r="B17" s="181" t="s">
        <v>12</v>
      </c>
      <c r="C17" s="182"/>
      <c r="D17" s="14">
        <f t="shared" si="0"/>
        <v>10240</v>
      </c>
      <c r="E17" s="17">
        <f t="shared" si="1"/>
        <v>82010.066670014814</v>
      </c>
      <c r="F17" s="21">
        <f t="shared" si="2"/>
        <v>8.01</v>
      </c>
    </row>
    <row r="18" spans="1:6" ht="14.25" customHeight="1" x14ac:dyDescent="0.2">
      <c r="A18" s="19">
        <v>14</v>
      </c>
      <c r="B18" s="181" t="s">
        <v>464</v>
      </c>
      <c r="C18" s="182"/>
      <c r="D18" s="14">
        <f t="shared" si="0"/>
        <v>31569</v>
      </c>
      <c r="E18" s="17">
        <f t="shared" si="1"/>
        <v>326191.04294000956</v>
      </c>
      <c r="F18" s="21">
        <f t="shared" si="2"/>
        <v>10.33</v>
      </c>
    </row>
    <row r="19" spans="1:6" x14ac:dyDescent="0.2">
      <c r="A19" s="19">
        <v>15</v>
      </c>
      <c r="B19" s="181" t="s">
        <v>13</v>
      </c>
      <c r="C19" s="182"/>
      <c r="D19" s="14">
        <f t="shared" si="0"/>
        <v>0</v>
      </c>
      <c r="E19" s="17">
        <f t="shared" si="1"/>
        <v>2493</v>
      </c>
      <c r="F19" s="21" t="str">
        <f t="shared" si="2"/>
        <v/>
      </c>
    </row>
    <row r="20" spans="1:6" x14ac:dyDescent="0.2">
      <c r="A20" s="19">
        <v>16</v>
      </c>
      <c r="B20" s="181" t="s">
        <v>14</v>
      </c>
      <c r="C20" s="182"/>
      <c r="D20" s="14">
        <f t="shared" si="0"/>
        <v>38800</v>
      </c>
      <c r="E20" s="17">
        <f t="shared" si="1"/>
        <v>196138.58855435302</v>
      </c>
      <c r="F20" s="21">
        <f t="shared" si="2"/>
        <v>5.0599999999999996</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36176</v>
      </c>
      <c r="E22" s="17">
        <f t="shared" si="1"/>
        <v>264458.72772016173</v>
      </c>
      <c r="F22" s="21">
        <f t="shared" si="2"/>
        <v>7.31</v>
      </c>
    </row>
    <row r="23" spans="1:6" x14ac:dyDescent="0.2">
      <c r="A23" s="19">
        <v>19</v>
      </c>
      <c r="B23" s="181" t="s">
        <v>17</v>
      </c>
      <c r="C23" s="182"/>
      <c r="D23" s="14">
        <f t="shared" si="0"/>
        <v>98192</v>
      </c>
      <c r="E23" s="17">
        <f t="shared" si="1"/>
        <v>594149.97524043894</v>
      </c>
      <c r="F23" s="21">
        <f t="shared" si="2"/>
        <v>6.05</v>
      </c>
    </row>
    <row r="24" spans="1:6" x14ac:dyDescent="0.2">
      <c r="A24" s="19">
        <v>20</v>
      </c>
      <c r="B24" s="181" t="s">
        <v>18</v>
      </c>
      <c r="C24" s="182"/>
      <c r="D24" s="14">
        <f t="shared" si="0"/>
        <v>11152</v>
      </c>
      <c r="E24" s="17">
        <f t="shared" si="1"/>
        <v>109624.90854531301</v>
      </c>
      <c r="F24" s="21">
        <f t="shared" si="2"/>
        <v>9.83</v>
      </c>
    </row>
    <row r="25" spans="1:6" ht="14.25" customHeight="1" x14ac:dyDescent="0.2">
      <c r="A25" s="19">
        <v>21</v>
      </c>
      <c r="B25" s="181" t="s">
        <v>461</v>
      </c>
      <c r="C25" s="182"/>
      <c r="D25" s="14">
        <f t="shared" si="0"/>
        <v>22940</v>
      </c>
      <c r="E25" s="17">
        <f t="shared" si="1"/>
        <v>228371.37787208398</v>
      </c>
      <c r="F25" s="21">
        <f t="shared" si="2"/>
        <v>9.9600000000000009</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38848</v>
      </c>
      <c r="E27" s="17">
        <f t="shared" si="1"/>
        <v>238551.1591793687</v>
      </c>
      <c r="F27" s="21">
        <f t="shared" si="2"/>
        <v>6.14</v>
      </c>
    </row>
    <row r="28" spans="1:6" x14ac:dyDescent="0.2">
      <c r="A28" s="19">
        <v>24</v>
      </c>
      <c r="B28" s="181" t="s">
        <v>21</v>
      </c>
      <c r="C28" s="182"/>
      <c r="D28" s="14">
        <f t="shared" si="0"/>
        <v>37612</v>
      </c>
      <c r="E28" s="17">
        <f t="shared" si="1"/>
        <v>310223.46558521455</v>
      </c>
      <c r="F28" s="21">
        <f t="shared" si="2"/>
        <v>8.25</v>
      </c>
    </row>
    <row r="29" spans="1:6" x14ac:dyDescent="0.2">
      <c r="A29" s="19">
        <v>25</v>
      </c>
      <c r="B29" s="181" t="s">
        <v>22</v>
      </c>
      <c r="C29" s="182"/>
      <c r="D29" s="14">
        <f t="shared" si="0"/>
        <v>172704</v>
      </c>
      <c r="E29" s="17">
        <f t="shared" si="1"/>
        <v>913891.10880646866</v>
      </c>
      <c r="F29" s="21">
        <f t="shared" si="2"/>
        <v>5.29</v>
      </c>
    </row>
    <row r="30" spans="1:6" x14ac:dyDescent="0.2">
      <c r="A30" s="19">
        <v>26</v>
      </c>
      <c r="B30" s="181" t="s">
        <v>23</v>
      </c>
      <c r="C30" s="182"/>
      <c r="D30" s="14">
        <f t="shared" si="0"/>
        <v>34656</v>
      </c>
      <c r="E30" s="17">
        <f t="shared" si="1"/>
        <v>352446.99126133136</v>
      </c>
      <c r="F30" s="21">
        <f t="shared" si="2"/>
        <v>10.17</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1035398</v>
      </c>
      <c r="E33" s="31">
        <f>SUM(E5:E32)</f>
        <v>6753972.0000000019</v>
      </c>
      <c r="F33" s="32">
        <f t="shared" si="2"/>
        <v>6.52</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IF(F3="1",SUMIF(Data!A:A,'31'!$A$2,Data!CU:CU),0)</f>
        <v>19576</v>
      </c>
      <c r="E36" s="15">
        <f>IF(F3="1",SUMIF(Data!$A:$A,$A$2,Data!IO:IO),0)</f>
        <v>5239</v>
      </c>
      <c r="F36" s="20">
        <f t="shared" ref="F36:F64" si="3">IF(OR(D36=0,E36=0),"",ROUND(E36/D36,2))</f>
        <v>0.27</v>
      </c>
    </row>
    <row r="37" spans="1:6" x14ac:dyDescent="0.2">
      <c r="A37" s="19">
        <v>2</v>
      </c>
      <c r="B37" s="181" t="s">
        <v>1</v>
      </c>
      <c r="C37" s="182"/>
      <c r="D37" s="14">
        <f>IF(F3="1",SUMIF(Data!A:A,'31'!$A$2,Data!CV:CV),0)</f>
        <v>16896</v>
      </c>
      <c r="E37" s="17">
        <f>IF(F3="1",SUMIF(Data!$A:$A,$A$2,Data!IP:IP),0)</f>
        <v>28825</v>
      </c>
      <c r="F37" s="21">
        <f t="shared" si="3"/>
        <v>1.71</v>
      </c>
    </row>
    <row r="38" spans="1:6" ht="14.25" customHeight="1" x14ac:dyDescent="0.2">
      <c r="A38" s="19">
        <v>3</v>
      </c>
      <c r="B38" s="181" t="s">
        <v>2</v>
      </c>
      <c r="C38" s="182"/>
      <c r="D38" s="14">
        <f>IF(F3="1",SUMIF(Data!A:A,'31'!$A$2,Data!CW:CW),0)</f>
        <v>126992</v>
      </c>
      <c r="E38" s="17">
        <f>IF($F$3="1",SUMIF(Data!$A:$A,$A$2,Data!IQ:IQ),0)</f>
        <v>44102</v>
      </c>
      <c r="F38" s="21">
        <f t="shared" si="3"/>
        <v>0.35</v>
      </c>
    </row>
    <row r="39" spans="1:6" ht="14.25" customHeight="1" x14ac:dyDescent="0.2">
      <c r="A39" s="19">
        <v>4</v>
      </c>
      <c r="B39" s="181" t="s">
        <v>3</v>
      </c>
      <c r="C39" s="182"/>
      <c r="D39" s="14">
        <f>IF(F3="1",SUMIF(Data!A:A,'31'!$A$2,Data!CX:CX),0)</f>
        <v>83583</v>
      </c>
      <c r="E39" s="17">
        <f>IF($F$3="1",SUMIF(Data!$A:$A,$A$2,Data!IR:IR),0)</f>
        <v>8241</v>
      </c>
      <c r="F39" s="21">
        <f t="shared" si="3"/>
        <v>0.1</v>
      </c>
    </row>
    <row r="40" spans="1:6" x14ac:dyDescent="0.2">
      <c r="A40" s="19">
        <v>5</v>
      </c>
      <c r="B40" s="181" t="s">
        <v>4</v>
      </c>
      <c r="C40" s="182"/>
      <c r="D40" s="14">
        <f>IF(F3="1",SUMIF(Data!A:A,'31'!$A$2,Data!CY:CY),0)</f>
        <v>0</v>
      </c>
      <c r="E40" s="17">
        <f>IF($F$3="1",SUMIF(Data!$A:$A,$A$2,Data!IS:IS),0)</f>
        <v>0</v>
      </c>
      <c r="F40" s="21" t="str">
        <f t="shared" si="3"/>
        <v/>
      </c>
    </row>
    <row r="41" spans="1:6" x14ac:dyDescent="0.2">
      <c r="A41" s="19">
        <v>6</v>
      </c>
      <c r="B41" s="181" t="s">
        <v>5</v>
      </c>
      <c r="C41" s="182"/>
      <c r="D41" s="14">
        <f>IF(F3="1",SUMIF(Data!A:A,'31'!$A$2,Data!CZ:CZ),0)</f>
        <v>2932</v>
      </c>
      <c r="E41" s="17">
        <f>IF($F$3="1",SUMIF(Data!$A:$A,$A$2,Data!IT:IT),0)</f>
        <v>557</v>
      </c>
      <c r="F41" s="21">
        <f t="shared" si="3"/>
        <v>0.19</v>
      </c>
    </row>
    <row r="42" spans="1:6" x14ac:dyDescent="0.2">
      <c r="A42" s="19">
        <v>7</v>
      </c>
      <c r="B42" s="181" t="s">
        <v>6</v>
      </c>
      <c r="C42" s="182"/>
      <c r="D42" s="14">
        <f>IF(F3="1",SUMIF(Data!A:A,'31'!$A$2,Data!DA:DA),0)</f>
        <v>63299</v>
      </c>
      <c r="E42" s="17">
        <f>IF($F$3="1",SUMIF(Data!$A:$A,$A$2,Data!IU:IU),0)</f>
        <v>23190</v>
      </c>
      <c r="F42" s="21">
        <f t="shared" si="3"/>
        <v>0.37</v>
      </c>
    </row>
    <row r="43" spans="1:6" x14ac:dyDescent="0.2">
      <c r="A43" s="19">
        <v>8</v>
      </c>
      <c r="B43" s="181" t="s">
        <v>7</v>
      </c>
      <c r="C43" s="182"/>
      <c r="D43" s="14">
        <f>IF(F3="1",SUMIF(Data!A:A,'31'!$A$2,Data!DB:DB),0)</f>
        <v>1680</v>
      </c>
      <c r="E43" s="17">
        <f>IF($F$3="1",SUMIF(Data!$A:$A,$A$2,Data!IV:IV),0)</f>
        <v>2702</v>
      </c>
      <c r="F43" s="21">
        <f t="shared" si="3"/>
        <v>1.61</v>
      </c>
    </row>
    <row r="44" spans="1:6" x14ac:dyDescent="0.2">
      <c r="A44" s="19">
        <v>9</v>
      </c>
      <c r="B44" s="181" t="s">
        <v>8</v>
      </c>
      <c r="C44" s="182"/>
      <c r="D44" s="14">
        <f>IF(F3="1",SUMIF(Data!A:A,'31'!$A$2,Data!DC:DC),0)</f>
        <v>39815</v>
      </c>
      <c r="E44" s="17">
        <f>IF($F$3="1",SUMIF(Data!$A:$A,$A$2,Data!IW:IW),0)</f>
        <v>7780</v>
      </c>
      <c r="F44" s="21">
        <f t="shared" si="3"/>
        <v>0.2</v>
      </c>
    </row>
    <row r="45" spans="1:6" x14ac:dyDescent="0.2">
      <c r="A45" s="19">
        <v>10</v>
      </c>
      <c r="B45" s="181" t="s">
        <v>9</v>
      </c>
      <c r="C45" s="182"/>
      <c r="D45" s="14">
        <f>IF(F3="1",SUMIF(Data!A:A,'31'!$A$2,Data!DD:DD),0)</f>
        <v>0</v>
      </c>
      <c r="E45" s="17">
        <f>IF($F$3="1",SUMIF(Data!$A:$A,$A$2,Data!IX:IX),0)</f>
        <v>0</v>
      </c>
      <c r="F45" s="21" t="str">
        <f t="shared" si="3"/>
        <v/>
      </c>
    </row>
    <row r="46" spans="1:6" x14ac:dyDescent="0.2">
      <c r="A46" s="19">
        <v>11</v>
      </c>
      <c r="B46" s="181" t="s">
        <v>10</v>
      </c>
      <c r="C46" s="182"/>
      <c r="D46" s="14">
        <f>IF(F3="1",SUMIF(Data!A:A,'31'!$A$2,Data!DE:DE),0)</f>
        <v>992</v>
      </c>
      <c r="E46" s="17">
        <f>IF($F$3="1",SUMIF(Data!$A:$A,$A$2,Data!IY:IY),0)</f>
        <v>276</v>
      </c>
      <c r="F46" s="21">
        <f t="shared" si="3"/>
        <v>0.28000000000000003</v>
      </c>
    </row>
    <row r="47" spans="1:6" ht="14.25" customHeight="1" x14ac:dyDescent="0.2">
      <c r="A47" s="19">
        <v>12</v>
      </c>
      <c r="B47" s="181" t="s">
        <v>11</v>
      </c>
      <c r="C47" s="182"/>
      <c r="D47" s="14">
        <f>IF(F3="1",SUMIF(Data!A:A,'31'!$A$2,Data!DF:DF),0)</f>
        <v>146744</v>
      </c>
      <c r="E47" s="17">
        <f>IF($F$3="1",SUMIF(Data!$A:$A,$A$2,Data!IZ:IZ),0)</f>
        <v>15607</v>
      </c>
      <c r="F47" s="21">
        <f t="shared" si="3"/>
        <v>0.11</v>
      </c>
    </row>
    <row r="48" spans="1:6" x14ac:dyDescent="0.2">
      <c r="A48" s="19">
        <v>13</v>
      </c>
      <c r="B48" s="181" t="s">
        <v>12</v>
      </c>
      <c r="C48" s="182"/>
      <c r="D48" s="14">
        <f>IF(F3="1",SUMIF(Data!A:A,'31'!$A$2,Data!DG:DG),0)</f>
        <v>10240</v>
      </c>
      <c r="E48" s="17">
        <f>IF($F$3="1",SUMIF(Data!$A:$A,$A$2,Data!JA:JA),0)</f>
        <v>1380</v>
      </c>
      <c r="F48" s="21">
        <f t="shared" si="3"/>
        <v>0.13</v>
      </c>
    </row>
    <row r="49" spans="1:6" ht="14.25" customHeight="1" x14ac:dyDescent="0.2">
      <c r="A49" s="19">
        <v>14</v>
      </c>
      <c r="B49" s="181" t="s">
        <v>464</v>
      </c>
      <c r="C49" s="182"/>
      <c r="D49" s="14">
        <f>IF(F3="1",SUMIF(Data!A:A,'31'!$A$2,Data!DH:DH),0)</f>
        <v>31569</v>
      </c>
      <c r="E49" s="17">
        <f>IF($F$3="1",SUMIF(Data!$A:$A,$A$2,Data!JB:JB),0)</f>
        <v>16917</v>
      </c>
      <c r="F49" s="21">
        <f t="shared" si="3"/>
        <v>0.54</v>
      </c>
    </row>
    <row r="50" spans="1:6" x14ac:dyDescent="0.2">
      <c r="A50" s="19">
        <v>15</v>
      </c>
      <c r="B50" s="181" t="s">
        <v>13</v>
      </c>
      <c r="C50" s="182"/>
      <c r="D50" s="14">
        <f>IF(F3="1",SUMIF(Data!A:A,'31'!$A$2,Data!DI:DI),0)</f>
        <v>0</v>
      </c>
      <c r="E50" s="17">
        <f>IF($F$3="1",SUMIF(Data!$A:$A,$A$2,Data!JC:JC),0)</f>
        <v>2493</v>
      </c>
      <c r="F50" s="21" t="str">
        <f t="shared" si="3"/>
        <v/>
      </c>
    </row>
    <row r="51" spans="1:6" x14ac:dyDescent="0.2">
      <c r="A51" s="19">
        <v>16</v>
      </c>
      <c r="B51" s="181" t="s">
        <v>14</v>
      </c>
      <c r="C51" s="182"/>
      <c r="D51" s="14">
        <f>IF(F3="1",SUMIF(Data!A:A,'31'!$A$2,Data!DJ:DJ),0)</f>
        <v>38800</v>
      </c>
      <c r="E51" s="17">
        <f>IF($F$3="1",SUMIF(Data!$A:$A,$A$2,Data!JD:JD),0)</f>
        <v>5358</v>
      </c>
      <c r="F51" s="21">
        <f t="shared" si="3"/>
        <v>0.14000000000000001</v>
      </c>
    </row>
    <row r="52" spans="1:6" x14ac:dyDescent="0.2">
      <c r="A52" s="19">
        <v>17</v>
      </c>
      <c r="B52" s="181" t="s">
        <v>15</v>
      </c>
      <c r="C52" s="182"/>
      <c r="D52" s="14">
        <f>IF(F3="1",SUMIF(Data!A:A,'31'!$A$2,Data!DK:DK),0)</f>
        <v>0</v>
      </c>
      <c r="E52" s="17">
        <f>IF($F$3="1",SUMIF(Data!$A:$A,$A$2,Data!JE:JE),0)</f>
        <v>0</v>
      </c>
      <c r="F52" s="21" t="str">
        <f t="shared" si="3"/>
        <v/>
      </c>
    </row>
    <row r="53" spans="1:6" x14ac:dyDescent="0.2">
      <c r="A53" s="19">
        <v>18</v>
      </c>
      <c r="B53" s="181" t="s">
        <v>16</v>
      </c>
      <c r="C53" s="182"/>
      <c r="D53" s="14">
        <f>IF(F3="1",SUMIF(Data!A:A,'31'!$A$2,Data!DL:DL),0)</f>
        <v>36176</v>
      </c>
      <c r="E53" s="17">
        <f>IF($F$3="1",SUMIF(Data!$A:$A,$A$2,Data!JF:JF),0)</f>
        <v>12898</v>
      </c>
      <c r="F53" s="21">
        <f t="shared" si="3"/>
        <v>0.36</v>
      </c>
    </row>
    <row r="54" spans="1:6" x14ac:dyDescent="0.2">
      <c r="A54" s="19">
        <v>19</v>
      </c>
      <c r="B54" s="181" t="s">
        <v>17</v>
      </c>
      <c r="C54" s="182"/>
      <c r="D54" s="14">
        <f>IF(F3="1",SUMIF(Data!A:A,'31'!$A$2,Data!DM:DM),0)</f>
        <v>98192</v>
      </c>
      <c r="E54" s="17">
        <f>IF($F$3="1",SUMIF(Data!$A:$A,$A$2,Data!JG:JG),0)</f>
        <v>10369</v>
      </c>
      <c r="F54" s="21">
        <f t="shared" si="3"/>
        <v>0.11</v>
      </c>
    </row>
    <row r="55" spans="1:6" x14ac:dyDescent="0.2">
      <c r="A55" s="19">
        <v>20</v>
      </c>
      <c r="B55" s="181" t="s">
        <v>18</v>
      </c>
      <c r="C55" s="182"/>
      <c r="D55" s="14">
        <f>IF(F3="1",SUMIF(Data!A:A,'31'!$A$2,Data!DN:DN),0)</f>
        <v>11152</v>
      </c>
      <c r="E55" s="17">
        <f>IF($F$3="1",SUMIF(Data!$A:$A,$A$2,Data!JH:JH),0)</f>
        <v>18916</v>
      </c>
      <c r="F55" s="21">
        <f t="shared" si="3"/>
        <v>1.7</v>
      </c>
    </row>
    <row r="56" spans="1:6" ht="14.25" customHeight="1" x14ac:dyDescent="0.2">
      <c r="A56" s="19">
        <v>21</v>
      </c>
      <c r="B56" s="181" t="s">
        <v>461</v>
      </c>
      <c r="C56" s="182"/>
      <c r="D56" s="14">
        <f>IF(F3="1",SUMIF(Data!A:A,'31'!$A$2,Data!DO:DO),0)</f>
        <v>22940</v>
      </c>
      <c r="E56" s="17">
        <f>IF($F$3="1",SUMIF(Data!$A:$A,$A$2,Data!JI:JI),0)</f>
        <v>59189</v>
      </c>
      <c r="F56" s="21">
        <f t="shared" si="3"/>
        <v>2.58</v>
      </c>
    </row>
    <row r="57" spans="1:6" x14ac:dyDescent="0.2">
      <c r="A57" s="19">
        <v>22</v>
      </c>
      <c r="B57" s="181" t="s">
        <v>19</v>
      </c>
      <c r="C57" s="182"/>
      <c r="D57" s="14">
        <f>IF(F3="1",SUMIF(Data!A:A,'31'!$A$2,Data!DP:DP),0)</f>
        <v>0</v>
      </c>
      <c r="E57" s="17">
        <f>IF($F$3="1",SUMIF(Data!$A:$A,$A$2,Data!JJ:JJ),0)</f>
        <v>0</v>
      </c>
      <c r="F57" s="21" t="str">
        <f t="shared" si="3"/>
        <v/>
      </c>
    </row>
    <row r="58" spans="1:6" x14ac:dyDescent="0.2">
      <c r="A58" s="19">
        <v>23</v>
      </c>
      <c r="B58" s="181" t="s">
        <v>20</v>
      </c>
      <c r="C58" s="182"/>
      <c r="D58" s="14">
        <f>IF(F3="1",SUMIF(Data!A:A,'31'!$A$2,Data!DQ:DQ),0)</f>
        <v>38848</v>
      </c>
      <c r="E58" s="17">
        <f>IF($F$3="1",SUMIF(Data!$A:$A,$A$2,Data!JK:JK),0)</f>
        <v>2634</v>
      </c>
      <c r="F58" s="21">
        <f t="shared" si="3"/>
        <v>7.0000000000000007E-2</v>
      </c>
    </row>
    <row r="59" spans="1:6" x14ac:dyDescent="0.2">
      <c r="A59" s="19">
        <v>24</v>
      </c>
      <c r="B59" s="181" t="s">
        <v>21</v>
      </c>
      <c r="C59" s="182"/>
      <c r="D59" s="14">
        <f>IF(F3="1",SUMIF(Data!A:A,'31'!$A$2,Data!DR:DR),0)</f>
        <v>37612</v>
      </c>
      <c r="E59" s="17">
        <f>IF($F$3="1",SUMIF(Data!$A:$A,$A$2,Data!JL:JL),0)</f>
        <v>11838</v>
      </c>
      <c r="F59" s="21">
        <f t="shared" si="3"/>
        <v>0.31</v>
      </c>
    </row>
    <row r="60" spans="1:6" x14ac:dyDescent="0.2">
      <c r="A60" s="19">
        <v>25</v>
      </c>
      <c r="B60" s="181" t="s">
        <v>22</v>
      </c>
      <c r="C60" s="182"/>
      <c r="D60" s="14">
        <f>IF(F3="1",SUMIF(Data!A:A,'31'!$A$2,Data!DS:DS),0)</f>
        <v>172704</v>
      </c>
      <c r="E60" s="17">
        <f>IF($F$3="1",SUMIF(Data!$A:$A,$A$2,Data!JM:JM),0)</f>
        <v>12547</v>
      </c>
      <c r="F60" s="21">
        <f t="shared" si="3"/>
        <v>7.0000000000000007E-2</v>
      </c>
    </row>
    <row r="61" spans="1:6" x14ac:dyDescent="0.2">
      <c r="A61" s="19">
        <v>26</v>
      </c>
      <c r="B61" s="181" t="s">
        <v>23</v>
      </c>
      <c r="C61" s="182"/>
      <c r="D61" s="14">
        <f>IF(F3="1",SUMIF(Data!A:A,'31'!$A$2,Data!DT:DT),0)</f>
        <v>34656</v>
      </c>
      <c r="E61" s="17">
        <f>IF($F$3="1",SUMIF(Data!$A:$A,$A$2,Data!JN:JN),0)</f>
        <v>19962</v>
      </c>
      <c r="F61" s="21">
        <f t="shared" si="3"/>
        <v>0.57999999999999996</v>
      </c>
    </row>
    <row r="62" spans="1:6" x14ac:dyDescent="0.2">
      <c r="A62" s="19">
        <v>28</v>
      </c>
      <c r="B62" s="181" t="s">
        <v>24</v>
      </c>
      <c r="C62" s="182"/>
      <c r="D62" s="14">
        <f>IF(F3="1",SUMIF(Data!A:A,'31'!$A$2,Data!DV:DV),0)</f>
        <v>0</v>
      </c>
      <c r="E62" s="17">
        <f>IF($F$3="1",SUMIF(Data!$A:$A,$A$2,Data!JP:JP),0)</f>
        <v>0</v>
      </c>
      <c r="F62" s="21" t="str">
        <f t="shared" si="3"/>
        <v/>
      </c>
    </row>
    <row r="63" spans="1:6" ht="15.75" customHeight="1" thickBot="1" x14ac:dyDescent="0.25">
      <c r="A63" s="22">
        <v>29</v>
      </c>
      <c r="B63" s="183" t="s">
        <v>25</v>
      </c>
      <c r="C63" s="184"/>
      <c r="D63" s="23">
        <f>IF(F3="1",SUMIF(Data!A:A,'31'!$A$2,Data!DW:DW),0)</f>
        <v>0</v>
      </c>
      <c r="E63" s="24">
        <f>IF($F$3="1",SUMIF(Data!$A:$A,$A$2,Data!JQ:JQ),0)</f>
        <v>0</v>
      </c>
      <c r="F63" s="25" t="str">
        <f t="shared" si="3"/>
        <v/>
      </c>
    </row>
    <row r="64" spans="1:6" x14ac:dyDescent="0.2">
      <c r="B64" s="30" t="s">
        <v>35</v>
      </c>
      <c r="C64" s="30"/>
      <c r="D64" s="59">
        <f>SUM(D36:D63)</f>
        <v>1035398</v>
      </c>
      <c r="E64" s="31">
        <f>SUM(E36:E63)</f>
        <v>311020</v>
      </c>
      <c r="F64" s="32">
        <f t="shared" si="3"/>
        <v>0.3</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19576</v>
      </c>
      <c r="E67" s="15">
        <f>IF(F3="1",SUMIF(Data!A:A,'31'!$A$2,Data!DY:DY),0)</f>
        <v>48878</v>
      </c>
      <c r="F67" s="20">
        <f t="shared" ref="F67:F95" si="4">IF(OR(D67=0,E67=0),"",ROUND(E67/D67,2))</f>
        <v>2.5</v>
      </c>
    </row>
    <row r="68" spans="1:6" x14ac:dyDescent="0.2">
      <c r="A68" s="19">
        <v>2</v>
      </c>
      <c r="B68" s="181" t="s">
        <v>1</v>
      </c>
      <c r="C68" s="182"/>
      <c r="D68" s="14">
        <f t="shared" ref="D68:D94" si="5">D37</f>
        <v>16896</v>
      </c>
      <c r="E68" s="17">
        <f>IF(F3="1",SUMIF(Data!A:A,'31'!$A$2,Data!DZ:DZ),0)</f>
        <v>85624</v>
      </c>
      <c r="F68" s="21">
        <f t="shared" si="4"/>
        <v>5.07</v>
      </c>
    </row>
    <row r="69" spans="1:6" ht="14.25" customHeight="1" x14ac:dyDescent="0.2">
      <c r="A69" s="19">
        <v>3</v>
      </c>
      <c r="B69" s="181" t="s">
        <v>2</v>
      </c>
      <c r="C69" s="182"/>
      <c r="D69" s="14">
        <f t="shared" si="5"/>
        <v>126992</v>
      </c>
      <c r="E69" s="17">
        <f>IF(F3="1",SUMIF(Data!A:A,'31'!$A$2,Data!EA:EA),0)</f>
        <v>391464</v>
      </c>
      <c r="F69" s="21">
        <f t="shared" si="4"/>
        <v>3.08</v>
      </c>
    </row>
    <row r="70" spans="1:6" ht="14.25" customHeight="1" x14ac:dyDescent="0.2">
      <c r="A70" s="19">
        <v>4</v>
      </c>
      <c r="B70" s="181" t="s">
        <v>3</v>
      </c>
      <c r="C70" s="182"/>
      <c r="D70" s="14">
        <f t="shared" si="5"/>
        <v>83583</v>
      </c>
      <c r="E70" s="17">
        <f>IF(F3="1",SUMIF(Data!A:A,'31'!$A$2,Data!EB:EB),0)</f>
        <v>229928</v>
      </c>
      <c r="F70" s="21">
        <f t="shared" si="4"/>
        <v>2.75</v>
      </c>
    </row>
    <row r="71" spans="1:6" x14ac:dyDescent="0.2">
      <c r="A71" s="19">
        <v>5</v>
      </c>
      <c r="B71" s="181" t="s">
        <v>4</v>
      </c>
      <c r="C71" s="182"/>
      <c r="D71" s="14">
        <f t="shared" si="5"/>
        <v>0</v>
      </c>
      <c r="E71" s="17">
        <f>IF(F3="1",SUMIF(Data!A:A,'31'!$A$2,Data!EC:EC),0)</f>
        <v>0</v>
      </c>
      <c r="F71" s="21" t="str">
        <f t="shared" si="4"/>
        <v/>
      </c>
    </row>
    <row r="72" spans="1:6" x14ac:dyDescent="0.2">
      <c r="A72" s="19">
        <v>6</v>
      </c>
      <c r="B72" s="181" t="s">
        <v>5</v>
      </c>
      <c r="C72" s="182"/>
      <c r="D72" s="14">
        <f t="shared" si="5"/>
        <v>2932</v>
      </c>
      <c r="E72" s="17">
        <f>IF(F3="1",SUMIF(Data!A:A,'31'!$A$2,Data!ED:ED),0)</f>
        <v>37381</v>
      </c>
      <c r="F72" s="21">
        <f t="shared" si="4"/>
        <v>12.75</v>
      </c>
    </row>
    <row r="73" spans="1:6" x14ac:dyDescent="0.2">
      <c r="A73" s="19">
        <v>7</v>
      </c>
      <c r="B73" s="181" t="s">
        <v>6</v>
      </c>
      <c r="C73" s="182"/>
      <c r="D73" s="14">
        <f t="shared" si="5"/>
        <v>63299</v>
      </c>
      <c r="E73" s="17">
        <f>IF(F3="1",SUMIF(Data!A:A,'31'!$A$2,Data!EE:EE),0)</f>
        <v>218317</v>
      </c>
      <c r="F73" s="21">
        <f t="shared" si="4"/>
        <v>3.45</v>
      </c>
    </row>
    <row r="74" spans="1:6" x14ac:dyDescent="0.2">
      <c r="A74" s="19">
        <v>8</v>
      </c>
      <c r="B74" s="181" t="s">
        <v>7</v>
      </c>
      <c r="C74" s="182"/>
      <c r="D74" s="14">
        <f t="shared" si="5"/>
        <v>1680</v>
      </c>
      <c r="E74" s="17">
        <f>IF(F3="1",SUMIF(Data!A:A,'31'!$A$2,Data!EF:EF),0)</f>
        <v>8027</v>
      </c>
      <c r="F74" s="21">
        <f t="shared" si="4"/>
        <v>4.78</v>
      </c>
    </row>
    <row r="75" spans="1:6" x14ac:dyDescent="0.2">
      <c r="A75" s="19">
        <v>9</v>
      </c>
      <c r="B75" s="181" t="s">
        <v>8</v>
      </c>
      <c r="C75" s="182"/>
      <c r="D75" s="14">
        <f t="shared" si="5"/>
        <v>39815</v>
      </c>
      <c r="E75" s="17">
        <f>IF(F3="1",SUMIF(Data!A:A,'31'!$A$2,Data!EG:EG),0)</f>
        <v>47541</v>
      </c>
      <c r="F75" s="21">
        <f t="shared" si="4"/>
        <v>1.19</v>
      </c>
    </row>
    <row r="76" spans="1:6" x14ac:dyDescent="0.2">
      <c r="A76" s="19">
        <v>10</v>
      </c>
      <c r="B76" s="181" t="s">
        <v>9</v>
      </c>
      <c r="C76" s="182"/>
      <c r="D76" s="14">
        <f t="shared" si="5"/>
        <v>0</v>
      </c>
      <c r="E76" s="17">
        <f>IF(F3="1",SUMIF(Data!A:A,'31'!$A$2,Data!EH:EH),0)</f>
        <v>0</v>
      </c>
      <c r="F76" s="21" t="str">
        <f t="shared" si="4"/>
        <v/>
      </c>
    </row>
    <row r="77" spans="1:6" x14ac:dyDescent="0.2">
      <c r="A77" s="19">
        <v>11</v>
      </c>
      <c r="B77" s="181" t="s">
        <v>10</v>
      </c>
      <c r="C77" s="182"/>
      <c r="D77" s="14">
        <f t="shared" si="5"/>
        <v>992</v>
      </c>
      <c r="E77" s="17">
        <f>IF(F3="1",SUMIF(Data!A:A,'31'!$A$2,Data!EI:EI),0)</f>
        <v>2530</v>
      </c>
      <c r="F77" s="21">
        <f t="shared" si="4"/>
        <v>2.5499999999999998</v>
      </c>
    </row>
    <row r="78" spans="1:6" ht="14.25" customHeight="1" x14ac:dyDescent="0.2">
      <c r="A78" s="19">
        <v>12</v>
      </c>
      <c r="B78" s="181" t="s">
        <v>11</v>
      </c>
      <c r="C78" s="182"/>
      <c r="D78" s="14">
        <f t="shared" si="5"/>
        <v>146744</v>
      </c>
      <c r="E78" s="17">
        <f>IF(F3="1",SUMIF(Data!A:A,'31'!$A$2,Data!EJ:EJ),0)</f>
        <v>373836</v>
      </c>
      <c r="F78" s="21">
        <f t="shared" si="4"/>
        <v>2.5499999999999998</v>
      </c>
    </row>
    <row r="79" spans="1:6" x14ac:dyDescent="0.2">
      <c r="A79" s="19">
        <v>13</v>
      </c>
      <c r="B79" s="181" t="s">
        <v>12</v>
      </c>
      <c r="C79" s="182"/>
      <c r="D79" s="14">
        <f t="shared" si="5"/>
        <v>10240</v>
      </c>
      <c r="E79" s="17">
        <f>IF(F3="1",SUMIF(Data!A:A,'31'!$A$2,Data!EK:EK),0)</f>
        <v>48935</v>
      </c>
      <c r="F79" s="21">
        <f t="shared" si="4"/>
        <v>4.78</v>
      </c>
    </row>
    <row r="80" spans="1:6" ht="14.25" customHeight="1" x14ac:dyDescent="0.2">
      <c r="A80" s="19">
        <v>14</v>
      </c>
      <c r="B80" s="181" t="s">
        <v>464</v>
      </c>
      <c r="C80" s="182"/>
      <c r="D80" s="14">
        <f t="shared" si="5"/>
        <v>31569</v>
      </c>
      <c r="E80" s="17">
        <f>IF(F3="1",SUMIF(Data!A:A,'31'!$A$2,Data!EL:EL),0)</f>
        <v>211561</v>
      </c>
      <c r="F80" s="21">
        <f t="shared" si="4"/>
        <v>6.7</v>
      </c>
    </row>
    <row r="81" spans="1:6" x14ac:dyDescent="0.2">
      <c r="A81" s="19">
        <v>15</v>
      </c>
      <c r="B81" s="181" t="s">
        <v>13</v>
      </c>
      <c r="C81" s="182"/>
      <c r="D81" s="14">
        <f t="shared" si="5"/>
        <v>0</v>
      </c>
      <c r="E81" s="17">
        <f>IF(F3="1",SUMIF(Data!A:A,'31'!$A$2,Data!EM:EM),0)</f>
        <v>0</v>
      </c>
      <c r="F81" s="21" t="str">
        <f t="shared" si="4"/>
        <v/>
      </c>
    </row>
    <row r="82" spans="1:6" x14ac:dyDescent="0.2">
      <c r="A82" s="19">
        <v>16</v>
      </c>
      <c r="B82" s="181" t="s">
        <v>14</v>
      </c>
      <c r="C82" s="182"/>
      <c r="D82" s="14">
        <f t="shared" si="5"/>
        <v>38800</v>
      </c>
      <c r="E82" s="17">
        <f>IF(F3="1",SUMIF(Data!A:A,'31'!$A$2,Data!EN:EN),0)</f>
        <v>70686</v>
      </c>
      <c r="F82" s="21">
        <f t="shared" si="4"/>
        <v>1.82</v>
      </c>
    </row>
    <row r="83" spans="1:6" x14ac:dyDescent="0.2">
      <c r="A83" s="19">
        <v>17</v>
      </c>
      <c r="B83" s="181" t="s">
        <v>15</v>
      </c>
      <c r="C83" s="182"/>
      <c r="D83" s="14">
        <f t="shared" si="5"/>
        <v>0</v>
      </c>
      <c r="E83" s="17">
        <f>IF(F3="1",SUMIF(Data!A:A,'31'!$A$2,Data!EO:EO),0)</f>
        <v>0</v>
      </c>
      <c r="F83" s="21" t="str">
        <f t="shared" si="4"/>
        <v/>
      </c>
    </row>
    <row r="84" spans="1:6" x14ac:dyDescent="0.2">
      <c r="A84" s="19">
        <v>18</v>
      </c>
      <c r="B84" s="181" t="s">
        <v>16</v>
      </c>
      <c r="C84" s="182"/>
      <c r="D84" s="14">
        <f t="shared" si="5"/>
        <v>36176</v>
      </c>
      <c r="E84" s="17">
        <f>IF(F3="1",SUMIF(Data!A:A,'31'!$A$2,Data!EP:EP),0)</f>
        <v>139588</v>
      </c>
      <c r="F84" s="21">
        <f t="shared" si="4"/>
        <v>3.86</v>
      </c>
    </row>
    <row r="85" spans="1:6" x14ac:dyDescent="0.2">
      <c r="A85" s="19">
        <v>19</v>
      </c>
      <c r="B85" s="181" t="s">
        <v>17</v>
      </c>
      <c r="C85" s="182"/>
      <c r="D85" s="14">
        <f t="shared" si="5"/>
        <v>98192</v>
      </c>
      <c r="E85" s="17">
        <f>IF(F3="1",SUMIF(Data!A:A,'31'!$A$2,Data!EQ:EQ),0)</f>
        <v>279855</v>
      </c>
      <c r="F85" s="21">
        <f t="shared" si="4"/>
        <v>2.85</v>
      </c>
    </row>
    <row r="86" spans="1:6" x14ac:dyDescent="0.2">
      <c r="A86" s="19">
        <v>20</v>
      </c>
      <c r="B86" s="181" t="s">
        <v>18</v>
      </c>
      <c r="C86" s="182"/>
      <c r="D86" s="14">
        <f t="shared" si="5"/>
        <v>11152</v>
      </c>
      <c r="E86" s="17">
        <f>IF(F3="1",SUMIF(Data!A:A,'31'!$A$2,Data!ER:ER),0)</f>
        <v>56191</v>
      </c>
      <c r="F86" s="21">
        <f t="shared" si="4"/>
        <v>5.04</v>
      </c>
    </row>
    <row r="87" spans="1:6" ht="14.25" customHeight="1" x14ac:dyDescent="0.2">
      <c r="A87" s="19">
        <v>21</v>
      </c>
      <c r="B87" s="181" t="s">
        <v>461</v>
      </c>
      <c r="C87" s="182"/>
      <c r="D87" s="14">
        <f t="shared" si="5"/>
        <v>22940</v>
      </c>
      <c r="E87" s="17">
        <f>IF(F3="1",SUMIF(Data!A:A,'31'!$A$2,Data!ES:ES),0)</f>
        <v>98178</v>
      </c>
      <c r="F87" s="21">
        <f t="shared" si="4"/>
        <v>4.28</v>
      </c>
    </row>
    <row r="88" spans="1:6" x14ac:dyDescent="0.2">
      <c r="A88" s="19">
        <v>22</v>
      </c>
      <c r="B88" s="181" t="s">
        <v>19</v>
      </c>
      <c r="C88" s="182"/>
      <c r="D88" s="14">
        <f t="shared" si="5"/>
        <v>0</v>
      </c>
      <c r="E88" s="17">
        <f>IF(F3="1",SUMIF(Data!A:A,'31'!$A$2,Data!ET:ET),0)</f>
        <v>0</v>
      </c>
      <c r="F88" s="21" t="str">
        <f t="shared" si="4"/>
        <v/>
      </c>
    </row>
    <row r="89" spans="1:6" x14ac:dyDescent="0.2">
      <c r="A89" s="19">
        <v>23</v>
      </c>
      <c r="B89" s="181" t="s">
        <v>20</v>
      </c>
      <c r="C89" s="182"/>
      <c r="D89" s="14">
        <f t="shared" si="5"/>
        <v>38848</v>
      </c>
      <c r="E89" s="17">
        <f>IF(F3="1",SUMIF(Data!A:A,'31'!$A$2,Data!EU:EU),0)</f>
        <v>115674</v>
      </c>
      <c r="F89" s="21">
        <f t="shared" si="4"/>
        <v>2.98</v>
      </c>
    </row>
    <row r="90" spans="1:6" x14ac:dyDescent="0.2">
      <c r="A90" s="19">
        <v>24</v>
      </c>
      <c r="B90" s="181" t="s">
        <v>21</v>
      </c>
      <c r="C90" s="182"/>
      <c r="D90" s="14">
        <f t="shared" si="5"/>
        <v>37612</v>
      </c>
      <c r="E90" s="17">
        <f>IF(F3="1",SUMIF(Data!A:A,'31'!$A$2,Data!EV:EV),0)</f>
        <v>181968</v>
      </c>
      <c r="F90" s="21">
        <f t="shared" si="4"/>
        <v>4.84</v>
      </c>
    </row>
    <row r="91" spans="1:6" x14ac:dyDescent="0.2">
      <c r="A91" s="19">
        <v>25</v>
      </c>
      <c r="B91" s="181" t="s">
        <v>22</v>
      </c>
      <c r="C91" s="182"/>
      <c r="D91" s="14">
        <f t="shared" si="5"/>
        <v>172704</v>
      </c>
      <c r="E91" s="17">
        <f>IF(F3="1",SUMIF(Data!A:A,'31'!$A$2,Data!EW:EW),0)</f>
        <v>366787</v>
      </c>
      <c r="F91" s="21">
        <f t="shared" si="4"/>
        <v>2.12</v>
      </c>
    </row>
    <row r="92" spans="1:6" x14ac:dyDescent="0.2">
      <c r="A92" s="19">
        <v>26</v>
      </c>
      <c r="B92" s="181" t="s">
        <v>23</v>
      </c>
      <c r="C92" s="182"/>
      <c r="D92" s="14">
        <f t="shared" si="5"/>
        <v>34656</v>
      </c>
      <c r="E92" s="17">
        <f>IF(F3="1",SUMIF(Data!A:A,'31'!$A$2,Data!EX:EX),0)</f>
        <v>225217</v>
      </c>
      <c r="F92" s="21">
        <f t="shared" si="4"/>
        <v>6.5</v>
      </c>
    </row>
    <row r="93" spans="1:6" x14ac:dyDescent="0.2">
      <c r="A93" s="19">
        <v>28</v>
      </c>
      <c r="B93" s="181" t="s">
        <v>24</v>
      </c>
      <c r="C93" s="182"/>
      <c r="D93" s="14">
        <f t="shared" si="5"/>
        <v>0</v>
      </c>
      <c r="E93" s="17">
        <f>IF(F3="1",SUMIF(Data!A:A,'31'!$A$2,Data!EZ:EZ),0)</f>
        <v>0</v>
      </c>
      <c r="F93" s="21" t="str">
        <f t="shared" si="4"/>
        <v/>
      </c>
    </row>
    <row r="94" spans="1:6" ht="15.75" customHeight="1" thickBot="1" x14ac:dyDescent="0.25">
      <c r="A94" s="22">
        <v>29</v>
      </c>
      <c r="B94" s="183" t="s">
        <v>25</v>
      </c>
      <c r="C94" s="184"/>
      <c r="D94" s="23">
        <f t="shared" si="5"/>
        <v>0</v>
      </c>
      <c r="E94" s="24">
        <f>IF(F3="1",SUMIF(Data!A:A,'31'!$A$2,Data!FA:FA),0)</f>
        <v>0</v>
      </c>
      <c r="F94" s="25" t="str">
        <f t="shared" si="4"/>
        <v/>
      </c>
    </row>
    <row r="95" spans="1:6" x14ac:dyDescent="0.2">
      <c r="B95" s="30" t="s">
        <v>35</v>
      </c>
      <c r="C95" s="30"/>
      <c r="D95" s="59">
        <f>SUM(D67:D94)</f>
        <v>1035398</v>
      </c>
      <c r="E95" s="31">
        <f>SUM(E67:E94)</f>
        <v>3238166</v>
      </c>
      <c r="F95" s="32">
        <f t="shared" si="4"/>
        <v>3.13</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IF(F3="1",SUMIF(Data!A:A,'31'!$A$2,Data!AH:AH),0)</f>
        <v>1736779</v>
      </c>
      <c r="F98" s="20">
        <f>IF(OR(E98=0,E98=0),"",ROUND(E98/$D$105,2))</f>
        <v>1.68</v>
      </c>
    </row>
    <row r="99" spans="2:6" x14ac:dyDescent="0.2">
      <c r="B99" s="187" t="s">
        <v>31</v>
      </c>
      <c r="C99" s="188"/>
      <c r="D99" s="36"/>
      <c r="E99" s="17">
        <f>IF(F3="1",SUMIF(Data!A:A,'31'!$A$2,Data!AI:AI),0)</f>
        <v>505240</v>
      </c>
      <c r="F99" s="21">
        <f t="shared" ref="F99:F104" si="6">IF(OR(E99=0,E99=0),"",ROUND(E99/$D$105,2))</f>
        <v>0.49</v>
      </c>
    </row>
    <row r="100" spans="2:6" x14ac:dyDescent="0.2">
      <c r="B100" s="187" t="s">
        <v>1078</v>
      </c>
      <c r="C100" s="188"/>
      <c r="D100" s="36"/>
      <c r="E100" s="17">
        <f>IF(F3="1",SUMIF(Data!A:A,'31'!$A$2,Data!AJ:AJ),0)</f>
        <v>238250</v>
      </c>
      <c r="F100" s="21">
        <f t="shared" si="6"/>
        <v>0.23</v>
      </c>
    </row>
    <row r="101" spans="2:6" x14ac:dyDescent="0.2">
      <c r="B101" s="187" t="s">
        <v>1079</v>
      </c>
      <c r="C101" s="188"/>
      <c r="D101" s="36"/>
      <c r="E101" s="17">
        <f>IF(F3="1",SUMIF(Data!A:A,'31'!$A$2,Data!AK:AK),0)</f>
        <v>424610</v>
      </c>
      <c r="F101" s="21">
        <f t="shared" si="6"/>
        <v>0.41</v>
      </c>
    </row>
    <row r="102" spans="2:6" x14ac:dyDescent="0.2">
      <c r="B102" s="187" t="s">
        <v>1080</v>
      </c>
      <c r="C102" s="188"/>
      <c r="D102" s="36"/>
      <c r="E102" s="17">
        <f>IF(F3="1",SUMIF(Data!A:A,'31'!$A$2,Data!AL:AL),0)</f>
        <v>36132</v>
      </c>
      <c r="F102" s="21">
        <f t="shared" si="6"/>
        <v>0.03</v>
      </c>
    </row>
    <row r="103" spans="2:6" x14ac:dyDescent="0.2">
      <c r="B103" s="189" t="s">
        <v>34</v>
      </c>
      <c r="C103" s="190"/>
      <c r="D103" s="36"/>
      <c r="E103" s="17">
        <f>IF(F3="1",SUMIF(Data!A:A,'31'!$A$2,Data!AM:AM),0)</f>
        <v>0</v>
      </c>
      <c r="F103" s="21" t="str">
        <f t="shared" si="6"/>
        <v/>
      </c>
    </row>
    <row r="104" spans="2:6" ht="15.75" customHeight="1" thickBot="1" x14ac:dyDescent="0.25">
      <c r="B104" s="179" t="s">
        <v>29</v>
      </c>
      <c r="C104" s="180"/>
      <c r="D104" s="37"/>
      <c r="E104" s="24">
        <f>IF(F3="1",SUMIF(Data!A:A,'31'!$A$2,Data!Q:Q),0)</f>
        <v>263775</v>
      </c>
      <c r="F104" s="25">
        <f t="shared" si="6"/>
        <v>0.25</v>
      </c>
    </row>
    <row r="105" spans="2:6" x14ac:dyDescent="0.2">
      <c r="B105" s="30" t="s">
        <v>35</v>
      </c>
      <c r="C105" s="30"/>
      <c r="D105" s="34">
        <f>D95</f>
        <v>1035398</v>
      </c>
      <c r="E105" s="31">
        <f>SUM(E98:E104)</f>
        <v>3204786</v>
      </c>
      <c r="F105" s="32">
        <f>IF($D$105=0,"",ROUND(E105/$D$105,2))</f>
        <v>3.1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3238166</v>
      </c>
      <c r="D109" s="15">
        <f>IF(F3="1",SUMIF(Data!$A:$A,$A$2,Data!HJ:HJ),0)</f>
        <v>0</v>
      </c>
      <c r="E109" s="15">
        <f>IF(F3="1",SUMIF(Data!$A:$A,$A$2,Data!IN:IN),0)</f>
        <v>0</v>
      </c>
      <c r="F109" s="47">
        <f>SUM(C109:E109)</f>
        <v>3238166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36132</v>
      </c>
      <c r="F116" s="48">
        <f t="shared" si="7"/>
        <v>36132</v>
      </c>
    </row>
    <row r="117" spans="1:6" ht="15" thickBot="1" x14ac:dyDescent="0.25">
      <c r="B117" s="43" t="s">
        <v>933</v>
      </c>
      <c r="C117" s="52"/>
      <c r="D117" s="52">
        <f>IF(F3="1",SUMIF(Data!A:A,$A$2,Data!Q:Q),0)</f>
        <v>263775</v>
      </c>
      <c r="E117" s="52"/>
      <c r="F117" s="49">
        <f>SUM(C117:E117)</f>
        <v>263775</v>
      </c>
    </row>
    <row r="118" spans="1:6" x14ac:dyDescent="0.2">
      <c r="B118" s="13" t="s">
        <v>35</v>
      </c>
      <c r="C118" s="4">
        <f>SUM(C109:C116)</f>
        <v>3238166</v>
      </c>
      <c r="D118" s="4">
        <f>SUM(D109:D116)</f>
        <v>0</v>
      </c>
      <c r="E118" s="4">
        <f>SUM(E109:E116)</f>
        <v>36132</v>
      </c>
      <c r="F118" s="4">
        <f>SUM(F109:F116)</f>
        <v>3274298</v>
      </c>
    </row>
    <row r="119" spans="1:6" ht="15" thickBot="1" x14ac:dyDescent="0.25"/>
    <row r="120" spans="1:6" ht="15" thickBot="1" x14ac:dyDescent="0.25">
      <c r="B120" s="55" t="s">
        <v>934</v>
      </c>
      <c r="C120" s="53"/>
      <c r="D120" s="53"/>
      <c r="E120" s="53">
        <f>IF(F3="1",SUMIF(Data!A:A,'31'!$A$2,Data!AM:AM),0)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386</v>
      </c>
      <c r="B2" s="58" t="str">
        <f>VLOOKUP(A2,Data!A:G,7,0)</f>
        <v>Odessa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16800</v>
      </c>
      <c r="E5" s="15">
        <f>E36+E67+IFERROR($E$105/$D$105*D5,0)</f>
        <v>106773.1867542816</v>
      </c>
      <c r="F5" s="20">
        <f>IF(OR(D5=0,E5=0),"",ROUND(E5/D5,2))</f>
        <v>6.36</v>
      </c>
    </row>
    <row r="6" spans="1:6" x14ac:dyDescent="0.2">
      <c r="A6" s="19">
        <v>2</v>
      </c>
      <c r="B6" s="181" t="s">
        <v>1</v>
      </c>
      <c r="C6" s="182"/>
      <c r="D6" s="14">
        <f t="shared" ref="D6:D32" si="0">D37</f>
        <v>33404</v>
      </c>
      <c r="E6" s="17">
        <f t="shared" ref="E6:E32" si="1">E37+E68+IFERROR($E$105/$D$105*D6,0)</f>
        <v>323749.21799642988</v>
      </c>
      <c r="F6" s="21">
        <f t="shared" ref="F6:F33" si="2">IF(OR(D6=0,E6=0),"",ROUND(E6/D6,2))</f>
        <v>9.69</v>
      </c>
    </row>
    <row r="7" spans="1:6" ht="14.25" customHeight="1" x14ac:dyDescent="0.2">
      <c r="A7" s="19">
        <v>3</v>
      </c>
      <c r="B7" s="181" t="s">
        <v>2</v>
      </c>
      <c r="C7" s="182"/>
      <c r="D7" s="14">
        <f t="shared" si="0"/>
        <v>165024</v>
      </c>
      <c r="E7" s="17">
        <f t="shared" si="1"/>
        <v>1016923.2001749147</v>
      </c>
      <c r="F7" s="21">
        <f t="shared" si="2"/>
        <v>6.16</v>
      </c>
    </row>
    <row r="8" spans="1:6" ht="14.25" customHeight="1" x14ac:dyDescent="0.2">
      <c r="A8" s="19">
        <v>4</v>
      </c>
      <c r="B8" s="181" t="s">
        <v>3</v>
      </c>
      <c r="C8" s="182"/>
      <c r="D8" s="14">
        <f t="shared" si="0"/>
        <v>121115</v>
      </c>
      <c r="E8" s="17">
        <f t="shared" si="1"/>
        <v>862105.65230623912</v>
      </c>
      <c r="F8" s="21">
        <f t="shared" si="2"/>
        <v>7.12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1886</v>
      </c>
      <c r="E10" s="17">
        <f t="shared" si="1"/>
        <v>22485.200489200899</v>
      </c>
      <c r="F10" s="21">
        <f t="shared" si="2"/>
        <v>11.92</v>
      </c>
    </row>
    <row r="11" spans="1:6" x14ac:dyDescent="0.2">
      <c r="A11" s="19">
        <v>7</v>
      </c>
      <c r="B11" s="181" t="s">
        <v>6</v>
      </c>
      <c r="C11" s="182"/>
      <c r="D11" s="14">
        <f t="shared" si="0"/>
        <v>108118</v>
      </c>
      <c r="E11" s="17">
        <f t="shared" si="1"/>
        <v>813763.4880654416</v>
      </c>
      <c r="F11" s="21">
        <f t="shared" si="2"/>
        <v>7.53</v>
      </c>
    </row>
    <row r="12" spans="1:6" x14ac:dyDescent="0.2">
      <c r="A12" s="19">
        <v>8</v>
      </c>
      <c r="B12" s="181" t="s">
        <v>7</v>
      </c>
      <c r="C12" s="182"/>
      <c r="D12" s="14">
        <f t="shared" si="0"/>
        <v>18449</v>
      </c>
      <c r="E12" s="17">
        <f t="shared" si="1"/>
        <v>91349.183894627466</v>
      </c>
      <c r="F12" s="21">
        <f t="shared" si="2"/>
        <v>4.95</v>
      </c>
    </row>
    <row r="13" spans="1:6" x14ac:dyDescent="0.2">
      <c r="A13" s="19">
        <v>9</v>
      </c>
      <c r="B13" s="181" t="s">
        <v>8</v>
      </c>
      <c r="C13" s="182"/>
      <c r="D13" s="14">
        <f t="shared" si="0"/>
        <v>148378</v>
      </c>
      <c r="E13" s="17">
        <f t="shared" si="1"/>
        <v>1051242.7784658808</v>
      </c>
      <c r="F13" s="21">
        <f t="shared" si="2"/>
        <v>7.08</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59014</v>
      </c>
      <c r="E15" s="17">
        <f t="shared" si="1"/>
        <v>495046.97649506992</v>
      </c>
      <c r="F15" s="21">
        <f t="shared" si="2"/>
        <v>8.39</v>
      </c>
    </row>
    <row r="16" spans="1:6" ht="14.25" customHeight="1" x14ac:dyDescent="0.2">
      <c r="A16" s="19">
        <v>12</v>
      </c>
      <c r="B16" s="181" t="s">
        <v>11</v>
      </c>
      <c r="C16" s="182"/>
      <c r="D16" s="14">
        <f t="shared" si="0"/>
        <v>394043</v>
      </c>
      <c r="E16" s="17">
        <f t="shared" si="1"/>
        <v>2360618.0176915107</v>
      </c>
      <c r="F16" s="21">
        <f t="shared" si="2"/>
        <v>5.99</v>
      </c>
    </row>
    <row r="17" spans="1:6" x14ac:dyDescent="0.2">
      <c r="A17" s="19">
        <v>13</v>
      </c>
      <c r="B17" s="181" t="s">
        <v>12</v>
      </c>
      <c r="C17" s="182"/>
      <c r="D17" s="14">
        <f t="shared" si="0"/>
        <v>21229</v>
      </c>
      <c r="E17" s="17">
        <f t="shared" si="1"/>
        <v>131873.69575039548</v>
      </c>
      <c r="F17" s="21">
        <f t="shared" si="2"/>
        <v>6.21</v>
      </c>
    </row>
    <row r="18" spans="1:6" ht="14.25" customHeight="1" x14ac:dyDescent="0.2">
      <c r="A18" s="19">
        <v>14</v>
      </c>
      <c r="B18" s="181" t="s">
        <v>464</v>
      </c>
      <c r="C18" s="182"/>
      <c r="D18" s="14">
        <f t="shared" si="0"/>
        <v>123142</v>
      </c>
      <c r="E18" s="17">
        <f t="shared" si="1"/>
        <v>1186442.1636485562</v>
      </c>
      <c r="F18" s="21">
        <f t="shared" si="2"/>
        <v>9.6300000000000008</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154578</v>
      </c>
      <c r="E20" s="17">
        <f t="shared" si="1"/>
        <v>1290270.0854823417</v>
      </c>
      <c r="F20" s="21">
        <f t="shared" si="2"/>
        <v>8.35</v>
      </c>
    </row>
    <row r="21" spans="1:6" x14ac:dyDescent="0.2">
      <c r="A21" s="19">
        <v>17</v>
      </c>
      <c r="B21" s="181" t="s">
        <v>15</v>
      </c>
      <c r="C21" s="182"/>
      <c r="D21" s="14">
        <f t="shared" si="0"/>
        <v>6528</v>
      </c>
      <c r="E21" s="17">
        <f t="shared" si="1"/>
        <v>130859.68971023514</v>
      </c>
      <c r="F21" s="21">
        <f t="shared" si="2"/>
        <v>20.05</v>
      </c>
    </row>
    <row r="22" spans="1:6" x14ac:dyDescent="0.2">
      <c r="A22" s="19">
        <v>18</v>
      </c>
      <c r="B22" s="181" t="s">
        <v>16</v>
      </c>
      <c r="C22" s="182"/>
      <c r="D22" s="14">
        <f t="shared" si="0"/>
        <v>94390</v>
      </c>
      <c r="E22" s="17">
        <f t="shared" si="1"/>
        <v>582013.86117479997</v>
      </c>
      <c r="F22" s="21">
        <f t="shared" si="2"/>
        <v>6.17</v>
      </c>
    </row>
    <row r="23" spans="1:6" x14ac:dyDescent="0.2">
      <c r="A23" s="19">
        <v>19</v>
      </c>
      <c r="B23" s="181" t="s">
        <v>17</v>
      </c>
      <c r="C23" s="182"/>
      <c r="D23" s="14">
        <f t="shared" si="0"/>
        <v>196560</v>
      </c>
      <c r="E23" s="17">
        <f t="shared" si="1"/>
        <v>1245362.3850250947</v>
      </c>
      <c r="F23" s="21">
        <f t="shared" si="2"/>
        <v>6.34</v>
      </c>
    </row>
    <row r="24" spans="1:6" x14ac:dyDescent="0.2">
      <c r="A24" s="19">
        <v>20</v>
      </c>
      <c r="B24" s="181" t="s">
        <v>18</v>
      </c>
      <c r="C24" s="182"/>
      <c r="D24" s="14">
        <f t="shared" si="0"/>
        <v>25856</v>
      </c>
      <c r="E24" s="17">
        <f t="shared" si="1"/>
        <v>176575.04551897052</v>
      </c>
      <c r="F24" s="21">
        <f t="shared" si="2"/>
        <v>6.83</v>
      </c>
    </row>
    <row r="25" spans="1:6" ht="14.25" customHeight="1" x14ac:dyDescent="0.2">
      <c r="A25" s="19">
        <v>21</v>
      </c>
      <c r="B25" s="181" t="s">
        <v>461</v>
      </c>
      <c r="C25" s="182"/>
      <c r="D25" s="14">
        <f t="shared" si="0"/>
        <v>38732</v>
      </c>
      <c r="E25" s="17">
        <f t="shared" si="1"/>
        <v>659590.75150993071</v>
      </c>
      <c r="F25" s="21">
        <f t="shared" si="2"/>
        <v>17.03</v>
      </c>
    </row>
    <row r="26" spans="1:6" x14ac:dyDescent="0.2">
      <c r="A26" s="19">
        <v>22</v>
      </c>
      <c r="B26" s="181" t="s">
        <v>19</v>
      </c>
      <c r="C26" s="182"/>
      <c r="D26" s="14">
        <f t="shared" si="0"/>
        <v>10878</v>
      </c>
      <c r="E26" s="17">
        <f t="shared" si="1"/>
        <v>65807.130923397344</v>
      </c>
      <c r="F26" s="21">
        <f t="shared" si="2"/>
        <v>6.05</v>
      </c>
    </row>
    <row r="27" spans="1:6" x14ac:dyDescent="0.2">
      <c r="A27" s="19">
        <v>23</v>
      </c>
      <c r="B27" s="181" t="s">
        <v>20</v>
      </c>
      <c r="C27" s="182"/>
      <c r="D27" s="14">
        <f t="shared" si="0"/>
        <v>110672</v>
      </c>
      <c r="E27" s="17">
        <f t="shared" si="1"/>
        <v>714297.56550415792</v>
      </c>
      <c r="F27" s="21">
        <f t="shared" si="2"/>
        <v>6.45</v>
      </c>
    </row>
    <row r="28" spans="1:6" x14ac:dyDescent="0.2">
      <c r="A28" s="19">
        <v>24</v>
      </c>
      <c r="B28" s="181" t="s">
        <v>21</v>
      </c>
      <c r="C28" s="182"/>
      <c r="D28" s="14">
        <f t="shared" si="0"/>
        <v>99250</v>
      </c>
      <c r="E28" s="17">
        <f t="shared" si="1"/>
        <v>748933.04377157427</v>
      </c>
      <c r="F28" s="21">
        <f t="shared" si="2"/>
        <v>7.55</v>
      </c>
    </row>
    <row r="29" spans="1:6" x14ac:dyDescent="0.2">
      <c r="A29" s="19">
        <v>25</v>
      </c>
      <c r="B29" s="181" t="s">
        <v>22</v>
      </c>
      <c r="C29" s="182"/>
      <c r="D29" s="14">
        <f t="shared" si="0"/>
        <v>258816</v>
      </c>
      <c r="E29" s="17">
        <f t="shared" si="1"/>
        <v>1618485.1685116754</v>
      </c>
      <c r="F29" s="21">
        <f t="shared" si="2"/>
        <v>6.25</v>
      </c>
    </row>
    <row r="30" spans="1:6" x14ac:dyDescent="0.2">
      <c r="A30" s="19">
        <v>26</v>
      </c>
      <c r="B30" s="181" t="s">
        <v>23</v>
      </c>
      <c r="C30" s="182"/>
      <c r="D30" s="14">
        <f t="shared" si="0"/>
        <v>77680</v>
      </c>
      <c r="E30" s="17">
        <f t="shared" si="1"/>
        <v>808091.5111352735</v>
      </c>
      <c r="F30" s="21">
        <f t="shared" si="2"/>
        <v>10.4</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2284542</v>
      </c>
      <c r="E33" s="31">
        <f>SUM(E5:E32)</f>
        <v>16502659</v>
      </c>
      <c r="F33" s="32">
        <f t="shared" si="2"/>
        <v>7.22</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IF(F3="1",SUMIF(Data!A:A,'32'!$A$2,Data!CU:CU),0)</f>
        <v>16800</v>
      </c>
      <c r="E36" s="15">
        <f>IF(F3="1",SUMIF(Data!$A:$A,$A$2,Data!IO:IO),0)</f>
        <v>7836</v>
      </c>
      <c r="F36" s="20">
        <f t="shared" ref="F36:F64" si="3">IF(OR(D36=0,E36=0),"",ROUND(E36/D36,2))</f>
        <v>0.47</v>
      </c>
    </row>
    <row r="37" spans="1:6" x14ac:dyDescent="0.2">
      <c r="A37" s="19">
        <v>2</v>
      </c>
      <c r="B37" s="181" t="s">
        <v>1</v>
      </c>
      <c r="C37" s="182"/>
      <c r="D37" s="14">
        <f>IF(F3="1",SUMIF(Data!A:A,'32'!$A$2,Data!CV:CV),0)</f>
        <v>33404</v>
      </c>
      <c r="E37" s="17">
        <f>IF(F3="1",SUMIF(Data!$A:$A,$A$2,Data!IP:IP),0)</f>
        <v>69452</v>
      </c>
      <c r="F37" s="21">
        <f t="shared" si="3"/>
        <v>2.08</v>
      </c>
    </row>
    <row r="38" spans="1:6" ht="14.25" customHeight="1" x14ac:dyDescent="0.2">
      <c r="A38" s="19">
        <v>3</v>
      </c>
      <c r="B38" s="181" t="s">
        <v>2</v>
      </c>
      <c r="C38" s="182"/>
      <c r="D38" s="14">
        <f>IF(F3="1",SUMIF(Data!A:A,'32'!$A$2,Data!CW:CW),0)</f>
        <v>165024</v>
      </c>
      <c r="E38" s="17">
        <f>IF($F$3="1",SUMIF(Data!$A:$A,$A$2,Data!IQ:IQ),0)</f>
        <v>71091</v>
      </c>
      <c r="F38" s="21">
        <f t="shared" si="3"/>
        <v>0.43</v>
      </c>
    </row>
    <row r="39" spans="1:6" ht="14.25" customHeight="1" x14ac:dyDescent="0.2">
      <c r="A39" s="19">
        <v>4</v>
      </c>
      <c r="B39" s="181" t="s">
        <v>3</v>
      </c>
      <c r="C39" s="182"/>
      <c r="D39" s="14">
        <f>IF(F3="1",SUMIF(Data!A:A,'32'!$A$2,Data!CX:CX),0)</f>
        <v>121115</v>
      </c>
      <c r="E39" s="17">
        <f>IF($F$3="1",SUMIF(Data!$A:$A,$A$2,Data!IR:IR),0)</f>
        <v>72202</v>
      </c>
      <c r="F39" s="21">
        <f t="shared" si="3"/>
        <v>0.6</v>
      </c>
    </row>
    <row r="40" spans="1:6" x14ac:dyDescent="0.2">
      <c r="A40" s="19">
        <v>5</v>
      </c>
      <c r="B40" s="181" t="s">
        <v>4</v>
      </c>
      <c r="C40" s="182"/>
      <c r="D40" s="14">
        <f>IF(F3="1",SUMIF(Data!A:A,'32'!$A$2,Data!CY:CY),0)</f>
        <v>0</v>
      </c>
      <c r="E40" s="17">
        <f>IF($F$3="1",SUMIF(Data!$A:$A,$A$2,Data!IS:IS),0)</f>
        <v>0</v>
      </c>
      <c r="F40" s="21" t="str">
        <f t="shared" si="3"/>
        <v/>
      </c>
    </row>
    <row r="41" spans="1:6" x14ac:dyDescent="0.2">
      <c r="A41" s="19">
        <v>6</v>
      </c>
      <c r="B41" s="181" t="s">
        <v>5</v>
      </c>
      <c r="C41" s="182"/>
      <c r="D41" s="14">
        <f>IF(F3="1",SUMIF(Data!A:A,'32'!$A$2,Data!CZ:CZ),0)</f>
        <v>1886</v>
      </c>
      <c r="E41" s="17">
        <f>IF($F$3="1",SUMIF(Data!$A:$A,$A$2,Data!IT:IT),0)</f>
        <v>14100</v>
      </c>
      <c r="F41" s="21">
        <f t="shared" si="3"/>
        <v>7.48</v>
      </c>
    </row>
    <row r="42" spans="1:6" x14ac:dyDescent="0.2">
      <c r="A42" s="19">
        <v>7</v>
      </c>
      <c r="B42" s="181" t="s">
        <v>6</v>
      </c>
      <c r="C42" s="182"/>
      <c r="D42" s="14">
        <f>IF(F3="1",SUMIF(Data!A:A,'32'!$A$2,Data!DA:DA),0)</f>
        <v>108118</v>
      </c>
      <c r="E42" s="17">
        <f>IF($F$3="1",SUMIF(Data!$A:$A,$A$2,Data!IU:IU),0)</f>
        <v>136554</v>
      </c>
      <c r="F42" s="21">
        <f t="shared" si="3"/>
        <v>1.26</v>
      </c>
    </row>
    <row r="43" spans="1:6" x14ac:dyDescent="0.2">
      <c r="A43" s="19">
        <v>8</v>
      </c>
      <c r="B43" s="181" t="s">
        <v>7</v>
      </c>
      <c r="C43" s="182"/>
      <c r="D43" s="14">
        <f>IF(F3="1",SUMIF(Data!A:A,'32'!$A$2,Data!DB:DB),0)</f>
        <v>18449</v>
      </c>
      <c r="E43" s="17">
        <f>IF($F$3="1",SUMIF(Data!$A:$A,$A$2,Data!IV:IV),0)</f>
        <v>1539</v>
      </c>
      <c r="F43" s="21">
        <f t="shared" si="3"/>
        <v>0.08</v>
      </c>
    </row>
    <row r="44" spans="1:6" x14ac:dyDescent="0.2">
      <c r="A44" s="19">
        <v>9</v>
      </c>
      <c r="B44" s="181" t="s">
        <v>8</v>
      </c>
      <c r="C44" s="182"/>
      <c r="D44" s="14">
        <f>IF(F3="1",SUMIF(Data!A:A,'32'!$A$2,Data!DC:DC),0)</f>
        <v>148378</v>
      </c>
      <c r="E44" s="17">
        <f>IF($F$3="1",SUMIF(Data!$A:$A,$A$2,Data!IW:IW),0)</f>
        <v>86784</v>
      </c>
      <c r="F44" s="21">
        <f t="shared" si="3"/>
        <v>0.57999999999999996</v>
      </c>
    </row>
    <row r="45" spans="1:6" x14ac:dyDescent="0.2">
      <c r="A45" s="19">
        <v>10</v>
      </c>
      <c r="B45" s="181" t="s">
        <v>9</v>
      </c>
      <c r="C45" s="182"/>
      <c r="D45" s="14">
        <f>IF(F3="1",SUMIF(Data!A:A,'32'!$A$2,Data!DD:DD),0)</f>
        <v>0</v>
      </c>
      <c r="E45" s="17">
        <f>IF($F$3="1",SUMIF(Data!$A:$A,$A$2,Data!IX:IX),0)</f>
        <v>0</v>
      </c>
      <c r="F45" s="21" t="str">
        <f t="shared" si="3"/>
        <v/>
      </c>
    </row>
    <row r="46" spans="1:6" x14ac:dyDescent="0.2">
      <c r="A46" s="19">
        <v>11</v>
      </c>
      <c r="B46" s="181" t="s">
        <v>10</v>
      </c>
      <c r="C46" s="182"/>
      <c r="D46" s="14">
        <f>IF(F3="1",SUMIF(Data!A:A,'32'!$A$2,Data!DE:DE),0)</f>
        <v>59014</v>
      </c>
      <c r="E46" s="17">
        <f>IF($F$3="1",SUMIF(Data!$A:$A,$A$2,Data!IY:IY),0)</f>
        <v>64665</v>
      </c>
      <c r="F46" s="21">
        <f t="shared" si="3"/>
        <v>1.1000000000000001</v>
      </c>
    </row>
    <row r="47" spans="1:6" ht="14.25" customHeight="1" x14ac:dyDescent="0.2">
      <c r="A47" s="19">
        <v>12</v>
      </c>
      <c r="B47" s="181" t="s">
        <v>11</v>
      </c>
      <c r="C47" s="182"/>
      <c r="D47" s="14">
        <f>IF(F3="1",SUMIF(Data!A:A,'32'!$A$2,Data!DF:DF),0)</f>
        <v>394043</v>
      </c>
      <c r="E47" s="17">
        <f>IF($F$3="1",SUMIF(Data!$A:$A,$A$2,Data!IZ:IZ),0)</f>
        <v>111349</v>
      </c>
      <c r="F47" s="21">
        <f t="shared" si="3"/>
        <v>0.28000000000000003</v>
      </c>
    </row>
    <row r="48" spans="1:6" x14ac:dyDescent="0.2">
      <c r="A48" s="19">
        <v>13</v>
      </c>
      <c r="B48" s="181" t="s">
        <v>12</v>
      </c>
      <c r="C48" s="182"/>
      <c r="D48" s="14">
        <f>IF(F3="1",SUMIF(Data!A:A,'32'!$A$2,Data!DG:DG),0)</f>
        <v>21229</v>
      </c>
      <c r="E48" s="17">
        <f>IF($F$3="1",SUMIF(Data!$A:$A,$A$2,Data!JA:JA),0)</f>
        <v>7698</v>
      </c>
      <c r="F48" s="21">
        <f t="shared" si="3"/>
        <v>0.36</v>
      </c>
    </row>
    <row r="49" spans="1:6" ht="14.25" customHeight="1" x14ac:dyDescent="0.2">
      <c r="A49" s="19">
        <v>14</v>
      </c>
      <c r="B49" s="181" t="s">
        <v>464</v>
      </c>
      <c r="C49" s="182"/>
      <c r="D49" s="14">
        <f>IF(F3="1",SUMIF(Data!A:A,'32'!$A$2,Data!DH:DH),0)</f>
        <v>123142</v>
      </c>
      <c r="E49" s="17">
        <f>IF($F$3="1",SUMIF(Data!$A:$A,$A$2,Data!JB:JB),0)</f>
        <v>146738</v>
      </c>
      <c r="F49" s="21">
        <f t="shared" si="3"/>
        <v>1.19</v>
      </c>
    </row>
    <row r="50" spans="1:6" x14ac:dyDescent="0.2">
      <c r="A50" s="19">
        <v>15</v>
      </c>
      <c r="B50" s="181" t="s">
        <v>13</v>
      </c>
      <c r="C50" s="182"/>
      <c r="D50" s="14">
        <f>IF(F3="1",SUMIF(Data!A:A,'32'!$A$2,Data!DI:DI),0)</f>
        <v>0</v>
      </c>
      <c r="E50" s="17">
        <f>IF($F$3="1",SUMIF(Data!$A:$A,$A$2,Data!JC:JC),0)</f>
        <v>0</v>
      </c>
      <c r="F50" s="21" t="str">
        <f t="shared" si="3"/>
        <v/>
      </c>
    </row>
    <row r="51" spans="1:6" x14ac:dyDescent="0.2">
      <c r="A51" s="19">
        <v>16</v>
      </c>
      <c r="B51" s="181" t="s">
        <v>14</v>
      </c>
      <c r="C51" s="182"/>
      <c r="D51" s="14">
        <f>IF(F3="1",SUMIF(Data!A:A,'32'!$A$2,Data!DJ:DJ),0)</f>
        <v>154578</v>
      </c>
      <c r="E51" s="17">
        <f>IF($F$3="1",SUMIF(Data!$A:$A,$A$2,Data!JD:JD),0)</f>
        <v>89131</v>
      </c>
      <c r="F51" s="21">
        <f t="shared" si="3"/>
        <v>0.57999999999999996</v>
      </c>
    </row>
    <row r="52" spans="1:6" x14ac:dyDescent="0.2">
      <c r="A52" s="19">
        <v>17</v>
      </c>
      <c r="B52" s="181" t="s">
        <v>15</v>
      </c>
      <c r="C52" s="182"/>
      <c r="D52" s="14">
        <f>IF(F3="1",SUMIF(Data!A:A,'32'!$A$2,Data!DK:DK),0)</f>
        <v>6528</v>
      </c>
      <c r="E52" s="17">
        <f>IF($F$3="1",SUMIF(Data!$A:$A,$A$2,Data!JE:JE),0)</f>
        <v>6892</v>
      </c>
      <c r="F52" s="21">
        <f t="shared" si="3"/>
        <v>1.06</v>
      </c>
    </row>
    <row r="53" spans="1:6" x14ac:dyDescent="0.2">
      <c r="A53" s="19">
        <v>18</v>
      </c>
      <c r="B53" s="181" t="s">
        <v>16</v>
      </c>
      <c r="C53" s="182"/>
      <c r="D53" s="14">
        <f>IF(F3="1",SUMIF(Data!A:A,'32'!$A$2,Data!DL:DL),0)</f>
        <v>94390</v>
      </c>
      <c r="E53" s="17">
        <f>IF($F$3="1",SUMIF(Data!$A:$A,$A$2,Data!JF:JF),0)</f>
        <v>54740</v>
      </c>
      <c r="F53" s="21">
        <f t="shared" si="3"/>
        <v>0.57999999999999996</v>
      </c>
    </row>
    <row r="54" spans="1:6" x14ac:dyDescent="0.2">
      <c r="A54" s="19">
        <v>19</v>
      </c>
      <c r="B54" s="181" t="s">
        <v>17</v>
      </c>
      <c r="C54" s="182"/>
      <c r="D54" s="14">
        <f>IF(F3="1",SUMIF(Data!A:A,'32'!$A$2,Data!DM:DM),0)</f>
        <v>196560</v>
      </c>
      <c r="E54" s="17">
        <f>IF($F$3="1",SUMIF(Data!$A:$A,$A$2,Data!JG:JG),0)</f>
        <v>71890</v>
      </c>
      <c r="F54" s="21">
        <f t="shared" si="3"/>
        <v>0.37</v>
      </c>
    </row>
    <row r="55" spans="1:6" x14ac:dyDescent="0.2">
      <c r="A55" s="19">
        <v>20</v>
      </c>
      <c r="B55" s="181" t="s">
        <v>18</v>
      </c>
      <c r="C55" s="182"/>
      <c r="D55" s="14">
        <f>IF(F3="1",SUMIF(Data!A:A,'32'!$A$2,Data!DN:DN),0)</f>
        <v>25856</v>
      </c>
      <c r="E55" s="17">
        <f>IF($F$3="1",SUMIF(Data!$A:$A,$A$2,Data!JH:JH),0)</f>
        <v>83476</v>
      </c>
      <c r="F55" s="21">
        <f t="shared" si="3"/>
        <v>3.23</v>
      </c>
    </row>
    <row r="56" spans="1:6" ht="14.25" customHeight="1" x14ac:dyDescent="0.2">
      <c r="A56" s="19">
        <v>21</v>
      </c>
      <c r="B56" s="181" t="s">
        <v>461</v>
      </c>
      <c r="C56" s="182"/>
      <c r="D56" s="14">
        <f>IF(F3="1",SUMIF(Data!A:A,'32'!$A$2,Data!DO:DO),0)</f>
        <v>38732</v>
      </c>
      <c r="E56" s="17">
        <f>IF($F$3="1",SUMIF(Data!$A:$A,$A$2,Data!JI:JI),0)</f>
        <v>455802</v>
      </c>
      <c r="F56" s="21">
        <f t="shared" si="3"/>
        <v>11.77</v>
      </c>
    </row>
    <row r="57" spans="1:6" x14ac:dyDescent="0.2">
      <c r="A57" s="19">
        <v>22</v>
      </c>
      <c r="B57" s="181" t="s">
        <v>19</v>
      </c>
      <c r="C57" s="182"/>
      <c r="D57" s="14">
        <f>IF(F3="1",SUMIF(Data!A:A,'32'!$A$2,Data!DP:DP),0)</f>
        <v>10878</v>
      </c>
      <c r="E57" s="17">
        <f>IF($F$3="1",SUMIF(Data!$A:$A,$A$2,Data!JJ:JJ),0)</f>
        <v>9077</v>
      </c>
      <c r="F57" s="21">
        <f t="shared" si="3"/>
        <v>0.83</v>
      </c>
    </row>
    <row r="58" spans="1:6" x14ac:dyDescent="0.2">
      <c r="A58" s="19">
        <v>23</v>
      </c>
      <c r="B58" s="181" t="s">
        <v>20</v>
      </c>
      <c r="C58" s="182"/>
      <c r="D58" s="14">
        <f>IF(F3="1",SUMIF(Data!A:A,'32'!$A$2,Data!DQ:DQ),0)</f>
        <v>110672</v>
      </c>
      <c r="E58" s="17">
        <f>IF($F$3="1",SUMIF(Data!$A:$A,$A$2,Data!JK:JK),0)</f>
        <v>74713</v>
      </c>
      <c r="F58" s="21">
        <f t="shared" si="3"/>
        <v>0.68</v>
      </c>
    </row>
    <row r="59" spans="1:6" x14ac:dyDescent="0.2">
      <c r="A59" s="19">
        <v>24</v>
      </c>
      <c r="B59" s="181" t="s">
        <v>21</v>
      </c>
      <c r="C59" s="182"/>
      <c r="D59" s="14">
        <f>IF(F3="1",SUMIF(Data!A:A,'32'!$A$2,Data!DR:DR),0)</f>
        <v>99250</v>
      </c>
      <c r="E59" s="17">
        <f>IF($F$3="1",SUMIF(Data!$A:$A,$A$2,Data!JL:JL),0)</f>
        <v>66218</v>
      </c>
      <c r="F59" s="21">
        <f t="shared" si="3"/>
        <v>0.67</v>
      </c>
    </row>
    <row r="60" spans="1:6" x14ac:dyDescent="0.2">
      <c r="A60" s="19">
        <v>25</v>
      </c>
      <c r="B60" s="181" t="s">
        <v>22</v>
      </c>
      <c r="C60" s="182"/>
      <c r="D60" s="14">
        <f>IF(F3="1",SUMIF(Data!A:A,'32'!$A$2,Data!DS:DS),0)</f>
        <v>258816</v>
      </c>
      <c r="E60" s="17">
        <f>IF($F$3="1",SUMIF(Data!$A:$A,$A$2,Data!JM:JM),0)</f>
        <v>35618</v>
      </c>
      <c r="F60" s="21">
        <f t="shared" si="3"/>
        <v>0.14000000000000001</v>
      </c>
    </row>
    <row r="61" spans="1:6" x14ac:dyDescent="0.2">
      <c r="A61" s="19">
        <v>26</v>
      </c>
      <c r="B61" s="181" t="s">
        <v>23</v>
      </c>
      <c r="C61" s="182"/>
      <c r="D61" s="14">
        <f>IF(F3="1",SUMIF(Data!A:A,'32'!$A$2,Data!DT:DT),0)</f>
        <v>77680</v>
      </c>
      <c r="E61" s="17">
        <f>IF($F$3="1",SUMIF(Data!$A:$A,$A$2,Data!JN:JN),0)</f>
        <v>100952</v>
      </c>
      <c r="F61" s="21">
        <f t="shared" si="3"/>
        <v>1.3</v>
      </c>
    </row>
    <row r="62" spans="1:6" x14ac:dyDescent="0.2">
      <c r="A62" s="19">
        <v>28</v>
      </c>
      <c r="B62" s="181" t="s">
        <v>24</v>
      </c>
      <c r="C62" s="182"/>
      <c r="D62" s="14">
        <f>IF(F3="1",SUMIF(Data!A:A,'32'!$A$2,Data!DV:DV),0)</f>
        <v>0</v>
      </c>
      <c r="E62" s="17">
        <f>IF($F$3="1",SUMIF(Data!$A:$A,$A$2,Data!JP:JP),0)</f>
        <v>0</v>
      </c>
      <c r="F62" s="21" t="str">
        <f t="shared" si="3"/>
        <v/>
      </c>
    </row>
    <row r="63" spans="1:6" ht="15.75" customHeight="1" thickBot="1" x14ac:dyDescent="0.25">
      <c r="A63" s="22">
        <v>29</v>
      </c>
      <c r="B63" s="183" t="s">
        <v>25</v>
      </c>
      <c r="C63" s="184"/>
      <c r="D63" s="23">
        <f>IF(F3="1",SUMIF(Data!A:A,'32'!$A$2,Data!DW:DW),0)</f>
        <v>0</v>
      </c>
      <c r="E63" s="24">
        <f>IF($F$3="1",SUMIF(Data!$A:$A,$A$2,Data!JQ:JQ),0)</f>
        <v>0</v>
      </c>
      <c r="F63" s="25" t="str">
        <f t="shared" si="3"/>
        <v/>
      </c>
    </row>
    <row r="64" spans="1:6" x14ac:dyDescent="0.2">
      <c r="B64" s="30" t="s">
        <v>35</v>
      </c>
      <c r="C64" s="30"/>
      <c r="D64" s="59">
        <f>SUM(D36:D63)</f>
        <v>2284542</v>
      </c>
      <c r="E64" s="31">
        <f>SUM(E36:E63)</f>
        <v>1838517</v>
      </c>
      <c r="F64" s="32">
        <f t="shared" si="3"/>
        <v>0.8</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16800</v>
      </c>
      <c r="E67" s="15">
        <f>IF(F3="1",SUMIF(Data!A:A,'32'!$A$2,Data!DY:DY),0)</f>
        <v>42781</v>
      </c>
      <c r="F67" s="20">
        <f t="shared" ref="F67:F95" si="4">IF(OR(D67=0,E67=0),"",ROUND(E67/D67,2))</f>
        <v>2.5499999999999998</v>
      </c>
    </row>
    <row r="68" spans="1:6" x14ac:dyDescent="0.2">
      <c r="A68" s="19">
        <v>2</v>
      </c>
      <c r="B68" s="181" t="s">
        <v>1</v>
      </c>
      <c r="C68" s="182"/>
      <c r="D68" s="14">
        <f t="shared" ref="D68:D94" si="5">D37</f>
        <v>33404</v>
      </c>
      <c r="E68" s="17">
        <f>IF(F3="1",SUMIF(Data!A:A,'32'!$A$2,Data!DZ:DZ),0)</f>
        <v>142640</v>
      </c>
      <c r="F68" s="21">
        <f t="shared" si="4"/>
        <v>4.2699999999999996</v>
      </c>
    </row>
    <row r="69" spans="1:6" ht="14.25" customHeight="1" x14ac:dyDescent="0.2">
      <c r="A69" s="19">
        <v>3</v>
      </c>
      <c r="B69" s="181" t="s">
        <v>2</v>
      </c>
      <c r="C69" s="182"/>
      <c r="D69" s="14">
        <f t="shared" si="5"/>
        <v>165024</v>
      </c>
      <c r="E69" s="17">
        <f>IF(F3="1",SUMIF(Data!A:A,'32'!$A$2,Data!EA:EA),0)</f>
        <v>394218</v>
      </c>
      <c r="F69" s="21">
        <f t="shared" si="4"/>
        <v>2.39</v>
      </c>
    </row>
    <row r="70" spans="1:6" ht="14.25" customHeight="1" x14ac:dyDescent="0.2">
      <c r="A70" s="19">
        <v>4</v>
      </c>
      <c r="B70" s="181" t="s">
        <v>3</v>
      </c>
      <c r="C70" s="182"/>
      <c r="D70" s="14">
        <f t="shared" si="5"/>
        <v>121115</v>
      </c>
      <c r="E70" s="17">
        <f>IF(F3="1",SUMIF(Data!A:A,'32'!$A$2,Data!EB:EB),0)</f>
        <v>385061</v>
      </c>
      <c r="F70" s="21">
        <f t="shared" si="4"/>
        <v>3.18</v>
      </c>
    </row>
    <row r="71" spans="1:6" x14ac:dyDescent="0.2">
      <c r="A71" s="19">
        <v>5</v>
      </c>
      <c r="B71" s="181" t="s">
        <v>4</v>
      </c>
      <c r="C71" s="182"/>
      <c r="D71" s="14">
        <f t="shared" si="5"/>
        <v>0</v>
      </c>
      <c r="E71" s="17">
        <f>IF(F3="1",SUMIF(Data!A:A,'32'!$A$2,Data!EC:EC),0)</f>
        <v>0</v>
      </c>
      <c r="F71" s="21" t="str">
        <f t="shared" si="4"/>
        <v/>
      </c>
    </row>
    <row r="72" spans="1:6" x14ac:dyDescent="0.2">
      <c r="A72" s="19">
        <v>6</v>
      </c>
      <c r="B72" s="181" t="s">
        <v>5</v>
      </c>
      <c r="C72" s="182"/>
      <c r="D72" s="14">
        <f t="shared" si="5"/>
        <v>1886</v>
      </c>
      <c r="E72" s="17">
        <f>IF(F3="1",SUMIF(Data!A:A,'32'!$A$2,Data!ED:ED),0)</f>
        <v>2081</v>
      </c>
      <c r="F72" s="21">
        <f t="shared" si="4"/>
        <v>1.1000000000000001</v>
      </c>
    </row>
    <row r="73" spans="1:6" x14ac:dyDescent="0.2">
      <c r="A73" s="19">
        <v>7</v>
      </c>
      <c r="B73" s="181" t="s">
        <v>6</v>
      </c>
      <c r="C73" s="182"/>
      <c r="D73" s="14">
        <f t="shared" si="5"/>
        <v>108118</v>
      </c>
      <c r="E73" s="17">
        <f>IF(F3="1",SUMIF(Data!A:A,'32'!$A$2,Data!EE:EE),0)</f>
        <v>315811</v>
      </c>
      <c r="F73" s="21">
        <f t="shared" si="4"/>
        <v>2.92</v>
      </c>
    </row>
    <row r="74" spans="1:6" x14ac:dyDescent="0.2">
      <c r="A74" s="19">
        <v>8</v>
      </c>
      <c r="B74" s="181" t="s">
        <v>7</v>
      </c>
      <c r="C74" s="182"/>
      <c r="D74" s="14">
        <f t="shared" si="5"/>
        <v>18449</v>
      </c>
      <c r="E74" s="17">
        <f>IF(F3="1",SUMIF(Data!A:A,'32'!$A$2,Data!EF:EF),0)</f>
        <v>28142</v>
      </c>
      <c r="F74" s="21">
        <f t="shared" si="4"/>
        <v>1.53</v>
      </c>
    </row>
    <row r="75" spans="1:6" x14ac:dyDescent="0.2">
      <c r="A75" s="19">
        <v>9</v>
      </c>
      <c r="B75" s="181" t="s">
        <v>8</v>
      </c>
      <c r="C75" s="182"/>
      <c r="D75" s="14">
        <f t="shared" si="5"/>
        <v>148378</v>
      </c>
      <c r="E75" s="17">
        <f>IF(F3="1",SUMIF(Data!A:A,'32'!$A$2,Data!EG:EG),0)</f>
        <v>468486</v>
      </c>
      <c r="F75" s="21">
        <f t="shared" si="4"/>
        <v>3.16</v>
      </c>
    </row>
    <row r="76" spans="1:6" x14ac:dyDescent="0.2">
      <c r="A76" s="19">
        <v>10</v>
      </c>
      <c r="B76" s="181" t="s">
        <v>9</v>
      </c>
      <c r="C76" s="182"/>
      <c r="D76" s="14">
        <f t="shared" si="5"/>
        <v>0</v>
      </c>
      <c r="E76" s="17">
        <f>IF(F3="1",SUMIF(Data!A:A,'32'!$A$2,Data!EH:EH),0)</f>
        <v>0</v>
      </c>
      <c r="F76" s="21" t="str">
        <f t="shared" si="4"/>
        <v/>
      </c>
    </row>
    <row r="77" spans="1:6" x14ac:dyDescent="0.2">
      <c r="A77" s="19">
        <v>11</v>
      </c>
      <c r="B77" s="181" t="s">
        <v>10</v>
      </c>
      <c r="C77" s="182"/>
      <c r="D77" s="14">
        <f t="shared" si="5"/>
        <v>59014</v>
      </c>
      <c r="E77" s="17">
        <f>IF(F3="1",SUMIF(Data!A:A,'32'!$A$2,Data!EI:EI),0)</f>
        <v>233120</v>
      </c>
      <c r="F77" s="21">
        <f t="shared" si="4"/>
        <v>3.95</v>
      </c>
    </row>
    <row r="78" spans="1:6" ht="14.25" customHeight="1" x14ac:dyDescent="0.2">
      <c r="A78" s="19">
        <v>12</v>
      </c>
      <c r="B78" s="181" t="s">
        <v>11</v>
      </c>
      <c r="C78" s="182"/>
      <c r="D78" s="14">
        <f t="shared" si="5"/>
        <v>394043</v>
      </c>
      <c r="E78" s="17">
        <f>IF(F3="1",SUMIF(Data!A:A,'32'!$A$2,Data!EJ:EJ),0)</f>
        <v>932129</v>
      </c>
      <c r="F78" s="21">
        <f t="shared" si="4"/>
        <v>2.37</v>
      </c>
    </row>
    <row r="79" spans="1:6" x14ac:dyDescent="0.2">
      <c r="A79" s="19">
        <v>13</v>
      </c>
      <c r="B79" s="181" t="s">
        <v>12</v>
      </c>
      <c r="C79" s="182"/>
      <c r="D79" s="14">
        <f t="shared" si="5"/>
        <v>21229</v>
      </c>
      <c r="E79" s="17">
        <f>IF(F3="1",SUMIF(Data!A:A,'32'!$A$2,Data!EK:EK),0)</f>
        <v>53215</v>
      </c>
      <c r="F79" s="21">
        <f t="shared" si="4"/>
        <v>2.5099999999999998</v>
      </c>
    </row>
    <row r="80" spans="1:6" ht="14.25" customHeight="1" x14ac:dyDescent="0.2">
      <c r="A80" s="19">
        <v>14</v>
      </c>
      <c r="B80" s="181" t="s">
        <v>464</v>
      </c>
      <c r="C80" s="182"/>
      <c r="D80" s="14">
        <f t="shared" si="5"/>
        <v>123142</v>
      </c>
      <c r="E80" s="17">
        <f>IF(F3="1",SUMIF(Data!A:A,'32'!$A$2,Data!EL:EL),0)</f>
        <v>628086</v>
      </c>
      <c r="F80" s="21">
        <f t="shared" si="4"/>
        <v>5.0999999999999996</v>
      </c>
    </row>
    <row r="81" spans="1:6" x14ac:dyDescent="0.2">
      <c r="A81" s="19">
        <v>15</v>
      </c>
      <c r="B81" s="181" t="s">
        <v>13</v>
      </c>
      <c r="C81" s="182"/>
      <c r="D81" s="14">
        <f t="shared" si="5"/>
        <v>0</v>
      </c>
      <c r="E81" s="17">
        <f>IF(F3="1",SUMIF(Data!A:A,'32'!$A$2,Data!EM:EM),0)</f>
        <v>0</v>
      </c>
      <c r="F81" s="21" t="str">
        <f t="shared" si="4"/>
        <v/>
      </c>
    </row>
    <row r="82" spans="1:6" x14ac:dyDescent="0.2">
      <c r="A82" s="19">
        <v>16</v>
      </c>
      <c r="B82" s="181" t="s">
        <v>14</v>
      </c>
      <c r="C82" s="182"/>
      <c r="D82" s="14">
        <f t="shared" si="5"/>
        <v>154578</v>
      </c>
      <c r="E82" s="17">
        <f>IF(F3="1",SUMIF(Data!A:A,'32'!$A$2,Data!EN:EN),0)</f>
        <v>684442</v>
      </c>
      <c r="F82" s="21">
        <f t="shared" si="4"/>
        <v>4.43</v>
      </c>
    </row>
    <row r="83" spans="1:6" x14ac:dyDescent="0.2">
      <c r="A83" s="19">
        <v>17</v>
      </c>
      <c r="B83" s="181" t="s">
        <v>15</v>
      </c>
      <c r="C83" s="182"/>
      <c r="D83" s="14">
        <f t="shared" si="5"/>
        <v>6528</v>
      </c>
      <c r="E83" s="17">
        <f>IF(F3="1",SUMIF(Data!A:A,'32'!$A$2,Data!EO:EO),0)</f>
        <v>102147</v>
      </c>
      <c r="F83" s="21">
        <f t="shared" si="4"/>
        <v>15.65</v>
      </c>
    </row>
    <row r="84" spans="1:6" x14ac:dyDescent="0.2">
      <c r="A84" s="19">
        <v>18</v>
      </c>
      <c r="B84" s="181" t="s">
        <v>16</v>
      </c>
      <c r="C84" s="182"/>
      <c r="D84" s="14">
        <f t="shared" si="5"/>
        <v>94390</v>
      </c>
      <c r="E84" s="17">
        <f>IF(F3="1",SUMIF(Data!A:A,'32'!$A$2,Data!EP:EP),0)</f>
        <v>211763</v>
      </c>
      <c r="F84" s="21">
        <f t="shared" si="4"/>
        <v>2.2400000000000002</v>
      </c>
    </row>
    <row r="85" spans="1:6" x14ac:dyDescent="0.2">
      <c r="A85" s="19">
        <v>19</v>
      </c>
      <c r="B85" s="181" t="s">
        <v>17</v>
      </c>
      <c r="C85" s="182"/>
      <c r="D85" s="14">
        <f t="shared" si="5"/>
        <v>196560</v>
      </c>
      <c r="E85" s="17">
        <f>IF(F3="1",SUMIF(Data!A:A,'32'!$A$2,Data!EQ:EQ),0)</f>
        <v>516445</v>
      </c>
      <c r="F85" s="21">
        <f t="shared" si="4"/>
        <v>2.63</v>
      </c>
    </row>
    <row r="86" spans="1:6" x14ac:dyDescent="0.2">
      <c r="A86" s="19">
        <v>20</v>
      </c>
      <c r="B86" s="181" t="s">
        <v>18</v>
      </c>
      <c r="C86" s="182"/>
      <c r="D86" s="14">
        <f t="shared" si="5"/>
        <v>25856</v>
      </c>
      <c r="E86" s="17">
        <f>IF(F3="1",SUMIF(Data!A:A,'32'!$A$2,Data!ER:ER),0)</f>
        <v>6672</v>
      </c>
      <c r="F86" s="21">
        <f t="shared" si="4"/>
        <v>0.26</v>
      </c>
    </row>
    <row r="87" spans="1:6" ht="14.25" customHeight="1" x14ac:dyDescent="0.2">
      <c r="A87" s="19">
        <v>21</v>
      </c>
      <c r="B87" s="181" t="s">
        <v>461</v>
      </c>
      <c r="C87" s="182"/>
      <c r="D87" s="14">
        <f t="shared" si="5"/>
        <v>38732</v>
      </c>
      <c r="E87" s="17">
        <f>IF(F3="1",SUMIF(Data!A:A,'32'!$A$2,Data!ES:ES),0)</f>
        <v>74322</v>
      </c>
      <c r="F87" s="21">
        <f t="shared" si="4"/>
        <v>1.92</v>
      </c>
    </row>
    <row r="88" spans="1:6" x14ac:dyDescent="0.2">
      <c r="A88" s="19">
        <v>22</v>
      </c>
      <c r="B88" s="181" t="s">
        <v>19</v>
      </c>
      <c r="C88" s="182"/>
      <c r="D88" s="14">
        <f t="shared" si="5"/>
        <v>10878</v>
      </c>
      <c r="E88" s="17">
        <f>IF(F3="1",SUMIF(Data!A:A,'32'!$A$2,Data!ET:ET),0)</f>
        <v>20369</v>
      </c>
      <c r="F88" s="21">
        <f t="shared" si="4"/>
        <v>1.87</v>
      </c>
    </row>
    <row r="89" spans="1:6" x14ac:dyDescent="0.2">
      <c r="A89" s="19">
        <v>23</v>
      </c>
      <c r="B89" s="181" t="s">
        <v>20</v>
      </c>
      <c r="C89" s="182"/>
      <c r="D89" s="14">
        <f t="shared" si="5"/>
        <v>110672</v>
      </c>
      <c r="E89" s="17">
        <f>IF(F3="1",SUMIF(Data!A:A,'32'!$A$2,Data!EU:EU),0)</f>
        <v>269649</v>
      </c>
      <c r="F89" s="21">
        <f t="shared" si="4"/>
        <v>2.44</v>
      </c>
    </row>
    <row r="90" spans="1:6" x14ac:dyDescent="0.2">
      <c r="A90" s="19">
        <v>24</v>
      </c>
      <c r="B90" s="181" t="s">
        <v>21</v>
      </c>
      <c r="C90" s="182"/>
      <c r="D90" s="14">
        <f t="shared" si="5"/>
        <v>99250</v>
      </c>
      <c r="E90" s="17">
        <f>IF(F3="1",SUMIF(Data!A:A,'32'!$A$2,Data!EV:EV),0)</f>
        <v>350959</v>
      </c>
      <c r="F90" s="21">
        <f t="shared" si="4"/>
        <v>3.54</v>
      </c>
    </row>
    <row r="91" spans="1:6" x14ac:dyDescent="0.2">
      <c r="A91" s="19">
        <v>25</v>
      </c>
      <c r="B91" s="181" t="s">
        <v>22</v>
      </c>
      <c r="C91" s="182"/>
      <c r="D91" s="14">
        <f t="shared" si="5"/>
        <v>258816</v>
      </c>
      <c r="E91" s="17">
        <f>IF(F3="1",SUMIF(Data!A:A,'32'!$A$2,Data!EW:EW),0)</f>
        <v>717741</v>
      </c>
      <c r="F91" s="21">
        <f t="shared" si="4"/>
        <v>2.77</v>
      </c>
    </row>
    <row r="92" spans="1:6" x14ac:dyDescent="0.2">
      <c r="A92" s="19">
        <v>26</v>
      </c>
      <c r="B92" s="181" t="s">
        <v>23</v>
      </c>
      <c r="C92" s="182"/>
      <c r="D92" s="14">
        <f t="shared" si="5"/>
        <v>77680</v>
      </c>
      <c r="E92" s="17">
        <f>IF(F3="1",SUMIF(Data!A:A,'32'!$A$2,Data!EX:EX),0)</f>
        <v>447484</v>
      </c>
      <c r="F92" s="21">
        <f t="shared" si="4"/>
        <v>5.76</v>
      </c>
    </row>
    <row r="93" spans="1:6" x14ac:dyDescent="0.2">
      <c r="A93" s="19">
        <v>28</v>
      </c>
      <c r="B93" s="181" t="s">
        <v>24</v>
      </c>
      <c r="C93" s="182"/>
      <c r="D93" s="14">
        <f t="shared" si="5"/>
        <v>0</v>
      </c>
      <c r="E93" s="17">
        <f>IF(F3="1",SUMIF(Data!A:A,'32'!$A$2,Data!EZ:EZ),0)</f>
        <v>0</v>
      </c>
      <c r="F93" s="21" t="str">
        <f t="shared" si="4"/>
        <v/>
      </c>
    </row>
    <row r="94" spans="1:6" ht="15.75" customHeight="1" thickBot="1" x14ac:dyDescent="0.25">
      <c r="A94" s="22">
        <v>29</v>
      </c>
      <c r="B94" s="183" t="s">
        <v>25</v>
      </c>
      <c r="C94" s="184"/>
      <c r="D94" s="23">
        <f t="shared" si="5"/>
        <v>0</v>
      </c>
      <c r="E94" s="24">
        <f>IF(F3="1",SUMIF(Data!A:A,'32'!$A$2,Data!FA:FA),0)</f>
        <v>0</v>
      </c>
      <c r="F94" s="25" t="str">
        <f t="shared" si="4"/>
        <v/>
      </c>
    </row>
    <row r="95" spans="1:6" x14ac:dyDescent="0.2">
      <c r="B95" s="30" t="s">
        <v>35</v>
      </c>
      <c r="C95" s="30"/>
      <c r="D95" s="59">
        <f>SUM(D67:D94)</f>
        <v>2284542</v>
      </c>
      <c r="E95" s="31">
        <f>SUM(E67:E94)</f>
        <v>7027763</v>
      </c>
      <c r="F95" s="32">
        <f t="shared" si="4"/>
        <v>3.08</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IF(F3="1",SUMIF(Data!A:A,'32'!$A$2,Data!AH:AH),0)</f>
        <v>2535657</v>
      </c>
      <c r="F98" s="20">
        <f>IF(OR(E98=0,E98=0),"",ROUND(E98/$D$105,2))</f>
        <v>1.1100000000000001</v>
      </c>
    </row>
    <row r="99" spans="2:6" x14ac:dyDescent="0.2">
      <c r="B99" s="187" t="s">
        <v>31</v>
      </c>
      <c r="C99" s="188"/>
      <c r="D99" s="36"/>
      <c r="E99" s="17">
        <f>IF(F3="1",SUMIF(Data!A:A,'32'!$A$2,Data!AI:AI),0)</f>
        <v>1820672</v>
      </c>
      <c r="F99" s="21">
        <f t="shared" ref="F99:F104" si="6">IF(OR(E99=0,E99=0),"",ROUND(E99/$D$105,2))</f>
        <v>0.8</v>
      </c>
    </row>
    <row r="100" spans="2:6" x14ac:dyDescent="0.2">
      <c r="B100" s="187" t="s">
        <v>1078</v>
      </c>
      <c r="C100" s="188"/>
      <c r="D100" s="36"/>
      <c r="E100" s="17">
        <f>IF(F3="1",SUMIF(Data!A:A,'32'!$A$2,Data!AJ:AJ),0)</f>
        <v>488656</v>
      </c>
      <c r="F100" s="21">
        <f t="shared" si="6"/>
        <v>0.21</v>
      </c>
    </row>
    <row r="101" spans="2:6" x14ac:dyDescent="0.2">
      <c r="B101" s="187" t="s">
        <v>1079</v>
      </c>
      <c r="C101" s="188"/>
      <c r="D101" s="36"/>
      <c r="E101" s="17">
        <f>IF(F3="1",SUMIF(Data!A:A,'32'!$A$2,Data!AK:AK),0)</f>
        <v>1215099</v>
      </c>
      <c r="F101" s="21">
        <f t="shared" si="6"/>
        <v>0.53</v>
      </c>
    </row>
    <row r="102" spans="2:6" x14ac:dyDescent="0.2">
      <c r="B102" s="187" t="s">
        <v>1080</v>
      </c>
      <c r="C102" s="188"/>
      <c r="D102" s="36"/>
      <c r="E102" s="17">
        <f>IF(F3="1",SUMIF(Data!A:A,'32'!$A$2,Data!AL:AL),0)</f>
        <v>347516</v>
      </c>
      <c r="F102" s="21">
        <f t="shared" si="6"/>
        <v>0.15</v>
      </c>
    </row>
    <row r="103" spans="2:6" x14ac:dyDescent="0.2">
      <c r="B103" s="189" t="s">
        <v>34</v>
      </c>
      <c r="C103" s="190"/>
      <c r="D103" s="36"/>
      <c r="E103" s="17">
        <f>IF(F3="1",SUMIF(Data!A:A,'32'!$A$2,Data!AM:AM),0)</f>
        <v>0</v>
      </c>
      <c r="F103" s="21" t="str">
        <f t="shared" si="6"/>
        <v/>
      </c>
    </row>
    <row r="104" spans="2:6" ht="15.75" customHeight="1" thickBot="1" x14ac:dyDescent="0.25">
      <c r="B104" s="179" t="s">
        <v>29</v>
      </c>
      <c r="C104" s="180"/>
      <c r="D104" s="37"/>
      <c r="E104" s="24">
        <f>IF(F3="1",SUMIF(Data!A:A,'32'!$A$2,Data!Q:Q),0)</f>
        <v>1228779</v>
      </c>
      <c r="F104" s="25">
        <f t="shared" si="6"/>
        <v>0.54</v>
      </c>
    </row>
    <row r="105" spans="2:6" x14ac:dyDescent="0.2">
      <c r="B105" s="30" t="s">
        <v>35</v>
      </c>
      <c r="C105" s="30"/>
      <c r="D105" s="34">
        <f>D95</f>
        <v>2284542</v>
      </c>
      <c r="E105" s="31">
        <f>SUM(E98:E104)</f>
        <v>7636379</v>
      </c>
      <c r="F105" s="32">
        <f>IF($D$105=0,"",ROUND(E105/$D$105,2))</f>
        <v>3.34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7027763</v>
      </c>
      <c r="D109" s="15">
        <f>IF(F3="1",SUMIF(Data!$A:$A,$A$2,Data!HJ:HJ),0)</f>
        <v>0</v>
      </c>
      <c r="E109" s="15">
        <f>IF(F3="1",SUMIF(Data!$A:$A,$A$2,Data!IN:IN),0)</f>
        <v>0</v>
      </c>
      <c r="F109" s="47">
        <f>SUM(C109:E109)</f>
        <v>7027763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347516</v>
      </c>
      <c r="F116" s="48">
        <f t="shared" si="7"/>
        <v>347516</v>
      </c>
    </row>
    <row r="117" spans="1:6" ht="15" thickBot="1" x14ac:dyDescent="0.25">
      <c r="B117" s="43" t="s">
        <v>933</v>
      </c>
      <c r="C117" s="52"/>
      <c r="D117" s="52">
        <f>IF(F3="1",SUMIF(Data!A:A,$A$2,Data!Q:Q),0)</f>
        <v>1228779</v>
      </c>
      <c r="E117" s="52"/>
      <c r="F117" s="49">
        <f>SUM(C117:E117)</f>
        <v>1228779</v>
      </c>
    </row>
    <row r="118" spans="1:6" x14ac:dyDescent="0.2">
      <c r="B118" s="13" t="s">
        <v>35</v>
      </c>
      <c r="C118" s="4">
        <f>SUM(C109:C116)</f>
        <v>7027763</v>
      </c>
      <c r="D118" s="4">
        <f>SUM(D109:D116)</f>
        <v>0</v>
      </c>
      <c r="E118" s="4">
        <f>SUM(E109:E116)</f>
        <v>347516</v>
      </c>
      <c r="F118" s="4">
        <f>SUM(F109:F116)</f>
        <v>7375279</v>
      </c>
    </row>
    <row r="119" spans="1:6" ht="15" thickBot="1" x14ac:dyDescent="0.25"/>
    <row r="120" spans="1:6" ht="15" thickBot="1" x14ac:dyDescent="0.25">
      <c r="B120" s="55" t="s">
        <v>934</v>
      </c>
      <c r="C120" s="53"/>
      <c r="D120" s="53"/>
      <c r="E120" s="53">
        <f>IF(F3="1",SUMIF(Data!A:A,'32'!$A$2,Data!AM:AM),0)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388</v>
      </c>
      <c r="B2" s="58" t="str">
        <f>VLOOKUP(A2,Data!A:G,7,0)</f>
        <v>Panola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24946</v>
      </c>
      <c r="E5" s="15">
        <f>E36+E67+IFERROR($E$105/$D$105*D5,0)</f>
        <v>226530.3349918524</v>
      </c>
      <c r="F5" s="20">
        <f>IF(OR(D5=0,E5=0),"",ROUND(E5/D5,2))</f>
        <v>9.08</v>
      </c>
    </row>
    <row r="6" spans="1:6" x14ac:dyDescent="0.2">
      <c r="A6" s="19">
        <v>2</v>
      </c>
      <c r="B6" s="181" t="s">
        <v>1</v>
      </c>
      <c r="C6" s="182"/>
      <c r="D6" s="14">
        <f t="shared" ref="D6:D32" si="0">D37</f>
        <v>9884</v>
      </c>
      <c r="E6" s="17">
        <f t="shared" ref="E6:E32" si="1">E37+E68+IFERROR($E$105/$D$105*D6,0)</f>
        <v>107423.87721716784</v>
      </c>
      <c r="F6" s="21">
        <f t="shared" ref="F6:F33" si="2">IF(OR(D6=0,E6=0),"",ROUND(E6/D6,2))</f>
        <v>10.87</v>
      </c>
    </row>
    <row r="7" spans="1:6" ht="14.25" customHeight="1" x14ac:dyDescent="0.2">
      <c r="A7" s="19">
        <v>3</v>
      </c>
      <c r="B7" s="181" t="s">
        <v>2</v>
      </c>
      <c r="C7" s="182"/>
      <c r="D7" s="14">
        <f t="shared" si="0"/>
        <v>95040</v>
      </c>
      <c r="E7" s="17">
        <f t="shared" si="1"/>
        <v>604718.57129903196</v>
      </c>
      <c r="F7" s="21">
        <f t="shared" si="2"/>
        <v>6.36</v>
      </c>
    </row>
    <row r="8" spans="1:6" ht="14.25" customHeight="1" x14ac:dyDescent="0.2">
      <c r="A8" s="19">
        <v>4</v>
      </c>
      <c r="B8" s="181" t="s">
        <v>3</v>
      </c>
      <c r="C8" s="182"/>
      <c r="D8" s="14">
        <f t="shared" si="0"/>
        <v>45700</v>
      </c>
      <c r="E8" s="17">
        <f t="shared" si="1"/>
        <v>437208.28417893266</v>
      </c>
      <c r="F8" s="21">
        <f t="shared" si="2"/>
        <v>9.57</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6404</v>
      </c>
      <c r="E10" s="17">
        <f t="shared" si="1"/>
        <v>74444.072207481062</v>
      </c>
      <c r="F10" s="21">
        <f t="shared" si="2"/>
        <v>11.62</v>
      </c>
    </row>
    <row r="11" spans="1:6" x14ac:dyDescent="0.2">
      <c r="A11" s="19">
        <v>7</v>
      </c>
      <c r="B11" s="181" t="s">
        <v>6</v>
      </c>
      <c r="C11" s="182"/>
      <c r="D11" s="14">
        <f t="shared" si="0"/>
        <v>33094</v>
      </c>
      <c r="E11" s="17">
        <f t="shared" si="1"/>
        <v>304408.96465246385</v>
      </c>
      <c r="F11" s="21">
        <f t="shared" si="2"/>
        <v>9.1999999999999993</v>
      </c>
    </row>
    <row r="12" spans="1:6" x14ac:dyDescent="0.2">
      <c r="A12" s="19">
        <v>8</v>
      </c>
      <c r="B12" s="181" t="s">
        <v>7</v>
      </c>
      <c r="C12" s="182"/>
      <c r="D12" s="14">
        <f t="shared" si="0"/>
        <v>444</v>
      </c>
      <c r="E12" s="17">
        <f t="shared" si="1"/>
        <v>175761.1992598566</v>
      </c>
      <c r="F12" s="21">
        <f t="shared" si="2"/>
        <v>395.86</v>
      </c>
    </row>
    <row r="13" spans="1:6" x14ac:dyDescent="0.2">
      <c r="A13" s="19">
        <v>9</v>
      </c>
      <c r="B13" s="181" t="s">
        <v>8</v>
      </c>
      <c r="C13" s="182"/>
      <c r="D13" s="14">
        <f t="shared" si="0"/>
        <v>75520</v>
      </c>
      <c r="E13" s="17">
        <f t="shared" si="1"/>
        <v>445348.42365849006</v>
      </c>
      <c r="F13" s="21">
        <f t="shared" si="2"/>
        <v>5.9</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72</v>
      </c>
      <c r="E15" s="17">
        <f t="shared" si="1"/>
        <v>537.78906916593337</v>
      </c>
      <c r="F15" s="21">
        <f t="shared" si="2"/>
        <v>7.47</v>
      </c>
    </row>
    <row r="16" spans="1:6" ht="14.25" customHeight="1" x14ac:dyDescent="0.2">
      <c r="A16" s="19">
        <v>12</v>
      </c>
      <c r="B16" s="181" t="s">
        <v>11</v>
      </c>
      <c r="C16" s="182"/>
      <c r="D16" s="14">
        <f t="shared" si="0"/>
        <v>102887</v>
      </c>
      <c r="E16" s="17">
        <f t="shared" si="1"/>
        <v>1184690.5411010468</v>
      </c>
      <c r="F16" s="21">
        <f t="shared" si="2"/>
        <v>11.51</v>
      </c>
    </row>
    <row r="17" spans="1:6" x14ac:dyDescent="0.2">
      <c r="A17" s="19">
        <v>13</v>
      </c>
      <c r="B17" s="181" t="s">
        <v>12</v>
      </c>
      <c r="C17" s="182"/>
      <c r="D17" s="14">
        <f t="shared" si="0"/>
        <v>4680</v>
      </c>
      <c r="E17" s="17">
        <f t="shared" si="1"/>
        <v>52055.289495785662</v>
      </c>
      <c r="F17" s="21">
        <f t="shared" si="2"/>
        <v>11.12</v>
      </c>
    </row>
    <row r="18" spans="1:6" ht="14.25" customHeight="1" x14ac:dyDescent="0.2">
      <c r="A18" s="19">
        <v>14</v>
      </c>
      <c r="B18" s="181" t="s">
        <v>464</v>
      </c>
      <c r="C18" s="182"/>
      <c r="D18" s="14">
        <f t="shared" si="0"/>
        <v>52256</v>
      </c>
      <c r="E18" s="17">
        <f t="shared" si="1"/>
        <v>662313.24442131957</v>
      </c>
      <c r="F18" s="21">
        <f t="shared" si="2"/>
        <v>12.67</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66981</v>
      </c>
      <c r="E20" s="17">
        <f t="shared" si="1"/>
        <v>902246.64780282462</v>
      </c>
      <c r="F20" s="21">
        <f t="shared" si="2"/>
        <v>13.47</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99152</v>
      </c>
      <c r="E22" s="17">
        <f t="shared" si="1"/>
        <v>723018.85813806416</v>
      </c>
      <c r="F22" s="21">
        <f t="shared" si="2"/>
        <v>7.29</v>
      </c>
    </row>
    <row r="23" spans="1:6" x14ac:dyDescent="0.2">
      <c r="A23" s="19">
        <v>19</v>
      </c>
      <c r="B23" s="181" t="s">
        <v>17</v>
      </c>
      <c r="C23" s="182"/>
      <c r="D23" s="14">
        <f t="shared" si="0"/>
        <v>68992</v>
      </c>
      <c r="E23" s="17">
        <f t="shared" si="1"/>
        <v>414701.54805411206</v>
      </c>
      <c r="F23" s="21">
        <f t="shared" si="2"/>
        <v>6.01</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36432</v>
      </c>
      <c r="E27" s="17">
        <f t="shared" si="1"/>
        <v>310342.26899796224</v>
      </c>
      <c r="F27" s="21">
        <f t="shared" si="2"/>
        <v>8.52</v>
      </c>
    </row>
    <row r="28" spans="1:6" x14ac:dyDescent="0.2">
      <c r="A28" s="19">
        <v>24</v>
      </c>
      <c r="B28" s="181" t="s">
        <v>21</v>
      </c>
      <c r="C28" s="182"/>
      <c r="D28" s="14">
        <f t="shared" si="0"/>
        <v>48</v>
      </c>
      <c r="E28" s="17">
        <f t="shared" si="1"/>
        <v>805.8593794439555</v>
      </c>
      <c r="F28" s="21">
        <f t="shared" si="2"/>
        <v>16.79</v>
      </c>
    </row>
    <row r="29" spans="1:6" x14ac:dyDescent="0.2">
      <c r="A29" s="19">
        <v>25</v>
      </c>
      <c r="B29" s="181" t="s">
        <v>22</v>
      </c>
      <c r="C29" s="182"/>
      <c r="D29" s="14">
        <f t="shared" si="0"/>
        <v>122552</v>
      </c>
      <c r="E29" s="17">
        <f t="shared" si="1"/>
        <v>914353.30561699253</v>
      </c>
      <c r="F29" s="21">
        <f t="shared" si="2"/>
        <v>7.46</v>
      </c>
    </row>
    <row r="30" spans="1:6" x14ac:dyDescent="0.2">
      <c r="A30" s="19">
        <v>26</v>
      </c>
      <c r="B30" s="181" t="s">
        <v>23</v>
      </c>
      <c r="C30" s="182"/>
      <c r="D30" s="14">
        <f t="shared" si="0"/>
        <v>51499</v>
      </c>
      <c r="E30" s="17">
        <f t="shared" si="1"/>
        <v>429223.92045800551</v>
      </c>
      <c r="F30" s="21">
        <f t="shared" si="2"/>
        <v>8.33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896583</v>
      </c>
      <c r="E33" s="31">
        <f>SUM(E5:E32)</f>
        <v>7970133</v>
      </c>
      <c r="F33" s="32">
        <f t="shared" si="2"/>
        <v>8.89</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IF(F3="1",SUMIF(Data!A:A,'33'!$A$2,Data!CU:CU),0)</f>
        <v>24946</v>
      </c>
      <c r="E36" s="15">
        <f>IF(F3="1",SUMIF(Data!$A:$A,$A$2,Data!IO:IO),0)</f>
        <v>7990</v>
      </c>
      <c r="F36" s="20">
        <f t="shared" ref="F36:F64" si="3">IF(OR(D36=0,E36=0),"",ROUND(E36/D36,2))</f>
        <v>0.32</v>
      </c>
    </row>
    <row r="37" spans="1:6" x14ac:dyDescent="0.2">
      <c r="A37" s="19">
        <v>2</v>
      </c>
      <c r="B37" s="181" t="s">
        <v>1</v>
      </c>
      <c r="C37" s="182"/>
      <c r="D37" s="14">
        <f>IF(F3="1",SUMIF(Data!A:A,'33'!$A$2,Data!CV:CV),0)</f>
        <v>9884</v>
      </c>
      <c r="E37" s="17">
        <f>IF(F3="1",SUMIF(Data!$A:$A,$A$2,Data!IP:IP),0)</f>
        <v>11139</v>
      </c>
      <c r="F37" s="21">
        <f t="shared" si="3"/>
        <v>1.1299999999999999</v>
      </c>
    </row>
    <row r="38" spans="1:6" ht="14.25" customHeight="1" x14ac:dyDescent="0.2">
      <c r="A38" s="19">
        <v>3</v>
      </c>
      <c r="B38" s="181" t="s">
        <v>2</v>
      </c>
      <c r="C38" s="182"/>
      <c r="D38" s="14">
        <f>IF(F3="1",SUMIF(Data!A:A,'33'!$A$2,Data!CW:CW),0)</f>
        <v>95040</v>
      </c>
      <c r="E38" s="17">
        <f>IF($F$3="1",SUMIF(Data!$A:$A,$A$2,Data!IQ:IQ),0)</f>
        <v>29920</v>
      </c>
      <c r="F38" s="21">
        <f t="shared" si="3"/>
        <v>0.31</v>
      </c>
    </row>
    <row r="39" spans="1:6" ht="14.25" customHeight="1" x14ac:dyDescent="0.2">
      <c r="A39" s="19">
        <v>4</v>
      </c>
      <c r="B39" s="181" t="s">
        <v>3</v>
      </c>
      <c r="C39" s="182"/>
      <c r="D39" s="14">
        <f>IF(F3="1",SUMIF(Data!A:A,'33'!$A$2,Data!CX:CX),0)</f>
        <v>45700</v>
      </c>
      <c r="E39" s="17">
        <f>IF($F$3="1",SUMIF(Data!$A:$A,$A$2,Data!IR:IR),0)</f>
        <v>42657</v>
      </c>
      <c r="F39" s="21">
        <f t="shared" si="3"/>
        <v>0.93</v>
      </c>
    </row>
    <row r="40" spans="1:6" x14ac:dyDescent="0.2">
      <c r="A40" s="19">
        <v>5</v>
      </c>
      <c r="B40" s="181" t="s">
        <v>4</v>
      </c>
      <c r="C40" s="182"/>
      <c r="D40" s="14">
        <f>IF(F3="1",SUMIF(Data!A:A,'33'!$A$2,Data!CY:CY),0)</f>
        <v>0</v>
      </c>
      <c r="E40" s="17">
        <f>IF($F$3="1",SUMIF(Data!$A:$A,$A$2,Data!IS:IS),0)</f>
        <v>0</v>
      </c>
      <c r="F40" s="21" t="str">
        <f t="shared" si="3"/>
        <v/>
      </c>
    </row>
    <row r="41" spans="1:6" x14ac:dyDescent="0.2">
      <c r="A41" s="19">
        <v>6</v>
      </c>
      <c r="B41" s="181" t="s">
        <v>5</v>
      </c>
      <c r="C41" s="182"/>
      <c r="D41" s="14">
        <f>IF(F3="1",SUMIF(Data!A:A,'33'!$A$2,Data!CZ:CZ),0)</f>
        <v>6404</v>
      </c>
      <c r="E41" s="17">
        <f>IF($F$3="1",SUMIF(Data!$A:$A,$A$2,Data!IT:IT),0)</f>
        <v>8086</v>
      </c>
      <c r="F41" s="21">
        <f t="shared" si="3"/>
        <v>1.26</v>
      </c>
    </row>
    <row r="42" spans="1:6" x14ac:dyDescent="0.2">
      <c r="A42" s="19">
        <v>7</v>
      </c>
      <c r="B42" s="181" t="s">
        <v>6</v>
      </c>
      <c r="C42" s="182"/>
      <c r="D42" s="14">
        <f>IF(F3="1",SUMIF(Data!A:A,'33'!$A$2,Data!DA:DA),0)</f>
        <v>33094</v>
      </c>
      <c r="E42" s="17">
        <f>IF($F$3="1",SUMIF(Data!$A:$A,$A$2,Data!IU:IU),0)</f>
        <v>34254</v>
      </c>
      <c r="F42" s="21">
        <f t="shared" si="3"/>
        <v>1.04</v>
      </c>
    </row>
    <row r="43" spans="1:6" x14ac:dyDescent="0.2">
      <c r="A43" s="19">
        <v>8</v>
      </c>
      <c r="B43" s="181" t="s">
        <v>7</v>
      </c>
      <c r="C43" s="182"/>
      <c r="D43" s="14">
        <f>IF(F3="1",SUMIF(Data!A:A,'33'!$A$2,Data!DB:DB),0)</f>
        <v>444</v>
      </c>
      <c r="E43" s="17">
        <f>IF($F$3="1",SUMIF(Data!$A:$A,$A$2,Data!IV:IV),0)</f>
        <v>156516</v>
      </c>
      <c r="F43" s="21">
        <f t="shared" si="3"/>
        <v>352.51</v>
      </c>
    </row>
    <row r="44" spans="1:6" x14ac:dyDescent="0.2">
      <c r="A44" s="19">
        <v>9</v>
      </c>
      <c r="B44" s="181" t="s">
        <v>8</v>
      </c>
      <c r="C44" s="182"/>
      <c r="D44" s="14">
        <f>IF(F3="1",SUMIF(Data!A:A,'33'!$A$2,Data!DC:DC),0)</f>
        <v>75520</v>
      </c>
      <c r="E44" s="17">
        <f>IF($F$3="1",SUMIF(Data!$A:$A,$A$2,Data!IW:IW),0)</f>
        <v>18377</v>
      </c>
      <c r="F44" s="21">
        <f t="shared" si="3"/>
        <v>0.24</v>
      </c>
    </row>
    <row r="45" spans="1:6" x14ac:dyDescent="0.2">
      <c r="A45" s="19">
        <v>10</v>
      </c>
      <c r="B45" s="181" t="s">
        <v>9</v>
      </c>
      <c r="C45" s="182"/>
      <c r="D45" s="14">
        <f>IF(F3="1",SUMIF(Data!A:A,'33'!$A$2,Data!DD:DD),0)</f>
        <v>0</v>
      </c>
      <c r="E45" s="17">
        <f>IF($F$3="1",SUMIF(Data!$A:$A,$A$2,Data!IX:IX),0)</f>
        <v>0</v>
      </c>
      <c r="F45" s="21" t="str">
        <f t="shared" si="3"/>
        <v/>
      </c>
    </row>
    <row r="46" spans="1:6" x14ac:dyDescent="0.2">
      <c r="A46" s="19">
        <v>11</v>
      </c>
      <c r="B46" s="181" t="s">
        <v>10</v>
      </c>
      <c r="C46" s="182"/>
      <c r="D46" s="14">
        <f>IF(F3="1",SUMIF(Data!A:A,'33'!$A$2,Data!DE:DE),0)</f>
        <v>72</v>
      </c>
      <c r="E46" s="17">
        <f>IF($F$3="1",SUMIF(Data!$A:$A,$A$2,Data!IY:IY),0)</f>
        <v>192</v>
      </c>
      <c r="F46" s="21">
        <f t="shared" si="3"/>
        <v>2.67</v>
      </c>
    </row>
    <row r="47" spans="1:6" ht="14.25" customHeight="1" x14ac:dyDescent="0.2">
      <c r="A47" s="19">
        <v>12</v>
      </c>
      <c r="B47" s="181" t="s">
        <v>11</v>
      </c>
      <c r="C47" s="182"/>
      <c r="D47" s="14">
        <f>IF(F3="1",SUMIF(Data!A:A,'33'!$A$2,Data!DF:DF),0)</f>
        <v>102887</v>
      </c>
      <c r="E47" s="17">
        <f>IF($F$3="1",SUMIF(Data!$A:$A,$A$2,Data!IZ:IZ),0)</f>
        <v>229065</v>
      </c>
      <c r="F47" s="21">
        <f t="shared" si="3"/>
        <v>2.23</v>
      </c>
    </row>
    <row r="48" spans="1:6" x14ac:dyDescent="0.2">
      <c r="A48" s="19">
        <v>13</v>
      </c>
      <c r="B48" s="181" t="s">
        <v>12</v>
      </c>
      <c r="C48" s="182"/>
      <c r="D48" s="14">
        <f>IF(F3="1",SUMIF(Data!A:A,'33'!$A$2,Data!DG:DG),0)</f>
        <v>4680</v>
      </c>
      <c r="E48" s="17">
        <f>IF($F$3="1",SUMIF(Data!$A:$A,$A$2,Data!JA:JA),0)</f>
        <v>3705</v>
      </c>
      <c r="F48" s="21">
        <f t="shared" si="3"/>
        <v>0.79</v>
      </c>
    </row>
    <row r="49" spans="1:6" ht="14.25" customHeight="1" x14ac:dyDescent="0.2">
      <c r="A49" s="19">
        <v>14</v>
      </c>
      <c r="B49" s="181" t="s">
        <v>464</v>
      </c>
      <c r="C49" s="182"/>
      <c r="D49" s="14">
        <f>IF(F3="1",SUMIF(Data!A:A,'33'!$A$2,Data!DH:DH),0)</f>
        <v>52256</v>
      </c>
      <c r="E49" s="17">
        <f>IF($F$3="1",SUMIF(Data!$A:$A,$A$2,Data!JB:JB),0)</f>
        <v>116717</v>
      </c>
      <c r="F49" s="21">
        <f t="shared" si="3"/>
        <v>2.23</v>
      </c>
    </row>
    <row r="50" spans="1:6" x14ac:dyDescent="0.2">
      <c r="A50" s="19">
        <v>15</v>
      </c>
      <c r="B50" s="181" t="s">
        <v>13</v>
      </c>
      <c r="C50" s="182"/>
      <c r="D50" s="14">
        <f>IF(F3="1",SUMIF(Data!A:A,'33'!$A$2,Data!DI:DI),0)</f>
        <v>0</v>
      </c>
      <c r="E50" s="17">
        <f>IF($F$3="1",SUMIF(Data!$A:$A,$A$2,Data!JC:JC),0)</f>
        <v>0</v>
      </c>
      <c r="F50" s="21" t="str">
        <f t="shared" si="3"/>
        <v/>
      </c>
    </row>
    <row r="51" spans="1:6" x14ac:dyDescent="0.2">
      <c r="A51" s="19">
        <v>16</v>
      </c>
      <c r="B51" s="181" t="s">
        <v>14</v>
      </c>
      <c r="C51" s="182"/>
      <c r="D51" s="14">
        <f>IF(F3="1",SUMIF(Data!A:A,'33'!$A$2,Data!DJ:DJ),0)</f>
        <v>66981</v>
      </c>
      <c r="E51" s="17">
        <f>IF($F$3="1",SUMIF(Data!$A:$A,$A$2,Data!JD:JD),0)</f>
        <v>391903</v>
      </c>
      <c r="F51" s="21">
        <f t="shared" si="3"/>
        <v>5.85</v>
      </c>
    </row>
    <row r="52" spans="1:6" x14ac:dyDescent="0.2">
      <c r="A52" s="19">
        <v>17</v>
      </c>
      <c r="B52" s="181" t="s">
        <v>15</v>
      </c>
      <c r="C52" s="182"/>
      <c r="D52" s="14">
        <f>IF(F3="1",SUMIF(Data!A:A,'33'!$A$2,Data!DK:DK),0)</f>
        <v>0</v>
      </c>
      <c r="E52" s="17">
        <f>IF($F$3="1",SUMIF(Data!$A:$A,$A$2,Data!JE:JE),0)</f>
        <v>0</v>
      </c>
      <c r="F52" s="21" t="str">
        <f t="shared" si="3"/>
        <v/>
      </c>
    </row>
    <row r="53" spans="1:6" x14ac:dyDescent="0.2">
      <c r="A53" s="19">
        <v>18</v>
      </c>
      <c r="B53" s="181" t="s">
        <v>16</v>
      </c>
      <c r="C53" s="182"/>
      <c r="D53" s="14">
        <f>IF(F3="1",SUMIF(Data!A:A,'33'!$A$2,Data!DL:DL),0)</f>
        <v>99152</v>
      </c>
      <c r="E53" s="17">
        <f>IF($F$3="1",SUMIF(Data!$A:$A,$A$2,Data!JF:JF),0)</f>
        <v>43201</v>
      </c>
      <c r="F53" s="21">
        <f t="shared" si="3"/>
        <v>0.44</v>
      </c>
    </row>
    <row r="54" spans="1:6" x14ac:dyDescent="0.2">
      <c r="A54" s="19">
        <v>19</v>
      </c>
      <c r="B54" s="181" t="s">
        <v>17</v>
      </c>
      <c r="C54" s="182"/>
      <c r="D54" s="14">
        <f>IF(F3="1",SUMIF(Data!A:A,'33'!$A$2,Data!DM:DM),0)</f>
        <v>68992</v>
      </c>
      <c r="E54" s="17">
        <f>IF($F$3="1",SUMIF(Data!$A:$A,$A$2,Data!JG:JG),0)</f>
        <v>10813</v>
      </c>
      <c r="F54" s="21">
        <f t="shared" si="3"/>
        <v>0.16</v>
      </c>
    </row>
    <row r="55" spans="1:6" x14ac:dyDescent="0.2">
      <c r="A55" s="19">
        <v>20</v>
      </c>
      <c r="B55" s="181" t="s">
        <v>18</v>
      </c>
      <c r="C55" s="182"/>
      <c r="D55" s="14">
        <f>IF(F3="1",SUMIF(Data!A:A,'33'!$A$2,Data!DN:DN),0)</f>
        <v>0</v>
      </c>
      <c r="E55" s="17">
        <f>IF($F$3="1",SUMIF(Data!$A:$A,$A$2,Data!JH:JH),0)</f>
        <v>0</v>
      </c>
      <c r="F55" s="21" t="str">
        <f t="shared" si="3"/>
        <v/>
      </c>
    </row>
    <row r="56" spans="1:6" ht="14.25" customHeight="1" x14ac:dyDescent="0.2">
      <c r="A56" s="19">
        <v>21</v>
      </c>
      <c r="B56" s="181" t="s">
        <v>461</v>
      </c>
      <c r="C56" s="182"/>
      <c r="D56" s="14">
        <f>IF(F3="1",SUMIF(Data!A:A,'33'!$A$2,Data!DO:DO),0)</f>
        <v>0</v>
      </c>
      <c r="E56" s="17">
        <f>IF($F$3="1",SUMIF(Data!$A:$A,$A$2,Data!JI:JI),0)</f>
        <v>0</v>
      </c>
      <c r="F56" s="21" t="str">
        <f t="shared" si="3"/>
        <v/>
      </c>
    </row>
    <row r="57" spans="1:6" x14ac:dyDescent="0.2">
      <c r="A57" s="19">
        <v>22</v>
      </c>
      <c r="B57" s="181" t="s">
        <v>19</v>
      </c>
      <c r="C57" s="182"/>
      <c r="D57" s="14">
        <f>IF(F3="1",SUMIF(Data!A:A,'33'!$A$2,Data!DP:DP),0)</f>
        <v>0</v>
      </c>
      <c r="E57" s="17">
        <f>IF($F$3="1",SUMIF(Data!$A:$A,$A$2,Data!JJ:JJ),0)</f>
        <v>0</v>
      </c>
      <c r="F57" s="21" t="str">
        <f t="shared" si="3"/>
        <v/>
      </c>
    </row>
    <row r="58" spans="1:6" x14ac:dyDescent="0.2">
      <c r="A58" s="19">
        <v>23</v>
      </c>
      <c r="B58" s="181" t="s">
        <v>20</v>
      </c>
      <c r="C58" s="182"/>
      <c r="D58" s="14">
        <f>IF(F3="1",SUMIF(Data!A:A,'33'!$A$2,Data!DQ:DQ),0)</f>
        <v>36432</v>
      </c>
      <c r="E58" s="17">
        <f>IF($F$3="1",SUMIF(Data!$A:$A,$A$2,Data!JK:JK),0)</f>
        <v>19111</v>
      </c>
      <c r="F58" s="21">
        <f t="shared" si="3"/>
        <v>0.52</v>
      </c>
    </row>
    <row r="59" spans="1:6" x14ac:dyDescent="0.2">
      <c r="A59" s="19">
        <v>24</v>
      </c>
      <c r="B59" s="181" t="s">
        <v>21</v>
      </c>
      <c r="C59" s="182"/>
      <c r="D59" s="14">
        <f>IF(F3="1",SUMIF(Data!A:A,'33'!$A$2,Data!DR:DR),0)</f>
        <v>48</v>
      </c>
      <c r="E59" s="17">
        <f>IF($F$3="1",SUMIF(Data!$A:$A,$A$2,Data!JL:JL),0)</f>
        <v>2</v>
      </c>
      <c r="F59" s="21">
        <f t="shared" si="3"/>
        <v>0.04</v>
      </c>
    </row>
    <row r="60" spans="1:6" x14ac:dyDescent="0.2">
      <c r="A60" s="19">
        <v>25</v>
      </c>
      <c r="B60" s="181" t="s">
        <v>22</v>
      </c>
      <c r="C60" s="182"/>
      <c r="D60" s="14">
        <f>IF(F3="1",SUMIF(Data!A:A,'33'!$A$2,Data!DS:DS),0)</f>
        <v>122552</v>
      </c>
      <c r="E60" s="17">
        <f>IF($F$3="1",SUMIF(Data!$A:$A,$A$2,Data!JM:JM),0)</f>
        <v>91002</v>
      </c>
      <c r="F60" s="21">
        <f t="shared" si="3"/>
        <v>0.74</v>
      </c>
    </row>
    <row r="61" spans="1:6" x14ac:dyDescent="0.2">
      <c r="A61" s="19">
        <v>26</v>
      </c>
      <c r="B61" s="181" t="s">
        <v>23</v>
      </c>
      <c r="C61" s="182"/>
      <c r="D61" s="14">
        <f>IF(F3="1",SUMIF(Data!A:A,'33'!$A$2,Data!DT:DT),0)</f>
        <v>51499</v>
      </c>
      <c r="E61" s="17">
        <f>IF($F$3="1",SUMIF(Data!$A:$A,$A$2,Data!JN:JN),0)</f>
        <v>27403</v>
      </c>
      <c r="F61" s="21">
        <f t="shared" si="3"/>
        <v>0.53</v>
      </c>
    </row>
    <row r="62" spans="1:6" x14ac:dyDescent="0.2">
      <c r="A62" s="19">
        <v>28</v>
      </c>
      <c r="B62" s="181" t="s">
        <v>24</v>
      </c>
      <c r="C62" s="182"/>
      <c r="D62" s="14">
        <f>IF(F3="1",SUMIF(Data!A:A,'33'!$A$2,Data!DV:DV),0)</f>
        <v>0</v>
      </c>
      <c r="E62" s="17">
        <f>IF($F$3="1",SUMIF(Data!$A:$A,$A$2,Data!JP:JP),0)</f>
        <v>0</v>
      </c>
      <c r="F62" s="21" t="str">
        <f t="shared" si="3"/>
        <v/>
      </c>
    </row>
    <row r="63" spans="1:6" ht="15.75" customHeight="1" thickBot="1" x14ac:dyDescent="0.25">
      <c r="A63" s="22">
        <v>29</v>
      </c>
      <c r="B63" s="183" t="s">
        <v>25</v>
      </c>
      <c r="C63" s="184"/>
      <c r="D63" s="23">
        <f>IF(F3="1",SUMIF(Data!A:A,'33'!$A$2,Data!DW:DW),0)</f>
        <v>0</v>
      </c>
      <c r="E63" s="24">
        <f>IF($F$3="1",SUMIF(Data!$A:$A,$A$2,Data!JQ:JQ),0)</f>
        <v>0</v>
      </c>
      <c r="F63" s="25" t="str">
        <f t="shared" si="3"/>
        <v/>
      </c>
    </row>
    <row r="64" spans="1:6" x14ac:dyDescent="0.2">
      <c r="B64" s="30" t="s">
        <v>35</v>
      </c>
      <c r="C64" s="30"/>
      <c r="D64" s="59">
        <f>SUM(D36:D63)</f>
        <v>896583</v>
      </c>
      <c r="E64" s="31">
        <f>SUM(E36:E63)</f>
        <v>1242053</v>
      </c>
      <c r="F64" s="32">
        <f t="shared" si="3"/>
        <v>1.39</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24946</v>
      </c>
      <c r="E67" s="15">
        <f>IF(F3="1",SUMIF(Data!A:A,'33'!$A$2,Data!DY:DY),0)</f>
        <v>117790</v>
      </c>
      <c r="F67" s="20">
        <f t="shared" ref="F67:F95" si="4">IF(OR(D67=0,E67=0),"",ROUND(E67/D67,2))</f>
        <v>4.72</v>
      </c>
    </row>
    <row r="68" spans="1:6" x14ac:dyDescent="0.2">
      <c r="A68" s="19">
        <v>2</v>
      </c>
      <c r="B68" s="181" t="s">
        <v>1</v>
      </c>
      <c r="C68" s="182"/>
      <c r="D68" s="14">
        <f t="shared" ref="D68:D94" si="5">D37</f>
        <v>9884</v>
      </c>
      <c r="E68" s="17">
        <f>IF(F3="1",SUMIF(Data!A:A,'33'!$A$2,Data!DZ:DZ),0)</f>
        <v>56366</v>
      </c>
      <c r="F68" s="21">
        <f t="shared" si="4"/>
        <v>5.7</v>
      </c>
    </row>
    <row r="69" spans="1:6" ht="14.25" customHeight="1" x14ac:dyDescent="0.2">
      <c r="A69" s="19">
        <v>3</v>
      </c>
      <c r="B69" s="181" t="s">
        <v>2</v>
      </c>
      <c r="C69" s="182"/>
      <c r="D69" s="14">
        <f t="shared" si="5"/>
        <v>95040</v>
      </c>
      <c r="E69" s="17">
        <f>IF(F3="1",SUMIF(Data!A:A,'33'!$A$2,Data!EA:EA),0)</f>
        <v>190957</v>
      </c>
      <c r="F69" s="21">
        <f t="shared" si="4"/>
        <v>2.0099999999999998</v>
      </c>
    </row>
    <row r="70" spans="1:6" ht="14.25" customHeight="1" x14ac:dyDescent="0.2">
      <c r="A70" s="19">
        <v>4</v>
      </c>
      <c r="B70" s="181" t="s">
        <v>3</v>
      </c>
      <c r="C70" s="182"/>
      <c r="D70" s="14">
        <f t="shared" si="5"/>
        <v>45700</v>
      </c>
      <c r="E70" s="17">
        <f>IF(F3="1",SUMIF(Data!A:A,'33'!$A$2,Data!EB:EB),0)</f>
        <v>209981</v>
      </c>
      <c r="F70" s="21">
        <f t="shared" si="4"/>
        <v>4.59</v>
      </c>
    </row>
    <row r="71" spans="1:6" x14ac:dyDescent="0.2">
      <c r="A71" s="19">
        <v>5</v>
      </c>
      <c r="B71" s="181" t="s">
        <v>4</v>
      </c>
      <c r="C71" s="182"/>
      <c r="D71" s="14">
        <f t="shared" si="5"/>
        <v>0</v>
      </c>
      <c r="E71" s="17">
        <f>IF(F3="1",SUMIF(Data!A:A,'33'!$A$2,Data!EC:EC),0)</f>
        <v>0</v>
      </c>
      <c r="F71" s="21" t="str">
        <f t="shared" si="4"/>
        <v/>
      </c>
    </row>
    <row r="72" spans="1:6" x14ac:dyDescent="0.2">
      <c r="A72" s="19">
        <v>6</v>
      </c>
      <c r="B72" s="181" t="s">
        <v>5</v>
      </c>
      <c r="C72" s="182"/>
      <c r="D72" s="14">
        <f t="shared" si="5"/>
        <v>6404</v>
      </c>
      <c r="E72" s="17">
        <f>IF(F3="1",SUMIF(Data!A:A,'33'!$A$2,Data!ED:ED),0)</f>
        <v>40494</v>
      </c>
      <c r="F72" s="21">
        <f t="shared" si="4"/>
        <v>6.32</v>
      </c>
    </row>
    <row r="73" spans="1:6" x14ac:dyDescent="0.2">
      <c r="A73" s="19">
        <v>7</v>
      </c>
      <c r="B73" s="181" t="s">
        <v>6</v>
      </c>
      <c r="C73" s="182"/>
      <c r="D73" s="14">
        <f t="shared" si="5"/>
        <v>33094</v>
      </c>
      <c r="E73" s="17">
        <f>IF(F3="1",SUMIF(Data!A:A,'33'!$A$2,Data!EE:EE),0)</f>
        <v>136497</v>
      </c>
      <c r="F73" s="21">
        <f t="shared" si="4"/>
        <v>4.12</v>
      </c>
    </row>
    <row r="74" spans="1:6" x14ac:dyDescent="0.2">
      <c r="A74" s="19">
        <v>8</v>
      </c>
      <c r="B74" s="181" t="s">
        <v>7</v>
      </c>
      <c r="C74" s="182"/>
      <c r="D74" s="14">
        <f t="shared" si="5"/>
        <v>444</v>
      </c>
      <c r="E74" s="17">
        <f>IF(F3="1",SUMIF(Data!A:A,'33'!$A$2,Data!EF:EF),0)</f>
        <v>17452</v>
      </c>
      <c r="F74" s="21">
        <f t="shared" si="4"/>
        <v>39.31</v>
      </c>
    </row>
    <row r="75" spans="1:6" x14ac:dyDescent="0.2">
      <c r="A75" s="19">
        <v>9</v>
      </c>
      <c r="B75" s="181" t="s">
        <v>8</v>
      </c>
      <c r="C75" s="182"/>
      <c r="D75" s="14">
        <f t="shared" si="5"/>
        <v>75520</v>
      </c>
      <c r="E75" s="17">
        <f>IF(F3="1",SUMIF(Data!A:A,'33'!$A$2,Data!EG:EG),0)</f>
        <v>121966</v>
      </c>
      <c r="F75" s="21">
        <f t="shared" si="4"/>
        <v>1.62</v>
      </c>
    </row>
    <row r="76" spans="1:6" x14ac:dyDescent="0.2">
      <c r="A76" s="19">
        <v>10</v>
      </c>
      <c r="B76" s="181" t="s">
        <v>9</v>
      </c>
      <c r="C76" s="182"/>
      <c r="D76" s="14">
        <f t="shared" si="5"/>
        <v>0</v>
      </c>
      <c r="E76" s="17">
        <f>IF(F3="1",SUMIF(Data!A:A,'33'!$A$2,Data!EH:EH),0)</f>
        <v>0</v>
      </c>
      <c r="F76" s="21" t="str">
        <f t="shared" si="4"/>
        <v/>
      </c>
    </row>
    <row r="77" spans="1:6" x14ac:dyDescent="0.2">
      <c r="A77" s="19">
        <v>11</v>
      </c>
      <c r="B77" s="181" t="s">
        <v>10</v>
      </c>
      <c r="C77" s="182"/>
      <c r="D77" s="14">
        <f t="shared" si="5"/>
        <v>72</v>
      </c>
      <c r="E77" s="17">
        <f>IF(F3="1",SUMIF(Data!A:A,'33'!$A$2,Data!EI:EI),0)</f>
        <v>55</v>
      </c>
      <c r="F77" s="21">
        <f t="shared" si="4"/>
        <v>0.76</v>
      </c>
    </row>
    <row r="78" spans="1:6" ht="14.25" customHeight="1" x14ac:dyDescent="0.2">
      <c r="A78" s="19">
        <v>12</v>
      </c>
      <c r="B78" s="181" t="s">
        <v>11</v>
      </c>
      <c r="C78" s="182"/>
      <c r="D78" s="14">
        <f t="shared" si="5"/>
        <v>102887</v>
      </c>
      <c r="E78" s="17">
        <f>IF(F3="1",SUMIF(Data!A:A,'33'!$A$2,Data!EJ:EJ),0)</f>
        <v>540092</v>
      </c>
      <c r="F78" s="21">
        <f t="shared" si="4"/>
        <v>5.25</v>
      </c>
    </row>
    <row r="79" spans="1:6" x14ac:dyDescent="0.2">
      <c r="A79" s="19">
        <v>13</v>
      </c>
      <c r="B79" s="181" t="s">
        <v>12</v>
      </c>
      <c r="C79" s="182"/>
      <c r="D79" s="14">
        <f t="shared" si="5"/>
        <v>4680</v>
      </c>
      <c r="E79" s="17">
        <f>IF(F3="1",SUMIF(Data!A:A,'33'!$A$2,Data!EK:EK),0)</f>
        <v>29449</v>
      </c>
      <c r="F79" s="21">
        <f t="shared" si="4"/>
        <v>6.29</v>
      </c>
    </row>
    <row r="80" spans="1:6" ht="14.25" customHeight="1" x14ac:dyDescent="0.2">
      <c r="A80" s="19">
        <v>14</v>
      </c>
      <c r="B80" s="181" t="s">
        <v>464</v>
      </c>
      <c r="C80" s="182"/>
      <c r="D80" s="14">
        <f t="shared" si="5"/>
        <v>52256</v>
      </c>
      <c r="E80" s="17">
        <f>IF(F3="1",SUMIF(Data!A:A,'33'!$A$2,Data!EL:EL),0)</f>
        <v>334548</v>
      </c>
      <c r="F80" s="21">
        <f t="shared" si="4"/>
        <v>6.4</v>
      </c>
    </row>
    <row r="81" spans="1:6" x14ac:dyDescent="0.2">
      <c r="A81" s="19">
        <v>15</v>
      </c>
      <c r="B81" s="181" t="s">
        <v>13</v>
      </c>
      <c r="C81" s="182"/>
      <c r="D81" s="14">
        <f t="shared" si="5"/>
        <v>0</v>
      </c>
      <c r="E81" s="17">
        <f>IF(F3="1",SUMIF(Data!A:A,'33'!$A$2,Data!EM:EM),0)</f>
        <v>0</v>
      </c>
      <c r="F81" s="21" t="str">
        <f t="shared" si="4"/>
        <v/>
      </c>
    </row>
    <row r="82" spans="1:6" x14ac:dyDescent="0.2">
      <c r="A82" s="19">
        <v>16</v>
      </c>
      <c r="B82" s="181" t="s">
        <v>14</v>
      </c>
      <c r="C82" s="182"/>
      <c r="D82" s="14">
        <f t="shared" si="5"/>
        <v>66981</v>
      </c>
      <c r="E82" s="17">
        <f>IF(F3="1",SUMIF(Data!A:A,'33'!$A$2,Data!EN:EN),0)</f>
        <v>239825</v>
      </c>
      <c r="F82" s="21">
        <f t="shared" si="4"/>
        <v>3.58</v>
      </c>
    </row>
    <row r="83" spans="1:6" x14ac:dyDescent="0.2">
      <c r="A83" s="19">
        <v>17</v>
      </c>
      <c r="B83" s="181" t="s">
        <v>15</v>
      </c>
      <c r="C83" s="182"/>
      <c r="D83" s="14">
        <f t="shared" si="5"/>
        <v>0</v>
      </c>
      <c r="E83" s="17">
        <f>IF(F3="1",SUMIF(Data!A:A,'33'!$A$2,Data!EO:EO),0)</f>
        <v>0</v>
      </c>
      <c r="F83" s="21" t="str">
        <f t="shared" si="4"/>
        <v/>
      </c>
    </row>
    <row r="84" spans="1:6" x14ac:dyDescent="0.2">
      <c r="A84" s="19">
        <v>18</v>
      </c>
      <c r="B84" s="181" t="s">
        <v>16</v>
      </c>
      <c r="C84" s="182"/>
      <c r="D84" s="14">
        <f t="shared" si="5"/>
        <v>99152</v>
      </c>
      <c r="E84" s="17">
        <f>IF(F3="1",SUMIF(Data!A:A,'33'!$A$2,Data!EP:EP),0)</f>
        <v>279369</v>
      </c>
      <c r="F84" s="21">
        <f t="shared" si="4"/>
        <v>2.82</v>
      </c>
    </row>
    <row r="85" spans="1:6" x14ac:dyDescent="0.2">
      <c r="A85" s="19">
        <v>19</v>
      </c>
      <c r="B85" s="181" t="s">
        <v>17</v>
      </c>
      <c r="C85" s="182"/>
      <c r="D85" s="14">
        <f t="shared" si="5"/>
        <v>68992</v>
      </c>
      <c r="E85" s="17">
        <f>IF(F3="1",SUMIF(Data!A:A,'33'!$A$2,Data!EQ:EQ),0)</f>
        <v>125248</v>
      </c>
      <c r="F85" s="21">
        <f t="shared" si="4"/>
        <v>1.82</v>
      </c>
    </row>
    <row r="86" spans="1:6" x14ac:dyDescent="0.2">
      <c r="A86" s="19">
        <v>20</v>
      </c>
      <c r="B86" s="181" t="s">
        <v>18</v>
      </c>
      <c r="C86" s="182"/>
      <c r="D86" s="14">
        <f t="shared" si="5"/>
        <v>0</v>
      </c>
      <c r="E86" s="17">
        <f>IF(F3="1",SUMIF(Data!A:A,'33'!$A$2,Data!ER:ER),0)</f>
        <v>0</v>
      </c>
      <c r="F86" s="21" t="str">
        <f t="shared" si="4"/>
        <v/>
      </c>
    </row>
    <row r="87" spans="1:6" ht="14.25" customHeight="1" x14ac:dyDescent="0.2">
      <c r="A87" s="19">
        <v>21</v>
      </c>
      <c r="B87" s="181" t="s">
        <v>461</v>
      </c>
      <c r="C87" s="182"/>
      <c r="D87" s="14">
        <f t="shared" si="5"/>
        <v>0</v>
      </c>
      <c r="E87" s="17">
        <f>IF(F3="1",SUMIF(Data!A:A,'33'!$A$2,Data!ES:ES),0)</f>
        <v>0</v>
      </c>
      <c r="F87" s="21" t="str">
        <f t="shared" si="4"/>
        <v/>
      </c>
    </row>
    <row r="88" spans="1:6" x14ac:dyDescent="0.2">
      <c r="A88" s="19">
        <v>22</v>
      </c>
      <c r="B88" s="181" t="s">
        <v>19</v>
      </c>
      <c r="C88" s="182"/>
      <c r="D88" s="14">
        <f t="shared" si="5"/>
        <v>0</v>
      </c>
      <c r="E88" s="17">
        <f>IF(F3="1",SUMIF(Data!A:A,'33'!$A$2,Data!ET:ET),0)</f>
        <v>0</v>
      </c>
      <c r="F88" s="21" t="str">
        <f t="shared" si="4"/>
        <v/>
      </c>
    </row>
    <row r="89" spans="1:6" x14ac:dyDescent="0.2">
      <c r="A89" s="19">
        <v>23</v>
      </c>
      <c r="B89" s="181" t="s">
        <v>20</v>
      </c>
      <c r="C89" s="182"/>
      <c r="D89" s="14">
        <f t="shared" si="5"/>
        <v>36432</v>
      </c>
      <c r="E89" s="17">
        <f>IF(F3="1",SUMIF(Data!A:A,'33'!$A$2,Data!EU:EU),0)</f>
        <v>144092</v>
      </c>
      <c r="F89" s="21">
        <f t="shared" si="4"/>
        <v>3.96</v>
      </c>
    </row>
    <row r="90" spans="1:6" x14ac:dyDescent="0.2">
      <c r="A90" s="19">
        <v>24</v>
      </c>
      <c r="B90" s="181" t="s">
        <v>21</v>
      </c>
      <c r="C90" s="182"/>
      <c r="D90" s="14">
        <f t="shared" si="5"/>
        <v>48</v>
      </c>
      <c r="E90" s="17">
        <f>IF(F3="1",SUMIF(Data!A:A,'33'!$A$2,Data!EV:EV),0)</f>
        <v>610</v>
      </c>
      <c r="F90" s="21">
        <f t="shared" si="4"/>
        <v>12.71</v>
      </c>
    </row>
    <row r="91" spans="1:6" x14ac:dyDescent="0.2">
      <c r="A91" s="19">
        <v>25</v>
      </c>
      <c r="B91" s="181" t="s">
        <v>22</v>
      </c>
      <c r="C91" s="182"/>
      <c r="D91" s="14">
        <f t="shared" si="5"/>
        <v>122552</v>
      </c>
      <c r="E91" s="17">
        <f>IF(F3="1",SUMIF(Data!A:A,'33'!$A$2,Data!EW:EW),0)</f>
        <v>328396</v>
      </c>
      <c r="F91" s="21">
        <f t="shared" si="4"/>
        <v>2.68</v>
      </c>
    </row>
    <row r="92" spans="1:6" x14ac:dyDescent="0.2">
      <c r="A92" s="19">
        <v>26</v>
      </c>
      <c r="B92" s="181" t="s">
        <v>23</v>
      </c>
      <c r="C92" s="182"/>
      <c r="D92" s="14">
        <f t="shared" si="5"/>
        <v>51499</v>
      </c>
      <c r="E92" s="17">
        <f>IF(F3="1",SUMIF(Data!A:A,'33'!$A$2,Data!EX:EX),0)</f>
        <v>193830</v>
      </c>
      <c r="F92" s="21">
        <f t="shared" si="4"/>
        <v>3.76</v>
      </c>
    </row>
    <row r="93" spans="1:6" x14ac:dyDescent="0.2">
      <c r="A93" s="19">
        <v>28</v>
      </c>
      <c r="B93" s="181" t="s">
        <v>24</v>
      </c>
      <c r="C93" s="182"/>
      <c r="D93" s="14">
        <f t="shared" si="5"/>
        <v>0</v>
      </c>
      <c r="E93" s="17">
        <f>IF(F3="1",SUMIF(Data!A:A,'33'!$A$2,Data!EZ:EZ),0)</f>
        <v>0</v>
      </c>
      <c r="F93" s="21" t="str">
        <f t="shared" si="4"/>
        <v/>
      </c>
    </row>
    <row r="94" spans="1:6" ht="15.75" customHeight="1" thickBot="1" x14ac:dyDescent="0.25">
      <c r="A94" s="22">
        <v>29</v>
      </c>
      <c r="B94" s="183" t="s">
        <v>25</v>
      </c>
      <c r="C94" s="184"/>
      <c r="D94" s="23">
        <f t="shared" si="5"/>
        <v>0</v>
      </c>
      <c r="E94" s="24">
        <f>IF(F3="1",SUMIF(Data!A:A,'33'!$A$2,Data!FA:FA),0)</f>
        <v>0</v>
      </c>
      <c r="F94" s="25" t="str">
        <f t="shared" si="4"/>
        <v/>
      </c>
    </row>
    <row r="95" spans="1:6" x14ac:dyDescent="0.2">
      <c r="B95" s="30" t="s">
        <v>35</v>
      </c>
      <c r="C95" s="30"/>
      <c r="D95" s="59">
        <f>SUM(D67:D94)</f>
        <v>896583</v>
      </c>
      <c r="E95" s="31">
        <f>SUM(E67:E94)</f>
        <v>3107017</v>
      </c>
      <c r="F95" s="32">
        <f t="shared" si="4"/>
        <v>3.47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IF(F3="1",SUMIF(Data!A:A,'33'!$A$2,Data!AH:AH),0)</f>
        <v>1098744</v>
      </c>
      <c r="F98" s="20">
        <f>IF(OR(E98=0,E98=0),"",ROUND(E98/$D$105,2))</f>
        <v>1.23</v>
      </c>
    </row>
    <row r="99" spans="2:6" x14ac:dyDescent="0.2">
      <c r="B99" s="187" t="s">
        <v>31</v>
      </c>
      <c r="C99" s="188"/>
      <c r="D99" s="36"/>
      <c r="E99" s="17">
        <f>IF(F3="1",SUMIF(Data!A:A,'33'!$A$2,Data!AI:AI),0)</f>
        <v>758880</v>
      </c>
      <c r="F99" s="21">
        <f t="shared" ref="F99:F104" si="6">IF(OR(E99=0,E99=0),"",ROUND(E99/$D$105,2))</f>
        <v>0.85</v>
      </c>
    </row>
    <row r="100" spans="2:6" x14ac:dyDescent="0.2">
      <c r="B100" s="187" t="s">
        <v>1078</v>
      </c>
      <c r="C100" s="188"/>
      <c r="D100" s="36"/>
      <c r="E100" s="17">
        <f>IF(F3="1",SUMIF(Data!A:A,'33'!$A$2,Data!AJ:AJ),0)</f>
        <v>346709</v>
      </c>
      <c r="F100" s="21">
        <f t="shared" si="6"/>
        <v>0.39</v>
      </c>
    </row>
    <row r="101" spans="2:6" x14ac:dyDescent="0.2">
      <c r="B101" s="187" t="s">
        <v>1079</v>
      </c>
      <c r="C101" s="188"/>
      <c r="D101" s="36"/>
      <c r="E101" s="17">
        <f>IF(F3="1",SUMIF(Data!A:A,'33'!$A$2,Data!AK:AK),0)</f>
        <v>804857</v>
      </c>
      <c r="F101" s="21">
        <f t="shared" si="6"/>
        <v>0.9</v>
      </c>
    </row>
    <row r="102" spans="2:6" x14ac:dyDescent="0.2">
      <c r="B102" s="187" t="s">
        <v>1080</v>
      </c>
      <c r="C102" s="188"/>
      <c r="D102" s="36"/>
      <c r="E102" s="17">
        <f>IF(F3="1",SUMIF(Data!A:A,'33'!$A$2,Data!AL:AL),0)</f>
        <v>0</v>
      </c>
      <c r="F102" s="21" t="str">
        <f t="shared" si="6"/>
        <v/>
      </c>
    </row>
    <row r="103" spans="2:6" x14ac:dyDescent="0.2">
      <c r="B103" s="189" t="s">
        <v>34</v>
      </c>
      <c r="C103" s="190"/>
      <c r="D103" s="36"/>
      <c r="E103" s="17">
        <f>IF(F3="1",SUMIF(Data!A:A,'33'!$A$2,Data!AM:AM),0)</f>
        <v>0</v>
      </c>
      <c r="F103" s="21" t="str">
        <f t="shared" si="6"/>
        <v/>
      </c>
    </row>
    <row r="104" spans="2:6" ht="15.75" customHeight="1" thickBot="1" x14ac:dyDescent="0.25">
      <c r="B104" s="179" t="s">
        <v>29</v>
      </c>
      <c r="C104" s="180"/>
      <c r="D104" s="37"/>
      <c r="E104" s="24">
        <f>IF(F3="1",SUMIF(Data!A:A,'33'!$A$2,Data!Q:Q),0)</f>
        <v>611873</v>
      </c>
      <c r="F104" s="25">
        <f t="shared" si="6"/>
        <v>0.68</v>
      </c>
    </row>
    <row r="105" spans="2:6" x14ac:dyDescent="0.2">
      <c r="B105" s="30" t="s">
        <v>35</v>
      </c>
      <c r="C105" s="30"/>
      <c r="D105" s="34">
        <f>D95</f>
        <v>896583</v>
      </c>
      <c r="E105" s="31">
        <f>SUM(E98:E104)</f>
        <v>3621063</v>
      </c>
      <c r="F105" s="32">
        <f>IF($D$105=0,"",ROUND(E105/$D$105,2))</f>
        <v>4.04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3107017</v>
      </c>
      <c r="D109" s="15">
        <f>IF(F3="1",SUMIF(Data!$A:$A,$A$2,Data!HJ:HJ),0)</f>
        <v>0</v>
      </c>
      <c r="E109" s="15">
        <f>IF(F3="1",SUMIF(Data!$A:$A,$A$2,Data!IN:IN),0)</f>
        <v>0</v>
      </c>
      <c r="F109" s="47">
        <f>SUM(C109:E109)</f>
        <v>3107017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611873</v>
      </c>
      <c r="E117" s="52"/>
      <c r="F117" s="49">
        <f>SUM(C117:E117)</f>
        <v>611873</v>
      </c>
    </row>
    <row r="118" spans="1:6" x14ac:dyDescent="0.2">
      <c r="B118" s="13" t="s">
        <v>35</v>
      </c>
      <c r="C118" s="4">
        <f>SUM(C109:C116)</f>
        <v>3107017</v>
      </c>
      <c r="D118" s="4">
        <f>SUM(D109:D116)</f>
        <v>0</v>
      </c>
      <c r="E118" s="4">
        <f>SUM(E109:E116)</f>
        <v>0</v>
      </c>
      <c r="F118" s="4">
        <f>SUM(F109:F116)</f>
        <v>3107017</v>
      </c>
    </row>
    <row r="119" spans="1:6" ht="15" thickBot="1" x14ac:dyDescent="0.25"/>
    <row r="120" spans="1:6" ht="15" thickBot="1" x14ac:dyDescent="0.25">
      <c r="B120" s="55" t="s">
        <v>934</v>
      </c>
      <c r="C120" s="53"/>
      <c r="D120" s="53"/>
      <c r="E120" s="53">
        <f>IF(F3="1",SUMIF(Data!A:A,'33'!$A$2,Data!AM:AM),0)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390</v>
      </c>
      <c r="B2" s="58" t="str">
        <f>VLOOKUP(A2,Data!A:G,7,0)</f>
        <v>Paris Junior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7029</v>
      </c>
      <c r="E5" s="15">
        <f>E36+E67+IFERROR($E$105/$D$105*D5,0)</f>
        <v>70169.510374252757</v>
      </c>
      <c r="F5" s="20">
        <f>IF(OR(D5=0,E5=0),"",ROUND(E5/D5,2))</f>
        <v>9.98</v>
      </c>
    </row>
    <row r="6" spans="1:6" x14ac:dyDescent="0.2">
      <c r="A6" s="19">
        <v>2</v>
      </c>
      <c r="B6" s="181" t="s">
        <v>1</v>
      </c>
      <c r="C6" s="182"/>
      <c r="D6" s="14">
        <f t="shared" ref="D6:D32" si="0">D37</f>
        <v>154001</v>
      </c>
      <c r="E6" s="17">
        <f t="shared" ref="E6:E32" si="1">E37+E68+IFERROR($E$105/$D$105*D6,0)</f>
        <v>1126594.8459447003</v>
      </c>
      <c r="F6" s="21">
        <f t="shared" ref="F6:F33" si="2">IF(OR(D6=0,E6=0),"",ROUND(E6/D6,2))</f>
        <v>7.32</v>
      </c>
    </row>
    <row r="7" spans="1:6" ht="14.25" customHeight="1" x14ac:dyDescent="0.2">
      <c r="A7" s="19">
        <v>3</v>
      </c>
      <c r="B7" s="181" t="s">
        <v>2</v>
      </c>
      <c r="C7" s="182"/>
      <c r="D7" s="14">
        <f t="shared" si="0"/>
        <v>231934</v>
      </c>
      <c r="E7" s="17">
        <f t="shared" si="1"/>
        <v>934962.06873551558</v>
      </c>
      <c r="F7" s="21">
        <f t="shared" si="2"/>
        <v>4.03</v>
      </c>
    </row>
    <row r="8" spans="1:6" ht="14.25" customHeight="1" x14ac:dyDescent="0.2">
      <c r="A8" s="19">
        <v>4</v>
      </c>
      <c r="B8" s="181" t="s">
        <v>3</v>
      </c>
      <c r="C8" s="182"/>
      <c r="D8" s="14">
        <f t="shared" si="0"/>
        <v>114362</v>
      </c>
      <c r="E8" s="17">
        <f t="shared" si="1"/>
        <v>637789.22342015849</v>
      </c>
      <c r="F8" s="21">
        <f t="shared" si="2"/>
        <v>5.58</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4218</v>
      </c>
      <c r="E10" s="17">
        <f t="shared" si="1"/>
        <v>52069.787275373186</v>
      </c>
      <c r="F10" s="21">
        <f t="shared" si="2"/>
        <v>12.34</v>
      </c>
    </row>
    <row r="11" spans="1:6" x14ac:dyDescent="0.2">
      <c r="A11" s="19">
        <v>7</v>
      </c>
      <c r="B11" s="181" t="s">
        <v>6</v>
      </c>
      <c r="C11" s="182"/>
      <c r="D11" s="14">
        <f t="shared" si="0"/>
        <v>97326</v>
      </c>
      <c r="E11" s="17">
        <f t="shared" si="1"/>
        <v>419439.25376078021</v>
      </c>
      <c r="F11" s="21">
        <f t="shared" si="2"/>
        <v>4.3099999999999996</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28770</v>
      </c>
      <c r="E13" s="17">
        <f t="shared" si="1"/>
        <v>154984.38689248142</v>
      </c>
      <c r="F13" s="21">
        <f t="shared" si="2"/>
        <v>5.39</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16102</v>
      </c>
      <c r="E15" s="17">
        <f t="shared" si="1"/>
        <v>158147.46721385943</v>
      </c>
      <c r="F15" s="21">
        <f t="shared" si="2"/>
        <v>9.82</v>
      </c>
    </row>
    <row r="16" spans="1:6" ht="14.25" customHeight="1" x14ac:dyDescent="0.2">
      <c r="A16" s="19">
        <v>12</v>
      </c>
      <c r="B16" s="181" t="s">
        <v>11</v>
      </c>
      <c r="C16" s="182"/>
      <c r="D16" s="14">
        <f t="shared" si="0"/>
        <v>267067</v>
      </c>
      <c r="E16" s="17">
        <f t="shared" si="1"/>
        <v>1199352.9995903489</v>
      </c>
      <c r="F16" s="21">
        <f t="shared" si="2"/>
        <v>4.49</v>
      </c>
    </row>
    <row r="17" spans="1:6" x14ac:dyDescent="0.2">
      <c r="A17" s="19">
        <v>13</v>
      </c>
      <c r="B17" s="181" t="s">
        <v>12</v>
      </c>
      <c r="C17" s="182"/>
      <c r="D17" s="14">
        <f t="shared" si="0"/>
        <v>23828</v>
      </c>
      <c r="E17" s="17">
        <f t="shared" si="1"/>
        <v>104236.46495912573</v>
      </c>
      <c r="F17" s="21">
        <f t="shared" si="2"/>
        <v>4.37</v>
      </c>
    </row>
    <row r="18" spans="1:6" ht="14.25" customHeight="1" x14ac:dyDescent="0.2">
      <c r="A18" s="19">
        <v>14</v>
      </c>
      <c r="B18" s="181" t="s">
        <v>464</v>
      </c>
      <c r="C18" s="182"/>
      <c r="D18" s="14">
        <f t="shared" si="0"/>
        <v>25990</v>
      </c>
      <c r="E18" s="17">
        <f t="shared" si="1"/>
        <v>307222.18475271435</v>
      </c>
      <c r="F18" s="21">
        <f t="shared" si="2"/>
        <v>11.82</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30768</v>
      </c>
      <c r="E20" s="17">
        <f t="shared" si="1"/>
        <v>166869.28612818453</v>
      </c>
      <c r="F20" s="21">
        <f t="shared" si="2"/>
        <v>5.42</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57014</v>
      </c>
      <c r="E22" s="17">
        <f t="shared" si="1"/>
        <v>547904.38589808601</v>
      </c>
      <c r="F22" s="21">
        <f t="shared" si="2"/>
        <v>9.61</v>
      </c>
    </row>
    <row r="23" spans="1:6" x14ac:dyDescent="0.2">
      <c r="A23" s="19">
        <v>19</v>
      </c>
      <c r="B23" s="181" t="s">
        <v>17</v>
      </c>
      <c r="C23" s="182"/>
      <c r="D23" s="14">
        <f t="shared" si="0"/>
        <v>293552</v>
      </c>
      <c r="E23" s="17">
        <f t="shared" si="1"/>
        <v>1266089.0512708274</v>
      </c>
      <c r="F23" s="21">
        <f t="shared" si="2"/>
        <v>4.3099999999999996</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34520</v>
      </c>
      <c r="E26" s="17">
        <f t="shared" si="1"/>
        <v>184639.79059883417</v>
      </c>
      <c r="F26" s="21">
        <f t="shared" si="2"/>
        <v>5.35</v>
      </c>
    </row>
    <row r="27" spans="1:6" x14ac:dyDescent="0.2">
      <c r="A27" s="19">
        <v>23</v>
      </c>
      <c r="B27" s="181" t="s">
        <v>20</v>
      </c>
      <c r="C27" s="182"/>
      <c r="D27" s="14">
        <f t="shared" si="0"/>
        <v>75704</v>
      </c>
      <c r="E27" s="17">
        <f t="shared" si="1"/>
        <v>387981.11898882216</v>
      </c>
      <c r="F27" s="21">
        <f t="shared" si="2"/>
        <v>5.12</v>
      </c>
    </row>
    <row r="28" spans="1:6" x14ac:dyDescent="0.2">
      <c r="A28" s="19">
        <v>24</v>
      </c>
      <c r="B28" s="181" t="s">
        <v>21</v>
      </c>
      <c r="C28" s="182"/>
      <c r="D28" s="14">
        <f t="shared" si="0"/>
        <v>0</v>
      </c>
      <c r="E28" s="17">
        <f t="shared" si="1"/>
        <v>0</v>
      </c>
      <c r="F28" s="21" t="str">
        <f t="shared" si="2"/>
        <v/>
      </c>
    </row>
    <row r="29" spans="1:6" x14ac:dyDescent="0.2">
      <c r="A29" s="19">
        <v>25</v>
      </c>
      <c r="B29" s="181" t="s">
        <v>22</v>
      </c>
      <c r="C29" s="182"/>
      <c r="D29" s="14">
        <f t="shared" si="0"/>
        <v>236021</v>
      </c>
      <c r="E29" s="17">
        <f t="shared" si="1"/>
        <v>990860.49324818759</v>
      </c>
      <c r="F29" s="21">
        <f t="shared" si="2"/>
        <v>4.2</v>
      </c>
    </row>
    <row r="30" spans="1:6" x14ac:dyDescent="0.2">
      <c r="A30" s="19">
        <v>26</v>
      </c>
      <c r="B30" s="181" t="s">
        <v>23</v>
      </c>
      <c r="C30" s="182"/>
      <c r="D30" s="14">
        <f t="shared" si="0"/>
        <v>117973</v>
      </c>
      <c r="E30" s="17">
        <f t="shared" si="1"/>
        <v>821381.68094774801</v>
      </c>
      <c r="F30" s="21">
        <f t="shared" si="2"/>
        <v>6.96</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1816179</v>
      </c>
      <c r="E33" s="31">
        <f>SUM(E5:E32)</f>
        <v>9530694</v>
      </c>
      <c r="F33" s="32">
        <f t="shared" si="2"/>
        <v>5.25</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IF(F3="1",SUMIF(Data!A:A,'34'!$A$2,Data!CU:CU),0)</f>
        <v>7029</v>
      </c>
      <c r="E36" s="15">
        <f>IF(F3="1",SUMIF(Data!$A:$A,$A$2,Data!IO:IO),0)</f>
        <v>11678</v>
      </c>
      <c r="F36" s="20">
        <f t="shared" ref="F36:F64" si="3">IF(OR(D36=0,E36=0),"",ROUND(E36/D36,2))</f>
        <v>1.66</v>
      </c>
    </row>
    <row r="37" spans="1:6" x14ac:dyDescent="0.2">
      <c r="A37" s="19">
        <v>2</v>
      </c>
      <c r="B37" s="181" t="s">
        <v>1</v>
      </c>
      <c r="C37" s="182"/>
      <c r="D37" s="14">
        <f>IF(F3="1",SUMIF(Data!A:A,'34'!$A$2,Data!CV:CV),0)</f>
        <v>154001</v>
      </c>
      <c r="E37" s="17">
        <f>IF(F3="1",SUMIF(Data!$A:$A,$A$2,Data!IP:IP),0)</f>
        <v>151615</v>
      </c>
      <c r="F37" s="21">
        <f t="shared" si="3"/>
        <v>0.98</v>
      </c>
    </row>
    <row r="38" spans="1:6" ht="14.25" customHeight="1" x14ac:dyDescent="0.2">
      <c r="A38" s="19">
        <v>3</v>
      </c>
      <c r="B38" s="181" t="s">
        <v>2</v>
      </c>
      <c r="C38" s="182"/>
      <c r="D38" s="14">
        <f>IF(F3="1",SUMIF(Data!A:A,'34'!$A$2,Data!CW:CW),0)</f>
        <v>231934</v>
      </c>
      <c r="E38" s="17">
        <f>IF($F$3="1",SUMIF(Data!$A:$A,$A$2,Data!IQ:IQ),0)</f>
        <v>35454</v>
      </c>
      <c r="F38" s="21">
        <f t="shared" si="3"/>
        <v>0.15</v>
      </c>
    </row>
    <row r="39" spans="1:6" ht="14.25" customHeight="1" x14ac:dyDescent="0.2">
      <c r="A39" s="19">
        <v>4</v>
      </c>
      <c r="B39" s="181" t="s">
        <v>3</v>
      </c>
      <c r="C39" s="182"/>
      <c r="D39" s="14">
        <f>IF(F3="1",SUMIF(Data!A:A,'34'!$A$2,Data!CX:CX),0)</f>
        <v>114362</v>
      </c>
      <c r="E39" s="17">
        <f>IF($F$3="1",SUMIF(Data!$A:$A,$A$2,Data!IR:IR),0)</f>
        <v>20670</v>
      </c>
      <c r="F39" s="21">
        <f t="shared" si="3"/>
        <v>0.18</v>
      </c>
    </row>
    <row r="40" spans="1:6" x14ac:dyDescent="0.2">
      <c r="A40" s="19">
        <v>5</v>
      </c>
      <c r="B40" s="181" t="s">
        <v>4</v>
      </c>
      <c r="C40" s="182"/>
      <c r="D40" s="14">
        <f>IF(F3="1",SUMIF(Data!A:A,'34'!$A$2,Data!CY:CY),0)</f>
        <v>0</v>
      </c>
      <c r="E40" s="17">
        <f>IF($F$3="1",SUMIF(Data!$A:$A,$A$2,Data!IS:IS),0)</f>
        <v>0</v>
      </c>
      <c r="F40" s="21" t="str">
        <f t="shared" si="3"/>
        <v/>
      </c>
    </row>
    <row r="41" spans="1:6" x14ac:dyDescent="0.2">
      <c r="A41" s="19">
        <v>6</v>
      </c>
      <c r="B41" s="181" t="s">
        <v>5</v>
      </c>
      <c r="C41" s="182"/>
      <c r="D41" s="14">
        <f>IF(F3="1",SUMIF(Data!A:A,'34'!$A$2,Data!CZ:CZ),0)</f>
        <v>4218</v>
      </c>
      <c r="E41" s="17">
        <f>IF($F$3="1",SUMIF(Data!$A:$A,$A$2,Data!IT:IT),0)</f>
        <v>4525</v>
      </c>
      <c r="F41" s="21">
        <f t="shared" si="3"/>
        <v>1.07</v>
      </c>
    </row>
    <row r="42" spans="1:6" x14ac:dyDescent="0.2">
      <c r="A42" s="19">
        <v>7</v>
      </c>
      <c r="B42" s="181" t="s">
        <v>6</v>
      </c>
      <c r="C42" s="182"/>
      <c r="D42" s="14">
        <f>IF(F3="1",SUMIF(Data!A:A,'34'!$A$2,Data!DA:DA),0)</f>
        <v>97326</v>
      </c>
      <c r="E42" s="17">
        <f>IF($F$3="1",SUMIF(Data!$A:$A,$A$2,Data!IU:IU),0)</f>
        <v>10318</v>
      </c>
      <c r="F42" s="21">
        <f t="shared" si="3"/>
        <v>0.11</v>
      </c>
    </row>
    <row r="43" spans="1:6" x14ac:dyDescent="0.2">
      <c r="A43" s="19">
        <v>8</v>
      </c>
      <c r="B43" s="181" t="s">
        <v>7</v>
      </c>
      <c r="C43" s="182"/>
      <c r="D43" s="14">
        <f>IF(F3="1",SUMIF(Data!A:A,'34'!$A$2,Data!DB:DB),0)</f>
        <v>0</v>
      </c>
      <c r="E43" s="17">
        <f>IF($F$3="1",SUMIF(Data!$A:$A,$A$2,Data!IV:IV),0)</f>
        <v>0</v>
      </c>
      <c r="F43" s="21" t="str">
        <f t="shared" si="3"/>
        <v/>
      </c>
    </row>
    <row r="44" spans="1:6" x14ac:dyDescent="0.2">
      <c r="A44" s="19">
        <v>9</v>
      </c>
      <c r="B44" s="181" t="s">
        <v>8</v>
      </c>
      <c r="C44" s="182"/>
      <c r="D44" s="14">
        <f>IF(F3="1",SUMIF(Data!A:A,'34'!$A$2,Data!DC:DC),0)</f>
        <v>28770</v>
      </c>
      <c r="E44" s="17">
        <f>IF($F$3="1",SUMIF(Data!$A:$A,$A$2,Data!IW:IW),0)</f>
        <v>9891</v>
      </c>
      <c r="F44" s="21">
        <f t="shared" si="3"/>
        <v>0.34</v>
      </c>
    </row>
    <row r="45" spans="1:6" x14ac:dyDescent="0.2">
      <c r="A45" s="19">
        <v>10</v>
      </c>
      <c r="B45" s="181" t="s">
        <v>9</v>
      </c>
      <c r="C45" s="182"/>
      <c r="D45" s="14">
        <f>IF(F3="1",SUMIF(Data!A:A,'34'!$A$2,Data!DD:DD),0)</f>
        <v>0</v>
      </c>
      <c r="E45" s="17">
        <f>IF($F$3="1",SUMIF(Data!$A:$A,$A$2,Data!IX:IX),0)</f>
        <v>0</v>
      </c>
      <c r="F45" s="21" t="str">
        <f t="shared" si="3"/>
        <v/>
      </c>
    </row>
    <row r="46" spans="1:6" x14ac:dyDescent="0.2">
      <c r="A46" s="19">
        <v>11</v>
      </c>
      <c r="B46" s="181" t="s">
        <v>10</v>
      </c>
      <c r="C46" s="182"/>
      <c r="D46" s="14">
        <f>IF(F3="1",SUMIF(Data!A:A,'34'!$A$2,Data!DE:DE),0)</f>
        <v>16102</v>
      </c>
      <c r="E46" s="17">
        <f>IF($F$3="1",SUMIF(Data!$A:$A,$A$2,Data!IY:IY),0)</f>
        <v>24061</v>
      </c>
      <c r="F46" s="21">
        <f t="shared" si="3"/>
        <v>1.49</v>
      </c>
    </row>
    <row r="47" spans="1:6" ht="14.25" customHeight="1" x14ac:dyDescent="0.2">
      <c r="A47" s="19">
        <v>12</v>
      </c>
      <c r="B47" s="181" t="s">
        <v>11</v>
      </c>
      <c r="C47" s="182"/>
      <c r="D47" s="14">
        <f>IF(F3="1",SUMIF(Data!A:A,'34'!$A$2,Data!DF:DF),0)</f>
        <v>267067</v>
      </c>
      <c r="E47" s="17">
        <f>IF($F$3="1",SUMIF(Data!$A:$A,$A$2,Data!IZ:IZ),0)</f>
        <v>20126</v>
      </c>
      <c r="F47" s="21">
        <f t="shared" si="3"/>
        <v>0.08</v>
      </c>
    </row>
    <row r="48" spans="1:6" x14ac:dyDescent="0.2">
      <c r="A48" s="19">
        <v>13</v>
      </c>
      <c r="B48" s="181" t="s">
        <v>12</v>
      </c>
      <c r="C48" s="182"/>
      <c r="D48" s="14">
        <f>IF(F3="1",SUMIF(Data!A:A,'34'!$A$2,Data!DG:DG),0)</f>
        <v>23828</v>
      </c>
      <c r="E48" s="17">
        <f>IF($F$3="1",SUMIF(Data!$A:$A,$A$2,Data!JA:JA),0)</f>
        <v>240</v>
      </c>
      <c r="F48" s="21">
        <f t="shared" si="3"/>
        <v>0.01</v>
      </c>
    </row>
    <row r="49" spans="1:6" ht="14.25" customHeight="1" x14ac:dyDescent="0.2">
      <c r="A49" s="19">
        <v>14</v>
      </c>
      <c r="B49" s="181" t="s">
        <v>464</v>
      </c>
      <c r="C49" s="182"/>
      <c r="D49" s="14">
        <f>IF(F3="1",SUMIF(Data!A:A,'34'!$A$2,Data!DH:DH),0)</f>
        <v>25990</v>
      </c>
      <c r="E49" s="17">
        <f>IF($F$3="1",SUMIF(Data!$A:$A,$A$2,Data!JB:JB),0)</f>
        <v>24298</v>
      </c>
      <c r="F49" s="21">
        <f t="shared" si="3"/>
        <v>0.93</v>
      </c>
    </row>
    <row r="50" spans="1:6" x14ac:dyDescent="0.2">
      <c r="A50" s="19">
        <v>15</v>
      </c>
      <c r="B50" s="181" t="s">
        <v>13</v>
      </c>
      <c r="C50" s="182"/>
      <c r="D50" s="14">
        <f>IF(F3="1",SUMIF(Data!A:A,'34'!$A$2,Data!DI:DI),0)</f>
        <v>0</v>
      </c>
      <c r="E50" s="17">
        <f>IF($F$3="1",SUMIF(Data!$A:$A,$A$2,Data!JC:JC),0)</f>
        <v>0</v>
      </c>
      <c r="F50" s="21" t="str">
        <f t="shared" si="3"/>
        <v/>
      </c>
    </row>
    <row r="51" spans="1:6" x14ac:dyDescent="0.2">
      <c r="A51" s="19">
        <v>16</v>
      </c>
      <c r="B51" s="181" t="s">
        <v>14</v>
      </c>
      <c r="C51" s="182"/>
      <c r="D51" s="14">
        <f>IF(F3="1",SUMIF(Data!A:A,'34'!$A$2,Data!DJ:DJ),0)</f>
        <v>30768</v>
      </c>
      <c r="E51" s="17">
        <f>IF($F$3="1",SUMIF(Data!$A:$A,$A$2,Data!JD:JD),0)</f>
        <v>61750</v>
      </c>
      <c r="F51" s="21">
        <f t="shared" si="3"/>
        <v>2.0099999999999998</v>
      </c>
    </row>
    <row r="52" spans="1:6" x14ac:dyDescent="0.2">
      <c r="A52" s="19">
        <v>17</v>
      </c>
      <c r="B52" s="181" t="s">
        <v>15</v>
      </c>
      <c r="C52" s="182"/>
      <c r="D52" s="14">
        <f>IF(F3="1",SUMIF(Data!A:A,'34'!$A$2,Data!DK:DK),0)</f>
        <v>0</v>
      </c>
      <c r="E52" s="17">
        <f>IF($F$3="1",SUMIF(Data!$A:$A,$A$2,Data!JE:JE),0)</f>
        <v>0</v>
      </c>
      <c r="F52" s="21" t="str">
        <f t="shared" si="3"/>
        <v/>
      </c>
    </row>
    <row r="53" spans="1:6" x14ac:dyDescent="0.2">
      <c r="A53" s="19">
        <v>18</v>
      </c>
      <c r="B53" s="181" t="s">
        <v>16</v>
      </c>
      <c r="C53" s="182"/>
      <c r="D53" s="14">
        <f>IF(F3="1",SUMIF(Data!A:A,'34'!$A$2,Data!DL:DL),0)</f>
        <v>57014</v>
      </c>
      <c r="E53" s="17">
        <f>IF($F$3="1",SUMIF(Data!$A:$A,$A$2,Data!JF:JF),0)</f>
        <v>10750</v>
      </c>
      <c r="F53" s="21">
        <f t="shared" si="3"/>
        <v>0.19</v>
      </c>
    </row>
    <row r="54" spans="1:6" x14ac:dyDescent="0.2">
      <c r="A54" s="19">
        <v>19</v>
      </c>
      <c r="B54" s="181" t="s">
        <v>17</v>
      </c>
      <c r="C54" s="182"/>
      <c r="D54" s="14">
        <f>IF(F3="1",SUMIF(Data!A:A,'34'!$A$2,Data!DM:DM),0)</f>
        <v>293552</v>
      </c>
      <c r="E54" s="17">
        <f>IF($F$3="1",SUMIF(Data!$A:$A,$A$2,Data!JG:JG),0)</f>
        <v>46631</v>
      </c>
      <c r="F54" s="21">
        <f t="shared" si="3"/>
        <v>0.16</v>
      </c>
    </row>
    <row r="55" spans="1:6" x14ac:dyDescent="0.2">
      <c r="A55" s="19">
        <v>20</v>
      </c>
      <c r="B55" s="181" t="s">
        <v>18</v>
      </c>
      <c r="C55" s="182"/>
      <c r="D55" s="14">
        <f>IF(F3="1",SUMIF(Data!A:A,'34'!$A$2,Data!DN:DN),0)</f>
        <v>0</v>
      </c>
      <c r="E55" s="17">
        <f>IF($F$3="1",SUMIF(Data!$A:$A,$A$2,Data!JH:JH),0)</f>
        <v>0</v>
      </c>
      <c r="F55" s="21" t="str">
        <f t="shared" si="3"/>
        <v/>
      </c>
    </row>
    <row r="56" spans="1:6" ht="14.25" customHeight="1" x14ac:dyDescent="0.2">
      <c r="A56" s="19">
        <v>21</v>
      </c>
      <c r="B56" s="181" t="s">
        <v>461</v>
      </c>
      <c r="C56" s="182"/>
      <c r="D56" s="14">
        <f>IF(F3="1",SUMIF(Data!A:A,'34'!$A$2,Data!DO:DO),0)</f>
        <v>0</v>
      </c>
      <c r="E56" s="17">
        <f>IF($F$3="1",SUMIF(Data!$A:$A,$A$2,Data!JI:JI),0)</f>
        <v>0</v>
      </c>
      <c r="F56" s="21" t="str">
        <f t="shared" si="3"/>
        <v/>
      </c>
    </row>
    <row r="57" spans="1:6" x14ac:dyDescent="0.2">
      <c r="A57" s="19">
        <v>22</v>
      </c>
      <c r="B57" s="181" t="s">
        <v>19</v>
      </c>
      <c r="C57" s="182"/>
      <c r="D57" s="14">
        <f>IF(F3="1",SUMIF(Data!A:A,'34'!$A$2,Data!DP:DP),0)</f>
        <v>34520</v>
      </c>
      <c r="E57" s="17">
        <f>IF($F$3="1",SUMIF(Data!$A:$A,$A$2,Data!JJ:JJ),0)</f>
        <v>25744</v>
      </c>
      <c r="F57" s="21">
        <f t="shared" si="3"/>
        <v>0.75</v>
      </c>
    </row>
    <row r="58" spans="1:6" x14ac:dyDescent="0.2">
      <c r="A58" s="19">
        <v>23</v>
      </c>
      <c r="B58" s="181" t="s">
        <v>20</v>
      </c>
      <c r="C58" s="182"/>
      <c r="D58" s="14">
        <f>IF(F3="1",SUMIF(Data!A:A,'34'!$A$2,Data!DQ:DQ),0)</f>
        <v>75704</v>
      </c>
      <c r="E58" s="17">
        <f>IF($F$3="1",SUMIF(Data!$A:$A,$A$2,Data!JK:JK),0)</f>
        <v>22738</v>
      </c>
      <c r="F58" s="21">
        <f t="shared" si="3"/>
        <v>0.3</v>
      </c>
    </row>
    <row r="59" spans="1:6" x14ac:dyDescent="0.2">
      <c r="A59" s="19">
        <v>24</v>
      </c>
      <c r="B59" s="181" t="s">
        <v>21</v>
      </c>
      <c r="C59" s="182"/>
      <c r="D59" s="14">
        <f>IF(F3="1",SUMIF(Data!A:A,'34'!$A$2,Data!DR:DR),0)</f>
        <v>0</v>
      </c>
      <c r="E59" s="17">
        <f>IF($F$3="1",SUMIF(Data!$A:$A,$A$2,Data!JL:JL),0)</f>
        <v>0</v>
      </c>
      <c r="F59" s="21" t="str">
        <f t="shared" si="3"/>
        <v/>
      </c>
    </row>
    <row r="60" spans="1:6" x14ac:dyDescent="0.2">
      <c r="A60" s="19">
        <v>25</v>
      </c>
      <c r="B60" s="181" t="s">
        <v>22</v>
      </c>
      <c r="C60" s="182"/>
      <c r="D60" s="14">
        <f>IF(F3="1",SUMIF(Data!A:A,'34'!$A$2,Data!DS:DS),0)</f>
        <v>236021</v>
      </c>
      <c r="E60" s="17">
        <f>IF($F$3="1",SUMIF(Data!$A:$A,$A$2,Data!JM:JM),0)</f>
        <v>8638</v>
      </c>
      <c r="F60" s="21">
        <f t="shared" si="3"/>
        <v>0.04</v>
      </c>
    </row>
    <row r="61" spans="1:6" x14ac:dyDescent="0.2">
      <c r="A61" s="19">
        <v>26</v>
      </c>
      <c r="B61" s="181" t="s">
        <v>23</v>
      </c>
      <c r="C61" s="182"/>
      <c r="D61" s="14">
        <f>IF(F3="1",SUMIF(Data!A:A,'34'!$A$2,Data!DT:DT),0)</f>
        <v>117973</v>
      </c>
      <c r="E61" s="17">
        <f>IF($F$3="1",SUMIF(Data!$A:$A,$A$2,Data!JN:JN),0)</f>
        <v>129254</v>
      </c>
      <c r="F61" s="21">
        <f t="shared" si="3"/>
        <v>1.1000000000000001</v>
      </c>
    </row>
    <row r="62" spans="1:6" x14ac:dyDescent="0.2">
      <c r="A62" s="19">
        <v>28</v>
      </c>
      <c r="B62" s="181" t="s">
        <v>24</v>
      </c>
      <c r="C62" s="182"/>
      <c r="D62" s="14">
        <f>IF(F3="1",SUMIF(Data!A:A,'34'!$A$2,Data!DV:DV),0)</f>
        <v>0</v>
      </c>
      <c r="E62" s="17">
        <f>IF($F$3="1",SUMIF(Data!$A:$A,$A$2,Data!JP:JP),0)</f>
        <v>0</v>
      </c>
      <c r="F62" s="21" t="str">
        <f t="shared" si="3"/>
        <v/>
      </c>
    </row>
    <row r="63" spans="1:6" ht="15.75" customHeight="1" thickBot="1" x14ac:dyDescent="0.25">
      <c r="A63" s="22">
        <v>29</v>
      </c>
      <c r="B63" s="183" t="s">
        <v>25</v>
      </c>
      <c r="C63" s="184"/>
      <c r="D63" s="23">
        <f>IF(F3="1",SUMIF(Data!A:A,'34'!$A$2,Data!DW:DW),0)</f>
        <v>0</v>
      </c>
      <c r="E63" s="24">
        <f>IF($F$3="1",SUMIF(Data!$A:$A,$A$2,Data!JQ:JQ),0)</f>
        <v>0</v>
      </c>
      <c r="F63" s="25" t="str">
        <f t="shared" si="3"/>
        <v/>
      </c>
    </row>
    <row r="64" spans="1:6" x14ac:dyDescent="0.2">
      <c r="B64" s="30" t="s">
        <v>35</v>
      </c>
      <c r="C64" s="30"/>
      <c r="D64" s="59">
        <f>SUM(D36:D63)</f>
        <v>1816179</v>
      </c>
      <c r="E64" s="31">
        <f>SUM(E36:E63)</f>
        <v>618381</v>
      </c>
      <c r="F64" s="32">
        <f t="shared" si="3"/>
        <v>0.34</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7029</v>
      </c>
      <c r="E67" s="15">
        <f>IF(F3="1",SUMIF(Data!A:A,'34'!$A$2,Data!DY:DY),0)</f>
        <v>41141</v>
      </c>
      <c r="F67" s="20">
        <f t="shared" ref="F67:F95" si="4">IF(OR(D67=0,E67=0),"",ROUND(E67/D67,2))</f>
        <v>5.85</v>
      </c>
    </row>
    <row r="68" spans="1:6" x14ac:dyDescent="0.2">
      <c r="A68" s="19">
        <v>2</v>
      </c>
      <c r="B68" s="181" t="s">
        <v>1</v>
      </c>
      <c r="C68" s="182"/>
      <c r="D68" s="14">
        <f t="shared" ref="D68:D94" si="5">D37</f>
        <v>154001</v>
      </c>
      <c r="E68" s="17">
        <f>IF(F3="1",SUMIF(Data!A:A,'34'!$A$2,Data!DZ:DZ),0)</f>
        <v>594841</v>
      </c>
      <c r="F68" s="21">
        <f t="shared" si="4"/>
        <v>3.86</v>
      </c>
    </row>
    <row r="69" spans="1:6" ht="14.25" customHeight="1" x14ac:dyDescent="0.2">
      <c r="A69" s="19">
        <v>3</v>
      </c>
      <c r="B69" s="181" t="s">
        <v>2</v>
      </c>
      <c r="C69" s="182"/>
      <c r="D69" s="14">
        <f t="shared" si="5"/>
        <v>231934</v>
      </c>
      <c r="E69" s="17">
        <f>IF(F3="1",SUMIF(Data!A:A,'34'!$A$2,Data!EA:EA),0)</f>
        <v>326998</v>
      </c>
      <c r="F69" s="21">
        <f t="shared" si="4"/>
        <v>1.41</v>
      </c>
    </row>
    <row r="70" spans="1:6" ht="14.25" customHeight="1" x14ac:dyDescent="0.2">
      <c r="A70" s="19">
        <v>4</v>
      </c>
      <c r="B70" s="181" t="s">
        <v>3</v>
      </c>
      <c r="C70" s="182"/>
      <c r="D70" s="14">
        <f t="shared" si="5"/>
        <v>114362</v>
      </c>
      <c r="E70" s="17">
        <f>IF(F3="1",SUMIF(Data!A:A,'34'!$A$2,Data!EB:EB),0)</f>
        <v>334826</v>
      </c>
      <c r="F70" s="21">
        <f t="shared" si="4"/>
        <v>2.93</v>
      </c>
    </row>
    <row r="71" spans="1:6" x14ac:dyDescent="0.2">
      <c r="A71" s="19">
        <v>5</v>
      </c>
      <c r="B71" s="181" t="s">
        <v>4</v>
      </c>
      <c r="C71" s="182"/>
      <c r="D71" s="14">
        <f t="shared" si="5"/>
        <v>0</v>
      </c>
      <c r="E71" s="17">
        <f>IF(F3="1",SUMIF(Data!A:A,'34'!$A$2,Data!EC:EC),0)</f>
        <v>0</v>
      </c>
      <c r="F71" s="21" t="str">
        <f t="shared" si="4"/>
        <v/>
      </c>
    </row>
    <row r="72" spans="1:6" x14ac:dyDescent="0.2">
      <c r="A72" s="19">
        <v>6</v>
      </c>
      <c r="B72" s="181" t="s">
        <v>5</v>
      </c>
      <c r="C72" s="182"/>
      <c r="D72" s="14">
        <f t="shared" si="5"/>
        <v>4218</v>
      </c>
      <c r="E72" s="17">
        <f>IF(F3="1",SUMIF(Data!A:A,'34'!$A$2,Data!ED:ED),0)</f>
        <v>37133</v>
      </c>
      <c r="F72" s="21">
        <f t="shared" si="4"/>
        <v>8.8000000000000007</v>
      </c>
    </row>
    <row r="73" spans="1:6" x14ac:dyDescent="0.2">
      <c r="A73" s="19">
        <v>7</v>
      </c>
      <c r="B73" s="181" t="s">
        <v>6</v>
      </c>
      <c r="C73" s="182"/>
      <c r="D73" s="14">
        <f t="shared" si="5"/>
        <v>97326</v>
      </c>
      <c r="E73" s="17">
        <f>IF(F3="1",SUMIF(Data!A:A,'34'!$A$2,Data!EE:EE),0)</f>
        <v>168880</v>
      </c>
      <c r="F73" s="21">
        <f t="shared" si="4"/>
        <v>1.74</v>
      </c>
    </row>
    <row r="74" spans="1:6" x14ac:dyDescent="0.2">
      <c r="A74" s="19">
        <v>8</v>
      </c>
      <c r="B74" s="181" t="s">
        <v>7</v>
      </c>
      <c r="C74" s="182"/>
      <c r="D74" s="14">
        <f t="shared" si="5"/>
        <v>0</v>
      </c>
      <c r="E74" s="17">
        <f>IF(F3="1",SUMIF(Data!A:A,'34'!$A$2,Data!EF:EF),0)</f>
        <v>0</v>
      </c>
      <c r="F74" s="21" t="str">
        <f t="shared" si="4"/>
        <v/>
      </c>
    </row>
    <row r="75" spans="1:6" x14ac:dyDescent="0.2">
      <c r="A75" s="19">
        <v>9</v>
      </c>
      <c r="B75" s="181" t="s">
        <v>8</v>
      </c>
      <c r="C75" s="182"/>
      <c r="D75" s="14">
        <f t="shared" si="5"/>
        <v>28770</v>
      </c>
      <c r="E75" s="17">
        <f>IF(F3="1",SUMIF(Data!A:A,'34'!$A$2,Data!EG:EG),0)</f>
        <v>74077</v>
      </c>
      <c r="F75" s="21">
        <f t="shared" si="4"/>
        <v>2.57</v>
      </c>
    </row>
    <row r="76" spans="1:6" x14ac:dyDescent="0.2">
      <c r="A76" s="19">
        <v>10</v>
      </c>
      <c r="B76" s="181" t="s">
        <v>9</v>
      </c>
      <c r="C76" s="182"/>
      <c r="D76" s="14">
        <f t="shared" si="5"/>
        <v>0</v>
      </c>
      <c r="E76" s="17">
        <f>IF(F3="1",SUMIF(Data!A:A,'34'!$A$2,Data!EH:EH),0)</f>
        <v>0</v>
      </c>
      <c r="F76" s="21" t="str">
        <f t="shared" si="4"/>
        <v/>
      </c>
    </row>
    <row r="77" spans="1:6" x14ac:dyDescent="0.2">
      <c r="A77" s="19">
        <v>11</v>
      </c>
      <c r="B77" s="181" t="s">
        <v>10</v>
      </c>
      <c r="C77" s="182"/>
      <c r="D77" s="14">
        <f t="shared" si="5"/>
        <v>16102</v>
      </c>
      <c r="E77" s="17">
        <f>IF(F3="1",SUMIF(Data!A:A,'34'!$A$2,Data!EI:EI),0)</f>
        <v>94340</v>
      </c>
      <c r="F77" s="21">
        <f t="shared" si="4"/>
        <v>5.86</v>
      </c>
    </row>
    <row r="78" spans="1:6" ht="14.25" customHeight="1" x14ac:dyDescent="0.2">
      <c r="A78" s="19">
        <v>12</v>
      </c>
      <c r="B78" s="181" t="s">
        <v>11</v>
      </c>
      <c r="C78" s="182"/>
      <c r="D78" s="14">
        <f t="shared" si="5"/>
        <v>267067</v>
      </c>
      <c r="E78" s="17">
        <f>IF(F3="1",SUMIF(Data!A:A,'34'!$A$2,Data!EJ:EJ),0)</f>
        <v>519994</v>
      </c>
      <c r="F78" s="21">
        <f t="shared" si="4"/>
        <v>1.95</v>
      </c>
    </row>
    <row r="79" spans="1:6" x14ac:dyDescent="0.2">
      <c r="A79" s="19">
        <v>13</v>
      </c>
      <c r="B79" s="181" t="s">
        <v>12</v>
      </c>
      <c r="C79" s="182"/>
      <c r="D79" s="14">
        <f t="shared" si="5"/>
        <v>23828</v>
      </c>
      <c r="E79" s="17">
        <f>IF(F3="1",SUMIF(Data!A:A,'34'!$A$2,Data!EK:EK),0)</f>
        <v>45179</v>
      </c>
      <c r="F79" s="21">
        <f t="shared" si="4"/>
        <v>1.9</v>
      </c>
    </row>
    <row r="80" spans="1:6" ht="14.25" customHeight="1" x14ac:dyDescent="0.2">
      <c r="A80" s="19">
        <v>14</v>
      </c>
      <c r="B80" s="181" t="s">
        <v>464</v>
      </c>
      <c r="C80" s="182"/>
      <c r="D80" s="14">
        <f t="shared" si="5"/>
        <v>25990</v>
      </c>
      <c r="E80" s="17">
        <f>IF(F3="1",SUMIF(Data!A:A,'34'!$A$2,Data!EL:EL),0)</f>
        <v>218770</v>
      </c>
      <c r="F80" s="21">
        <f t="shared" si="4"/>
        <v>8.42</v>
      </c>
    </row>
    <row r="81" spans="1:6" x14ac:dyDescent="0.2">
      <c r="A81" s="19">
        <v>15</v>
      </c>
      <c r="B81" s="181" t="s">
        <v>13</v>
      </c>
      <c r="C81" s="182"/>
      <c r="D81" s="14">
        <f t="shared" si="5"/>
        <v>0</v>
      </c>
      <c r="E81" s="17">
        <f>IF(F3="1",SUMIF(Data!A:A,'34'!$A$2,Data!EM:EM),0)</f>
        <v>0</v>
      </c>
      <c r="F81" s="21" t="str">
        <f t="shared" si="4"/>
        <v/>
      </c>
    </row>
    <row r="82" spans="1:6" x14ac:dyDescent="0.2">
      <c r="A82" s="19">
        <v>16</v>
      </c>
      <c r="B82" s="181" t="s">
        <v>14</v>
      </c>
      <c r="C82" s="182"/>
      <c r="D82" s="14">
        <f t="shared" si="5"/>
        <v>30768</v>
      </c>
      <c r="E82" s="17">
        <f>IF(F3="1",SUMIF(Data!A:A,'34'!$A$2,Data!EN:EN),0)</f>
        <v>29171</v>
      </c>
      <c r="F82" s="21">
        <f t="shared" si="4"/>
        <v>0.95</v>
      </c>
    </row>
    <row r="83" spans="1:6" x14ac:dyDescent="0.2">
      <c r="A83" s="19">
        <v>17</v>
      </c>
      <c r="B83" s="181" t="s">
        <v>15</v>
      </c>
      <c r="C83" s="182"/>
      <c r="D83" s="14">
        <f t="shared" si="5"/>
        <v>0</v>
      </c>
      <c r="E83" s="17">
        <f>IF(F3="1",SUMIF(Data!A:A,'34'!$A$2,Data!EO:EO),0)</f>
        <v>0</v>
      </c>
      <c r="F83" s="21" t="str">
        <f t="shared" si="4"/>
        <v/>
      </c>
    </row>
    <row r="84" spans="1:6" x14ac:dyDescent="0.2">
      <c r="A84" s="19">
        <v>18</v>
      </c>
      <c r="B84" s="181" t="s">
        <v>16</v>
      </c>
      <c r="C84" s="182"/>
      <c r="D84" s="14">
        <f t="shared" si="5"/>
        <v>57014</v>
      </c>
      <c r="E84" s="17">
        <f>IF(F3="1",SUMIF(Data!A:A,'34'!$A$2,Data!EP:EP),0)</f>
        <v>396420</v>
      </c>
      <c r="F84" s="21">
        <f t="shared" si="4"/>
        <v>6.95</v>
      </c>
    </row>
    <row r="85" spans="1:6" x14ac:dyDescent="0.2">
      <c r="A85" s="19">
        <v>19</v>
      </c>
      <c r="B85" s="181" t="s">
        <v>17</v>
      </c>
      <c r="C85" s="182"/>
      <c r="D85" s="14">
        <f t="shared" si="5"/>
        <v>293552</v>
      </c>
      <c r="E85" s="17">
        <f>IF(F3="1",SUMIF(Data!A:A,'34'!$A$2,Data!EQ:EQ),0)</f>
        <v>494849</v>
      </c>
      <c r="F85" s="21">
        <f t="shared" si="4"/>
        <v>1.69</v>
      </c>
    </row>
    <row r="86" spans="1:6" x14ac:dyDescent="0.2">
      <c r="A86" s="19">
        <v>20</v>
      </c>
      <c r="B86" s="181" t="s">
        <v>18</v>
      </c>
      <c r="C86" s="182"/>
      <c r="D86" s="14">
        <f t="shared" si="5"/>
        <v>0</v>
      </c>
      <c r="E86" s="17">
        <f>IF(F3="1",SUMIF(Data!A:A,'34'!$A$2,Data!ER:ER),0)</f>
        <v>0</v>
      </c>
      <c r="F86" s="21" t="str">
        <f t="shared" si="4"/>
        <v/>
      </c>
    </row>
    <row r="87" spans="1:6" ht="14.25" customHeight="1" x14ac:dyDescent="0.2">
      <c r="A87" s="19">
        <v>21</v>
      </c>
      <c r="B87" s="181" t="s">
        <v>461</v>
      </c>
      <c r="C87" s="182"/>
      <c r="D87" s="14">
        <f t="shared" si="5"/>
        <v>0</v>
      </c>
      <c r="E87" s="17">
        <f>IF(F3="1",SUMIF(Data!A:A,'34'!$A$2,Data!ES:ES),0)</f>
        <v>0</v>
      </c>
      <c r="F87" s="21" t="str">
        <f t="shared" si="4"/>
        <v/>
      </c>
    </row>
    <row r="88" spans="1:6" x14ac:dyDescent="0.2">
      <c r="A88" s="19">
        <v>22</v>
      </c>
      <c r="B88" s="181" t="s">
        <v>19</v>
      </c>
      <c r="C88" s="182"/>
      <c r="D88" s="14">
        <f t="shared" si="5"/>
        <v>34520</v>
      </c>
      <c r="E88" s="17">
        <f>IF(F3="1",SUMIF(Data!A:A,'34'!$A$2,Data!ET:ET),0)</f>
        <v>73686</v>
      </c>
      <c r="F88" s="21">
        <f t="shared" si="4"/>
        <v>2.13</v>
      </c>
    </row>
    <row r="89" spans="1:6" x14ac:dyDescent="0.2">
      <c r="A89" s="19">
        <v>23</v>
      </c>
      <c r="B89" s="181" t="s">
        <v>20</v>
      </c>
      <c r="C89" s="182"/>
      <c r="D89" s="14">
        <f t="shared" si="5"/>
        <v>75704</v>
      </c>
      <c r="E89" s="17">
        <f>IF(F3="1",SUMIF(Data!A:A,'34'!$A$2,Data!EU:EU),0)</f>
        <v>178374</v>
      </c>
      <c r="F89" s="21">
        <f t="shared" si="4"/>
        <v>2.36</v>
      </c>
    </row>
    <row r="90" spans="1:6" x14ac:dyDescent="0.2">
      <c r="A90" s="19">
        <v>24</v>
      </c>
      <c r="B90" s="181" t="s">
        <v>21</v>
      </c>
      <c r="C90" s="182"/>
      <c r="D90" s="14">
        <f t="shared" si="5"/>
        <v>0</v>
      </c>
      <c r="E90" s="17">
        <f>IF(F3="1",SUMIF(Data!A:A,'34'!$A$2,Data!EV:EV),0)</f>
        <v>0</v>
      </c>
      <c r="F90" s="21" t="str">
        <f t="shared" si="4"/>
        <v/>
      </c>
    </row>
    <row r="91" spans="1:6" x14ac:dyDescent="0.2">
      <c r="A91" s="19">
        <v>25</v>
      </c>
      <c r="B91" s="181" t="s">
        <v>22</v>
      </c>
      <c r="C91" s="182"/>
      <c r="D91" s="14">
        <f t="shared" si="5"/>
        <v>236021</v>
      </c>
      <c r="E91" s="17">
        <f>IF(F3="1",SUMIF(Data!A:A,'34'!$A$2,Data!EW:EW),0)</f>
        <v>399624</v>
      </c>
      <c r="F91" s="21">
        <f t="shared" si="4"/>
        <v>1.69</v>
      </c>
    </row>
    <row r="92" spans="1:6" x14ac:dyDescent="0.2">
      <c r="A92" s="19">
        <v>26</v>
      </c>
      <c r="B92" s="181" t="s">
        <v>23</v>
      </c>
      <c r="C92" s="182"/>
      <c r="D92" s="14">
        <f t="shared" si="5"/>
        <v>117973</v>
      </c>
      <c r="E92" s="17">
        <f>IF(F3="1",SUMIF(Data!A:A,'34'!$A$2,Data!EX:EX),0)</f>
        <v>400921</v>
      </c>
      <c r="F92" s="21">
        <f t="shared" si="4"/>
        <v>3.4</v>
      </c>
    </row>
    <row r="93" spans="1:6" x14ac:dyDescent="0.2">
      <c r="A93" s="19">
        <v>28</v>
      </c>
      <c r="B93" s="181" t="s">
        <v>24</v>
      </c>
      <c r="C93" s="182"/>
      <c r="D93" s="14">
        <f t="shared" si="5"/>
        <v>0</v>
      </c>
      <c r="E93" s="17">
        <f>IF(F3="1",SUMIF(Data!A:A,'34'!$A$2,Data!EZ:EZ),0)</f>
        <v>0</v>
      </c>
      <c r="F93" s="21" t="str">
        <f t="shared" si="4"/>
        <v/>
      </c>
    </row>
    <row r="94" spans="1:6" ht="15.75" customHeight="1" thickBot="1" x14ac:dyDescent="0.25">
      <c r="A94" s="22">
        <v>29</v>
      </c>
      <c r="B94" s="183" t="s">
        <v>25</v>
      </c>
      <c r="C94" s="184"/>
      <c r="D94" s="23">
        <f t="shared" si="5"/>
        <v>0</v>
      </c>
      <c r="E94" s="24">
        <f>IF(F3="1",SUMIF(Data!A:A,'34'!$A$2,Data!FA:FA),0)</f>
        <v>0</v>
      </c>
      <c r="F94" s="25" t="str">
        <f t="shared" si="4"/>
        <v/>
      </c>
    </row>
    <row r="95" spans="1:6" x14ac:dyDescent="0.2">
      <c r="B95" s="30" t="s">
        <v>35</v>
      </c>
      <c r="C95" s="30"/>
      <c r="D95" s="59">
        <f>SUM(D67:D94)</f>
        <v>1816179</v>
      </c>
      <c r="E95" s="31">
        <f>SUM(E67:E94)</f>
        <v>4429224</v>
      </c>
      <c r="F95" s="32">
        <f t="shared" si="4"/>
        <v>2.44</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IF(F3="1",SUMIF(Data!A:A,'34'!$A$2,Data!AH:AH),0)</f>
        <v>2118543</v>
      </c>
      <c r="F98" s="20">
        <f>IF(OR(E98=0,E98=0),"",ROUND(E98/$D$105,2))</f>
        <v>1.17</v>
      </c>
    </row>
    <row r="99" spans="2:6" x14ac:dyDescent="0.2">
      <c r="B99" s="187" t="s">
        <v>31</v>
      </c>
      <c r="C99" s="188"/>
      <c r="D99" s="36"/>
      <c r="E99" s="17">
        <f>IF(F3="1",SUMIF(Data!A:A,'34'!$A$2,Data!AI:AI),0)</f>
        <v>669050</v>
      </c>
      <c r="F99" s="21">
        <f t="shared" ref="F99:F104" si="6">IF(OR(E99=0,E99=0),"",ROUND(E99/$D$105,2))</f>
        <v>0.37</v>
      </c>
    </row>
    <row r="100" spans="2:6" x14ac:dyDescent="0.2">
      <c r="B100" s="187" t="s">
        <v>1078</v>
      </c>
      <c r="C100" s="188"/>
      <c r="D100" s="36"/>
      <c r="E100" s="17">
        <f>IF(F3="1",SUMIF(Data!A:A,'34'!$A$2,Data!AJ:AJ),0)</f>
        <v>352369</v>
      </c>
      <c r="F100" s="21">
        <f t="shared" si="6"/>
        <v>0.19</v>
      </c>
    </row>
    <row r="101" spans="2:6" x14ac:dyDescent="0.2">
      <c r="B101" s="187" t="s">
        <v>1079</v>
      </c>
      <c r="C101" s="188"/>
      <c r="D101" s="36"/>
      <c r="E101" s="17">
        <f>IF(F3="1",SUMIF(Data!A:A,'34'!$A$2,Data!AK:AK),0)</f>
        <v>510167</v>
      </c>
      <c r="F101" s="21">
        <f t="shared" si="6"/>
        <v>0.28000000000000003</v>
      </c>
    </row>
    <row r="102" spans="2:6" x14ac:dyDescent="0.2">
      <c r="B102" s="187" t="s">
        <v>1080</v>
      </c>
      <c r="C102" s="188"/>
      <c r="D102" s="36"/>
      <c r="E102" s="17">
        <f>IF(F3="1",SUMIF(Data!A:A,'34'!$A$2,Data!AL:AL),0)</f>
        <v>18918</v>
      </c>
      <c r="F102" s="21">
        <f t="shared" si="6"/>
        <v>0.01</v>
      </c>
    </row>
    <row r="103" spans="2:6" x14ac:dyDescent="0.2">
      <c r="B103" s="189" t="s">
        <v>34</v>
      </c>
      <c r="C103" s="190"/>
      <c r="D103" s="36"/>
      <c r="E103" s="17">
        <f>IF(F3="1",SUMIF(Data!A:A,'34'!$A$2,Data!AM:AM),0)</f>
        <v>0</v>
      </c>
      <c r="F103" s="21" t="str">
        <f t="shared" si="6"/>
        <v/>
      </c>
    </row>
    <row r="104" spans="2:6" ht="15.75" customHeight="1" thickBot="1" x14ac:dyDescent="0.25">
      <c r="B104" s="179" t="s">
        <v>29</v>
      </c>
      <c r="C104" s="180"/>
      <c r="D104" s="37"/>
      <c r="E104" s="24">
        <f>IF(F3="1",SUMIF(Data!A:A,'34'!$A$2,Data!Q:Q),0)</f>
        <v>814042</v>
      </c>
      <c r="F104" s="25">
        <f t="shared" si="6"/>
        <v>0.45</v>
      </c>
    </row>
    <row r="105" spans="2:6" x14ac:dyDescent="0.2">
      <c r="B105" s="30" t="s">
        <v>35</v>
      </c>
      <c r="C105" s="30"/>
      <c r="D105" s="34">
        <f>D95</f>
        <v>1816179</v>
      </c>
      <c r="E105" s="31">
        <f>SUM(E98:E104)</f>
        <v>4483089</v>
      </c>
      <c r="F105" s="32">
        <f>IF($D$105=0,"",ROUND(E105/$D$105,2))</f>
        <v>2.4700000000000002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4429224</v>
      </c>
      <c r="D109" s="15">
        <f>IF(F3="1",SUMIF(Data!$A:$A,$A$2,Data!HJ:HJ),0)</f>
        <v>0</v>
      </c>
      <c r="E109" s="15">
        <f>IF(F3="1",SUMIF(Data!$A:$A,$A$2,Data!IN:IN),0)</f>
        <v>0</v>
      </c>
      <c r="F109" s="47">
        <f>SUM(C109:E109)</f>
        <v>4429224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18918</v>
      </c>
      <c r="F116" s="48">
        <f t="shared" si="7"/>
        <v>18918</v>
      </c>
    </row>
    <row r="117" spans="1:6" ht="15" thickBot="1" x14ac:dyDescent="0.25">
      <c r="B117" s="43" t="s">
        <v>933</v>
      </c>
      <c r="C117" s="52"/>
      <c r="D117" s="52">
        <f>IF(F3="1",SUMIF(Data!A:A,$A$2,Data!Q:Q),0)</f>
        <v>814042</v>
      </c>
      <c r="E117" s="52"/>
      <c r="F117" s="49">
        <f>SUM(C117:E117)</f>
        <v>814042</v>
      </c>
    </row>
    <row r="118" spans="1:6" x14ac:dyDescent="0.2">
      <c r="B118" s="13" t="s">
        <v>35</v>
      </c>
      <c r="C118" s="4">
        <f>SUM(C109:C116)</f>
        <v>4429224</v>
      </c>
      <c r="D118" s="4">
        <f>SUM(D109:D116)</f>
        <v>0</v>
      </c>
      <c r="E118" s="4">
        <f>SUM(E109:E116)</f>
        <v>18918</v>
      </c>
      <c r="F118" s="4">
        <f>SUM(F109:F116)</f>
        <v>4448142</v>
      </c>
    </row>
    <row r="119" spans="1:6" ht="15" thickBot="1" x14ac:dyDescent="0.25"/>
    <row r="120" spans="1:6" ht="15" thickBot="1" x14ac:dyDescent="0.25">
      <c r="B120" s="55" t="s">
        <v>934</v>
      </c>
      <c r="C120" s="53"/>
      <c r="D120" s="53"/>
      <c r="E120" s="53">
        <f>IF(F3="1",SUMIF(Data!A:A,'34'!$A$2,Data!AM:AM),0)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392</v>
      </c>
      <c r="B2" s="58" t="str">
        <f>VLOOKUP(A2,Data!A:G,7,0)</f>
        <v>Ranger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10464</v>
      </c>
      <c r="E6" s="17">
        <f t="shared" ref="E6:E32" si="1">E37+E68+IFERROR($E$105/$D$105*D6,0)</f>
        <v>73762.240523548651</v>
      </c>
      <c r="F6" s="21">
        <f t="shared" ref="F6:F33" si="2">IF(OR(D6=0,E6=0),"",ROUND(E6/D6,2))</f>
        <v>7.05</v>
      </c>
    </row>
    <row r="7" spans="1:6" ht="14.25" customHeight="1" x14ac:dyDescent="0.2">
      <c r="A7" s="19">
        <v>3</v>
      </c>
      <c r="B7" s="181" t="s">
        <v>2</v>
      </c>
      <c r="C7" s="182"/>
      <c r="D7" s="14">
        <f t="shared" si="0"/>
        <v>28128</v>
      </c>
      <c r="E7" s="17">
        <f t="shared" si="1"/>
        <v>136878.96764586933</v>
      </c>
      <c r="F7" s="21">
        <f t="shared" si="2"/>
        <v>4.87</v>
      </c>
    </row>
    <row r="8" spans="1:6" ht="14.25" customHeight="1" x14ac:dyDescent="0.2">
      <c r="A8" s="19">
        <v>4</v>
      </c>
      <c r="B8" s="181" t="s">
        <v>3</v>
      </c>
      <c r="C8" s="182"/>
      <c r="D8" s="14">
        <f t="shared" si="0"/>
        <v>14416</v>
      </c>
      <c r="E8" s="17">
        <f t="shared" si="1"/>
        <v>87806.163167763516</v>
      </c>
      <c r="F8" s="21">
        <f t="shared" si="2"/>
        <v>6.09</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2160</v>
      </c>
      <c r="E10" s="17">
        <f t="shared" si="1"/>
        <v>8404.6459796316049</v>
      </c>
      <c r="F10" s="21">
        <f t="shared" si="2"/>
        <v>3.89</v>
      </c>
    </row>
    <row r="11" spans="1:6" x14ac:dyDescent="0.2">
      <c r="A11" s="19">
        <v>7</v>
      </c>
      <c r="B11" s="181" t="s">
        <v>6</v>
      </c>
      <c r="C11" s="182"/>
      <c r="D11" s="14">
        <f t="shared" si="0"/>
        <v>26048</v>
      </c>
      <c r="E11" s="17">
        <f t="shared" si="1"/>
        <v>154042.2715173352</v>
      </c>
      <c r="F11" s="21">
        <f t="shared" si="2"/>
        <v>5.91</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33088</v>
      </c>
      <c r="E13" s="17">
        <f t="shared" si="1"/>
        <v>192851.85841391227</v>
      </c>
      <c r="F13" s="21">
        <f t="shared" si="2"/>
        <v>5.83</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0</v>
      </c>
      <c r="E15" s="17">
        <f t="shared" si="1"/>
        <v>0</v>
      </c>
      <c r="F15" s="21" t="str">
        <f t="shared" si="2"/>
        <v/>
      </c>
    </row>
    <row r="16" spans="1:6" ht="14.25" customHeight="1" x14ac:dyDescent="0.2">
      <c r="A16" s="19">
        <v>12</v>
      </c>
      <c r="B16" s="181" t="s">
        <v>11</v>
      </c>
      <c r="C16" s="182"/>
      <c r="D16" s="14">
        <f t="shared" si="0"/>
        <v>87632</v>
      </c>
      <c r="E16" s="17">
        <f t="shared" si="1"/>
        <v>455470.46689216513</v>
      </c>
      <c r="F16" s="21">
        <f t="shared" si="2"/>
        <v>5.2</v>
      </c>
    </row>
    <row r="17" spans="1:6" x14ac:dyDescent="0.2">
      <c r="A17" s="19">
        <v>13</v>
      </c>
      <c r="B17" s="181" t="s">
        <v>12</v>
      </c>
      <c r="C17" s="182"/>
      <c r="D17" s="14">
        <f t="shared" si="0"/>
        <v>3840</v>
      </c>
      <c r="E17" s="17">
        <f t="shared" si="1"/>
        <v>14737.592852678406</v>
      </c>
      <c r="F17" s="21">
        <f t="shared" si="2"/>
        <v>3.84</v>
      </c>
    </row>
    <row r="18" spans="1:6" ht="14.25" customHeight="1" x14ac:dyDescent="0.2">
      <c r="A18" s="19">
        <v>14</v>
      </c>
      <c r="B18" s="181" t="s">
        <v>464</v>
      </c>
      <c r="C18" s="182"/>
      <c r="D18" s="14">
        <f t="shared" si="0"/>
        <v>0</v>
      </c>
      <c r="E18" s="17">
        <f t="shared" si="1"/>
        <v>0</v>
      </c>
      <c r="F18" s="21" t="str">
        <f t="shared" si="2"/>
        <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7440</v>
      </c>
      <c r="E20" s="17">
        <f t="shared" si="1"/>
        <v>42795.33615206441</v>
      </c>
      <c r="F20" s="21">
        <f t="shared" si="2"/>
        <v>5.75</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78192</v>
      </c>
      <c r="E22" s="17">
        <f t="shared" si="1"/>
        <v>407199.38446266402</v>
      </c>
      <c r="F22" s="21">
        <f t="shared" si="2"/>
        <v>5.21</v>
      </c>
    </row>
    <row r="23" spans="1:6" x14ac:dyDescent="0.2">
      <c r="A23" s="19">
        <v>19</v>
      </c>
      <c r="B23" s="181" t="s">
        <v>17</v>
      </c>
      <c r="C23" s="182"/>
      <c r="D23" s="14">
        <f t="shared" si="0"/>
        <v>28176</v>
      </c>
      <c r="E23" s="17">
        <f t="shared" si="1"/>
        <v>165745.53755652782</v>
      </c>
      <c r="F23" s="21">
        <f t="shared" si="2"/>
        <v>5.88</v>
      </c>
    </row>
    <row r="24" spans="1:6" x14ac:dyDescent="0.2">
      <c r="A24" s="19">
        <v>20</v>
      </c>
      <c r="B24" s="181" t="s">
        <v>18</v>
      </c>
      <c r="C24" s="182"/>
      <c r="D24" s="14">
        <f t="shared" si="0"/>
        <v>3936</v>
      </c>
      <c r="E24" s="17">
        <f t="shared" si="1"/>
        <v>47156.732673995364</v>
      </c>
      <c r="F24" s="21">
        <f t="shared" si="2"/>
        <v>11.98</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36592</v>
      </c>
      <c r="E27" s="17">
        <f t="shared" si="1"/>
        <v>471348.46189198131</v>
      </c>
      <c r="F27" s="21">
        <f t="shared" si="2"/>
        <v>12.88</v>
      </c>
    </row>
    <row r="28" spans="1:6" x14ac:dyDescent="0.2">
      <c r="A28" s="19">
        <v>24</v>
      </c>
      <c r="B28" s="181" t="s">
        <v>21</v>
      </c>
      <c r="C28" s="182"/>
      <c r="D28" s="14">
        <f t="shared" si="0"/>
        <v>432</v>
      </c>
      <c r="E28" s="17">
        <f t="shared" si="1"/>
        <v>2840.1291959263208</v>
      </c>
      <c r="F28" s="21">
        <f t="shared" si="2"/>
        <v>6.57</v>
      </c>
    </row>
    <row r="29" spans="1:6" x14ac:dyDescent="0.2">
      <c r="A29" s="19">
        <v>25</v>
      </c>
      <c r="B29" s="181" t="s">
        <v>22</v>
      </c>
      <c r="C29" s="182"/>
      <c r="D29" s="14">
        <f t="shared" si="0"/>
        <v>50784</v>
      </c>
      <c r="E29" s="17">
        <f t="shared" si="1"/>
        <v>221044.96547667193</v>
      </c>
      <c r="F29" s="21">
        <f t="shared" si="2"/>
        <v>4.3499999999999996</v>
      </c>
    </row>
    <row r="30" spans="1:6" x14ac:dyDescent="0.2">
      <c r="A30" s="19">
        <v>26</v>
      </c>
      <c r="B30" s="181" t="s">
        <v>23</v>
      </c>
      <c r="C30" s="182"/>
      <c r="D30" s="14">
        <f t="shared" si="0"/>
        <v>23856</v>
      </c>
      <c r="E30" s="17">
        <f t="shared" si="1"/>
        <v>153957.24559726461</v>
      </c>
      <c r="F30" s="21">
        <f t="shared" si="2"/>
        <v>6.45</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435184</v>
      </c>
      <c r="E33" s="31">
        <f>SUM(E5:E32)</f>
        <v>2636042</v>
      </c>
      <c r="F33" s="32">
        <f t="shared" si="2"/>
        <v>6.06</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IF(F3="1",SUMIF(Data!A:A,'35'!$A$2,Data!CU:CU),0)</f>
        <v>0</v>
      </c>
      <c r="E36" s="15">
        <f>IF(F3="1",SUMIF(Data!$A:$A,$A$2,Data!IO:IO),0)</f>
        <v>0</v>
      </c>
      <c r="F36" s="20" t="str">
        <f t="shared" ref="F36:F64" si="3">IF(OR(D36=0,E36=0),"",ROUND(E36/D36,2))</f>
        <v/>
      </c>
    </row>
    <row r="37" spans="1:6" x14ac:dyDescent="0.2">
      <c r="A37" s="19">
        <v>2</v>
      </c>
      <c r="B37" s="181" t="s">
        <v>1</v>
      </c>
      <c r="C37" s="182"/>
      <c r="D37" s="14">
        <f>IF(F3="1",SUMIF(Data!A:A,'35'!$A$2,Data!CV:CV),0)</f>
        <v>10464</v>
      </c>
      <c r="E37" s="17">
        <f>IF(F3="1",SUMIF(Data!$A:$A,$A$2,Data!IP:IP),0)</f>
        <v>6595</v>
      </c>
      <c r="F37" s="21">
        <f t="shared" si="3"/>
        <v>0.63</v>
      </c>
    </row>
    <row r="38" spans="1:6" ht="14.25" customHeight="1" x14ac:dyDescent="0.2">
      <c r="A38" s="19">
        <v>3</v>
      </c>
      <c r="B38" s="181" t="s">
        <v>2</v>
      </c>
      <c r="C38" s="182"/>
      <c r="D38" s="14">
        <f>IF(F3="1",SUMIF(Data!A:A,'35'!$A$2,Data!CW:CW),0)</f>
        <v>28128</v>
      </c>
      <c r="E38" s="17">
        <f>IF($F$3="1",SUMIF(Data!$A:$A,$A$2,Data!IQ:IQ),0)</f>
        <v>1467</v>
      </c>
      <c r="F38" s="21">
        <f t="shared" si="3"/>
        <v>0.05</v>
      </c>
    </row>
    <row r="39" spans="1:6" ht="14.25" customHeight="1" x14ac:dyDescent="0.2">
      <c r="A39" s="19">
        <v>4</v>
      </c>
      <c r="B39" s="181" t="s">
        <v>3</v>
      </c>
      <c r="C39" s="182"/>
      <c r="D39" s="14">
        <f>IF(F3="1",SUMIF(Data!A:A,'35'!$A$2,Data!CX:CX),0)</f>
        <v>14416</v>
      </c>
      <c r="E39" s="17">
        <f>IF($F$3="1",SUMIF(Data!$A:$A,$A$2,Data!IR:IR),0)</f>
        <v>1921</v>
      </c>
      <c r="F39" s="21">
        <f t="shared" si="3"/>
        <v>0.13</v>
      </c>
    </row>
    <row r="40" spans="1:6" x14ac:dyDescent="0.2">
      <c r="A40" s="19">
        <v>5</v>
      </c>
      <c r="B40" s="181" t="s">
        <v>4</v>
      </c>
      <c r="C40" s="182"/>
      <c r="D40" s="14">
        <f>IF(F3="1",SUMIF(Data!A:A,'35'!$A$2,Data!CY:CY),0)</f>
        <v>0</v>
      </c>
      <c r="E40" s="17">
        <f>IF($F$3="1",SUMIF(Data!$A:$A,$A$2,Data!IS:IS),0)</f>
        <v>0</v>
      </c>
      <c r="F40" s="21" t="str">
        <f t="shared" si="3"/>
        <v/>
      </c>
    </row>
    <row r="41" spans="1:6" x14ac:dyDescent="0.2">
      <c r="A41" s="19">
        <v>6</v>
      </c>
      <c r="B41" s="181" t="s">
        <v>5</v>
      </c>
      <c r="C41" s="182"/>
      <c r="D41" s="14">
        <f>IF(F3="1",SUMIF(Data!A:A,'35'!$A$2,Data!CZ:CZ),0)</f>
        <v>2160</v>
      </c>
      <c r="E41" s="17">
        <f>IF($F$3="1",SUMIF(Data!$A:$A,$A$2,Data!IT:IT),0)</f>
        <v>234</v>
      </c>
      <c r="F41" s="21">
        <f t="shared" si="3"/>
        <v>0.11</v>
      </c>
    </row>
    <row r="42" spans="1:6" x14ac:dyDescent="0.2">
      <c r="A42" s="19">
        <v>7</v>
      </c>
      <c r="B42" s="181" t="s">
        <v>6</v>
      </c>
      <c r="C42" s="182"/>
      <c r="D42" s="14">
        <f>IF(F3="1",SUMIF(Data!A:A,'35'!$A$2,Data!DA:DA),0)</f>
        <v>26048</v>
      </c>
      <c r="E42" s="17">
        <f>IF($F$3="1",SUMIF(Data!$A:$A,$A$2,Data!IU:IU),0)</f>
        <v>12270</v>
      </c>
      <c r="F42" s="21">
        <f t="shared" si="3"/>
        <v>0.47</v>
      </c>
    </row>
    <row r="43" spans="1:6" x14ac:dyDescent="0.2">
      <c r="A43" s="19">
        <v>8</v>
      </c>
      <c r="B43" s="181" t="s">
        <v>7</v>
      </c>
      <c r="C43" s="182"/>
      <c r="D43" s="14">
        <f>IF(F3="1",SUMIF(Data!A:A,'35'!$A$2,Data!DB:DB),0)</f>
        <v>0</v>
      </c>
      <c r="E43" s="17">
        <f>IF($F$3="1",SUMIF(Data!$A:$A,$A$2,Data!IV:IV),0)</f>
        <v>0</v>
      </c>
      <c r="F43" s="21" t="str">
        <f t="shared" si="3"/>
        <v/>
      </c>
    </row>
    <row r="44" spans="1:6" x14ac:dyDescent="0.2">
      <c r="A44" s="19">
        <v>9</v>
      </c>
      <c r="B44" s="181" t="s">
        <v>8</v>
      </c>
      <c r="C44" s="182"/>
      <c r="D44" s="14">
        <f>IF(F3="1",SUMIF(Data!A:A,'35'!$A$2,Data!DC:DC),0)</f>
        <v>33088</v>
      </c>
      <c r="E44" s="17">
        <f>IF($F$3="1",SUMIF(Data!$A:$A,$A$2,Data!IW:IW),0)</f>
        <v>44034</v>
      </c>
      <c r="F44" s="21">
        <f t="shared" si="3"/>
        <v>1.33</v>
      </c>
    </row>
    <row r="45" spans="1:6" x14ac:dyDescent="0.2">
      <c r="A45" s="19">
        <v>10</v>
      </c>
      <c r="B45" s="181" t="s">
        <v>9</v>
      </c>
      <c r="C45" s="182"/>
      <c r="D45" s="14">
        <f>IF(F3="1",SUMIF(Data!A:A,'35'!$A$2,Data!DD:DD),0)</f>
        <v>0</v>
      </c>
      <c r="E45" s="17">
        <f>IF($F$3="1",SUMIF(Data!$A:$A,$A$2,Data!IX:IX),0)</f>
        <v>0</v>
      </c>
      <c r="F45" s="21" t="str">
        <f t="shared" si="3"/>
        <v/>
      </c>
    </row>
    <row r="46" spans="1:6" x14ac:dyDescent="0.2">
      <c r="A46" s="19">
        <v>11</v>
      </c>
      <c r="B46" s="181" t="s">
        <v>10</v>
      </c>
      <c r="C46" s="182"/>
      <c r="D46" s="14">
        <f>IF(F3="1",SUMIF(Data!A:A,'35'!$A$2,Data!DE:DE),0)</f>
        <v>0</v>
      </c>
      <c r="E46" s="17">
        <f>IF($F$3="1",SUMIF(Data!$A:$A,$A$2,Data!IY:IY),0)</f>
        <v>0</v>
      </c>
      <c r="F46" s="21" t="str">
        <f t="shared" si="3"/>
        <v/>
      </c>
    </row>
    <row r="47" spans="1:6" ht="14.25" customHeight="1" x14ac:dyDescent="0.2">
      <c r="A47" s="19">
        <v>12</v>
      </c>
      <c r="B47" s="181" t="s">
        <v>11</v>
      </c>
      <c r="C47" s="182"/>
      <c r="D47" s="14">
        <f>IF(F3="1",SUMIF(Data!A:A,'35'!$A$2,Data!DF:DF),0)</f>
        <v>87632</v>
      </c>
      <c r="E47" s="17">
        <f>IF($F$3="1",SUMIF(Data!$A:$A,$A$2,Data!IZ:IZ),0)</f>
        <v>5758</v>
      </c>
      <c r="F47" s="21">
        <f t="shared" si="3"/>
        <v>7.0000000000000007E-2</v>
      </c>
    </row>
    <row r="48" spans="1:6" x14ac:dyDescent="0.2">
      <c r="A48" s="19">
        <v>13</v>
      </c>
      <c r="B48" s="181" t="s">
        <v>12</v>
      </c>
      <c r="C48" s="182"/>
      <c r="D48" s="14">
        <f>IF(F3="1",SUMIF(Data!A:A,'35'!$A$2,Data!DG:DG),0)</f>
        <v>3840</v>
      </c>
      <c r="E48" s="17">
        <f>IF($F$3="1",SUMIF(Data!$A:$A,$A$2,Data!JA:JA),0)</f>
        <v>397</v>
      </c>
      <c r="F48" s="21">
        <f t="shared" si="3"/>
        <v>0.1</v>
      </c>
    </row>
    <row r="49" spans="1:6" ht="14.25" customHeight="1" x14ac:dyDescent="0.2">
      <c r="A49" s="19">
        <v>14</v>
      </c>
      <c r="B49" s="181" t="s">
        <v>464</v>
      </c>
      <c r="C49" s="182"/>
      <c r="D49" s="14">
        <f>IF(F3="1",SUMIF(Data!A:A,'35'!$A$2,Data!DH:DH),0)</f>
        <v>0</v>
      </c>
      <c r="E49" s="17">
        <f>IF($F$3="1",SUMIF(Data!$A:$A,$A$2,Data!JB:JB),0)</f>
        <v>0</v>
      </c>
      <c r="F49" s="21" t="str">
        <f t="shared" si="3"/>
        <v/>
      </c>
    </row>
    <row r="50" spans="1:6" x14ac:dyDescent="0.2">
      <c r="A50" s="19">
        <v>15</v>
      </c>
      <c r="B50" s="181" t="s">
        <v>13</v>
      </c>
      <c r="C50" s="182"/>
      <c r="D50" s="14">
        <f>IF(F3="1",SUMIF(Data!A:A,'35'!$A$2,Data!DI:DI),0)</f>
        <v>0</v>
      </c>
      <c r="E50" s="17">
        <f>IF($F$3="1",SUMIF(Data!$A:$A,$A$2,Data!JC:JC),0)</f>
        <v>0</v>
      </c>
      <c r="F50" s="21" t="str">
        <f t="shared" si="3"/>
        <v/>
      </c>
    </row>
    <row r="51" spans="1:6" x14ac:dyDescent="0.2">
      <c r="A51" s="19">
        <v>16</v>
      </c>
      <c r="B51" s="181" t="s">
        <v>14</v>
      </c>
      <c r="C51" s="182"/>
      <c r="D51" s="14">
        <f>IF(F3="1",SUMIF(Data!A:A,'35'!$A$2,Data!DJ:DJ),0)</f>
        <v>7440</v>
      </c>
      <c r="E51" s="17">
        <f>IF($F$3="1",SUMIF(Data!$A:$A,$A$2,Data!JD:JD),0)</f>
        <v>4163</v>
      </c>
      <c r="F51" s="21">
        <f t="shared" si="3"/>
        <v>0.56000000000000005</v>
      </c>
    </row>
    <row r="52" spans="1:6" x14ac:dyDescent="0.2">
      <c r="A52" s="19">
        <v>17</v>
      </c>
      <c r="B52" s="181" t="s">
        <v>15</v>
      </c>
      <c r="C52" s="182"/>
      <c r="D52" s="14">
        <f>IF(F3="1",SUMIF(Data!A:A,'35'!$A$2,Data!DK:DK),0)</f>
        <v>0</v>
      </c>
      <c r="E52" s="17">
        <f>IF($F$3="1",SUMIF(Data!$A:$A,$A$2,Data!JE:JE),0)</f>
        <v>0</v>
      </c>
      <c r="F52" s="21" t="str">
        <f t="shared" si="3"/>
        <v/>
      </c>
    </row>
    <row r="53" spans="1:6" x14ac:dyDescent="0.2">
      <c r="A53" s="19">
        <v>18</v>
      </c>
      <c r="B53" s="181" t="s">
        <v>16</v>
      </c>
      <c r="C53" s="182"/>
      <c r="D53" s="14">
        <f>IF(F3="1",SUMIF(Data!A:A,'35'!$A$2,Data!DL:DL),0)</f>
        <v>78192</v>
      </c>
      <c r="E53" s="17">
        <f>IF($F$3="1",SUMIF(Data!$A:$A,$A$2,Data!JF:JF),0)</f>
        <v>12548</v>
      </c>
      <c r="F53" s="21">
        <f t="shared" si="3"/>
        <v>0.16</v>
      </c>
    </row>
    <row r="54" spans="1:6" x14ac:dyDescent="0.2">
      <c r="A54" s="19">
        <v>19</v>
      </c>
      <c r="B54" s="181" t="s">
        <v>17</v>
      </c>
      <c r="C54" s="182"/>
      <c r="D54" s="14">
        <f>IF(F3="1",SUMIF(Data!A:A,'35'!$A$2,Data!DM:DM),0)</f>
        <v>28176</v>
      </c>
      <c r="E54" s="17">
        <f>IF($F$3="1",SUMIF(Data!$A:$A,$A$2,Data!JG:JG),0)</f>
        <v>5272</v>
      </c>
      <c r="F54" s="21">
        <f t="shared" si="3"/>
        <v>0.19</v>
      </c>
    </row>
    <row r="55" spans="1:6" x14ac:dyDescent="0.2">
      <c r="A55" s="19">
        <v>20</v>
      </c>
      <c r="B55" s="181" t="s">
        <v>18</v>
      </c>
      <c r="C55" s="182"/>
      <c r="D55" s="14">
        <f>IF(F3="1",SUMIF(Data!A:A,'35'!$A$2,Data!DN:DN),0)</f>
        <v>3936</v>
      </c>
      <c r="E55" s="17">
        <f>IF($F$3="1",SUMIF(Data!$A:$A,$A$2,Data!JH:JH),0)</f>
        <v>2812</v>
      </c>
      <c r="F55" s="21">
        <f t="shared" si="3"/>
        <v>0.71</v>
      </c>
    </row>
    <row r="56" spans="1:6" ht="14.25" customHeight="1" x14ac:dyDescent="0.2">
      <c r="A56" s="19">
        <v>21</v>
      </c>
      <c r="B56" s="181" t="s">
        <v>461</v>
      </c>
      <c r="C56" s="182"/>
      <c r="D56" s="14">
        <f>IF(F3="1",SUMIF(Data!A:A,'35'!$A$2,Data!DO:DO),0)</f>
        <v>0</v>
      </c>
      <c r="E56" s="17">
        <f>IF($F$3="1",SUMIF(Data!$A:$A,$A$2,Data!JI:JI),0)</f>
        <v>0</v>
      </c>
      <c r="F56" s="21" t="str">
        <f t="shared" si="3"/>
        <v/>
      </c>
    </row>
    <row r="57" spans="1:6" x14ac:dyDescent="0.2">
      <c r="A57" s="19">
        <v>22</v>
      </c>
      <c r="B57" s="181" t="s">
        <v>19</v>
      </c>
      <c r="C57" s="182"/>
      <c r="D57" s="14">
        <f>IF(F3="1",SUMIF(Data!A:A,'35'!$A$2,Data!DP:DP),0)</f>
        <v>0</v>
      </c>
      <c r="E57" s="17">
        <f>IF($F$3="1",SUMIF(Data!$A:$A,$A$2,Data!JJ:JJ),0)</f>
        <v>0</v>
      </c>
      <c r="F57" s="21" t="str">
        <f t="shared" si="3"/>
        <v/>
      </c>
    </row>
    <row r="58" spans="1:6" x14ac:dyDescent="0.2">
      <c r="A58" s="19">
        <v>23</v>
      </c>
      <c r="B58" s="181" t="s">
        <v>20</v>
      </c>
      <c r="C58" s="182"/>
      <c r="D58" s="14">
        <f>IF(F3="1",SUMIF(Data!A:A,'35'!$A$2,Data!DQ:DQ),0)</f>
        <v>36592</v>
      </c>
      <c r="E58" s="17">
        <f>IF($F$3="1",SUMIF(Data!$A:$A,$A$2,Data!JK:JK),0)</f>
        <v>6578</v>
      </c>
      <c r="F58" s="21">
        <f t="shared" si="3"/>
        <v>0.18</v>
      </c>
    </row>
    <row r="59" spans="1:6" x14ac:dyDescent="0.2">
      <c r="A59" s="19">
        <v>24</v>
      </c>
      <c r="B59" s="181" t="s">
        <v>21</v>
      </c>
      <c r="C59" s="182"/>
      <c r="D59" s="14">
        <f>IF(F3="1",SUMIF(Data!A:A,'35'!$A$2,Data!DR:DR),0)</f>
        <v>432</v>
      </c>
      <c r="E59" s="17">
        <f>IF($F$3="1",SUMIF(Data!$A:$A,$A$2,Data!JL:JL),0)</f>
        <v>394</v>
      </c>
      <c r="F59" s="21">
        <f t="shared" si="3"/>
        <v>0.91</v>
      </c>
    </row>
    <row r="60" spans="1:6" x14ac:dyDescent="0.2">
      <c r="A60" s="19">
        <v>25</v>
      </c>
      <c r="B60" s="181" t="s">
        <v>22</v>
      </c>
      <c r="C60" s="182"/>
      <c r="D60" s="14">
        <f>IF(F3="1",SUMIF(Data!A:A,'35'!$A$2,Data!DS:DS),0)</f>
        <v>50784</v>
      </c>
      <c r="E60" s="17">
        <f>IF($F$3="1",SUMIF(Data!$A:$A,$A$2,Data!JM:JM),0)</f>
        <v>4942</v>
      </c>
      <c r="F60" s="21">
        <f t="shared" si="3"/>
        <v>0.1</v>
      </c>
    </row>
    <row r="61" spans="1:6" x14ac:dyDescent="0.2">
      <c r="A61" s="19">
        <v>26</v>
      </c>
      <c r="B61" s="181" t="s">
        <v>23</v>
      </c>
      <c r="C61" s="182"/>
      <c r="D61" s="14">
        <f>IF(F3="1",SUMIF(Data!A:A,'35'!$A$2,Data!DT:DT),0)</f>
        <v>23856</v>
      </c>
      <c r="E61" s="17">
        <f>IF($F$3="1",SUMIF(Data!$A:$A,$A$2,Data!JN:JN),0)</f>
        <v>9058</v>
      </c>
      <c r="F61" s="21">
        <f t="shared" si="3"/>
        <v>0.38</v>
      </c>
    </row>
    <row r="62" spans="1:6" x14ac:dyDescent="0.2">
      <c r="A62" s="19">
        <v>28</v>
      </c>
      <c r="B62" s="181" t="s">
        <v>24</v>
      </c>
      <c r="C62" s="182"/>
      <c r="D62" s="14">
        <f>IF(F3="1",SUMIF(Data!A:A,'35'!$A$2,Data!DV:DV),0)</f>
        <v>0</v>
      </c>
      <c r="E62" s="17">
        <f>IF($F$3="1",SUMIF(Data!$A:$A,$A$2,Data!JP:JP),0)</f>
        <v>0</v>
      </c>
      <c r="F62" s="21" t="str">
        <f t="shared" si="3"/>
        <v/>
      </c>
    </row>
    <row r="63" spans="1:6" ht="15.75" customHeight="1" thickBot="1" x14ac:dyDescent="0.25">
      <c r="A63" s="22">
        <v>29</v>
      </c>
      <c r="B63" s="183" t="s">
        <v>25</v>
      </c>
      <c r="C63" s="184"/>
      <c r="D63" s="23">
        <f>IF(F3="1",SUMIF(Data!A:A,'35'!$A$2,Data!DW:DW),0)</f>
        <v>0</v>
      </c>
      <c r="E63" s="24">
        <f>IF($F$3="1",SUMIF(Data!$A:$A,$A$2,Data!JQ:JQ),0)</f>
        <v>0</v>
      </c>
      <c r="F63" s="25" t="str">
        <f t="shared" si="3"/>
        <v/>
      </c>
    </row>
    <row r="64" spans="1:6" x14ac:dyDescent="0.2">
      <c r="B64" s="30" t="s">
        <v>35</v>
      </c>
      <c r="C64" s="30"/>
      <c r="D64" s="59">
        <f>SUM(D36:D63)</f>
        <v>435184</v>
      </c>
      <c r="E64" s="31">
        <f>SUM(E36:E63)</f>
        <v>118443</v>
      </c>
      <c r="F64" s="32">
        <f t="shared" si="3"/>
        <v>0.27</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IF(F3="1",SUMIF(Data!A:A,'35'!$A$2,Data!DY:DY),0)</f>
        <v>0</v>
      </c>
      <c r="F67" s="20" t="str">
        <f t="shared" ref="F67:F95" si="4">IF(OR(D67=0,E67=0),"",ROUND(E67/D67,2))</f>
        <v/>
      </c>
    </row>
    <row r="68" spans="1:6" x14ac:dyDescent="0.2">
      <c r="A68" s="19">
        <v>2</v>
      </c>
      <c r="B68" s="181" t="s">
        <v>1</v>
      </c>
      <c r="C68" s="182"/>
      <c r="D68" s="14">
        <f t="shared" ref="D68:D94" si="5">D37</f>
        <v>10464</v>
      </c>
      <c r="E68" s="17">
        <f>IF(F3="1",SUMIF(Data!A:A,'35'!$A$2,Data!DZ:DZ),0)</f>
        <v>36305</v>
      </c>
      <c r="F68" s="21">
        <f t="shared" si="4"/>
        <v>3.47</v>
      </c>
    </row>
    <row r="69" spans="1:6" ht="14.25" customHeight="1" x14ac:dyDescent="0.2">
      <c r="A69" s="19">
        <v>3</v>
      </c>
      <c r="B69" s="181" t="s">
        <v>2</v>
      </c>
      <c r="C69" s="182"/>
      <c r="D69" s="14">
        <f t="shared" si="5"/>
        <v>28128</v>
      </c>
      <c r="E69" s="17">
        <f>IF(F3="1",SUMIF(Data!A:A,'35'!$A$2,Data!EA:EA),0)</f>
        <v>52452</v>
      </c>
      <c r="F69" s="21">
        <f t="shared" si="4"/>
        <v>1.86</v>
      </c>
    </row>
    <row r="70" spans="1:6" ht="14.25" customHeight="1" x14ac:dyDescent="0.2">
      <c r="A70" s="19">
        <v>4</v>
      </c>
      <c r="B70" s="181" t="s">
        <v>3</v>
      </c>
      <c r="C70" s="182"/>
      <c r="D70" s="14">
        <f t="shared" si="5"/>
        <v>14416</v>
      </c>
      <c r="E70" s="17">
        <f>IF(F3="1",SUMIF(Data!A:A,'35'!$A$2,Data!EB:EB),0)</f>
        <v>43367</v>
      </c>
      <c r="F70" s="21">
        <f t="shared" si="4"/>
        <v>3.01</v>
      </c>
    </row>
    <row r="71" spans="1:6" x14ac:dyDescent="0.2">
      <c r="A71" s="19">
        <v>5</v>
      </c>
      <c r="B71" s="181" t="s">
        <v>4</v>
      </c>
      <c r="C71" s="182"/>
      <c r="D71" s="14">
        <f t="shared" si="5"/>
        <v>0</v>
      </c>
      <c r="E71" s="17">
        <f>IF(F3="1",SUMIF(Data!A:A,'35'!$A$2,Data!EC:EC),0)</f>
        <v>0</v>
      </c>
      <c r="F71" s="21" t="str">
        <f t="shared" si="4"/>
        <v/>
      </c>
    </row>
    <row r="72" spans="1:6" x14ac:dyDescent="0.2">
      <c r="A72" s="19">
        <v>6</v>
      </c>
      <c r="B72" s="181" t="s">
        <v>5</v>
      </c>
      <c r="C72" s="182"/>
      <c r="D72" s="14">
        <f t="shared" si="5"/>
        <v>2160</v>
      </c>
      <c r="E72" s="17">
        <f>IF(F3="1",SUMIF(Data!A:A,'35'!$A$2,Data!ED:ED),0)</f>
        <v>1800</v>
      </c>
      <c r="F72" s="21">
        <f t="shared" si="4"/>
        <v>0.83</v>
      </c>
    </row>
    <row r="73" spans="1:6" x14ac:dyDescent="0.2">
      <c r="A73" s="19">
        <v>7</v>
      </c>
      <c r="B73" s="181" t="s">
        <v>6</v>
      </c>
      <c r="C73" s="182"/>
      <c r="D73" s="14">
        <f t="shared" si="5"/>
        <v>26048</v>
      </c>
      <c r="E73" s="17">
        <f>IF(F3="1",SUMIF(Data!A:A,'35'!$A$2,Data!EE:EE),0)</f>
        <v>64947</v>
      </c>
      <c r="F73" s="21">
        <f t="shared" si="4"/>
        <v>2.4900000000000002</v>
      </c>
    </row>
    <row r="74" spans="1:6" x14ac:dyDescent="0.2">
      <c r="A74" s="19">
        <v>8</v>
      </c>
      <c r="B74" s="181" t="s">
        <v>7</v>
      </c>
      <c r="C74" s="182"/>
      <c r="D74" s="14">
        <f t="shared" si="5"/>
        <v>0</v>
      </c>
      <c r="E74" s="17">
        <f>IF(F3="1",SUMIF(Data!A:A,'35'!$A$2,Data!EF:EF),0)</f>
        <v>0</v>
      </c>
      <c r="F74" s="21" t="str">
        <f t="shared" si="4"/>
        <v/>
      </c>
    </row>
    <row r="75" spans="1:6" x14ac:dyDescent="0.2">
      <c r="A75" s="19">
        <v>9</v>
      </c>
      <c r="B75" s="181" t="s">
        <v>8</v>
      </c>
      <c r="C75" s="182"/>
      <c r="D75" s="14">
        <f t="shared" si="5"/>
        <v>33088</v>
      </c>
      <c r="E75" s="17">
        <f>IF(F3="1",SUMIF(Data!A:A,'35'!$A$2,Data!EG:EG),0)</f>
        <v>51229</v>
      </c>
      <c r="F75" s="21">
        <f t="shared" si="4"/>
        <v>1.55</v>
      </c>
    </row>
    <row r="76" spans="1:6" x14ac:dyDescent="0.2">
      <c r="A76" s="19">
        <v>10</v>
      </c>
      <c r="B76" s="181" t="s">
        <v>9</v>
      </c>
      <c r="C76" s="182"/>
      <c r="D76" s="14">
        <f t="shared" si="5"/>
        <v>0</v>
      </c>
      <c r="E76" s="17">
        <f>IF(F3="1",SUMIF(Data!A:A,'35'!$A$2,Data!EH:EH),0)</f>
        <v>0</v>
      </c>
      <c r="F76" s="21" t="str">
        <f t="shared" si="4"/>
        <v/>
      </c>
    </row>
    <row r="77" spans="1:6" x14ac:dyDescent="0.2">
      <c r="A77" s="19">
        <v>11</v>
      </c>
      <c r="B77" s="181" t="s">
        <v>10</v>
      </c>
      <c r="C77" s="182"/>
      <c r="D77" s="14">
        <f t="shared" si="5"/>
        <v>0</v>
      </c>
      <c r="E77" s="17">
        <f>IF(F3="1",SUMIF(Data!A:A,'35'!$A$2,Data!EI:EI),0)</f>
        <v>0</v>
      </c>
      <c r="F77" s="21" t="str">
        <f t="shared" si="4"/>
        <v/>
      </c>
    </row>
    <row r="78" spans="1:6" ht="14.25" customHeight="1" x14ac:dyDescent="0.2">
      <c r="A78" s="19">
        <v>12</v>
      </c>
      <c r="B78" s="181" t="s">
        <v>11</v>
      </c>
      <c r="C78" s="182"/>
      <c r="D78" s="14">
        <f t="shared" si="5"/>
        <v>87632</v>
      </c>
      <c r="E78" s="17">
        <f>IF(F3="1",SUMIF(Data!A:A,'35'!$A$2,Data!EJ:EJ),0)</f>
        <v>191253</v>
      </c>
      <c r="F78" s="21">
        <f t="shared" si="4"/>
        <v>2.1800000000000002</v>
      </c>
    </row>
    <row r="79" spans="1:6" x14ac:dyDescent="0.2">
      <c r="A79" s="19">
        <v>13</v>
      </c>
      <c r="B79" s="181" t="s">
        <v>12</v>
      </c>
      <c r="C79" s="182"/>
      <c r="D79" s="14">
        <f t="shared" si="5"/>
        <v>3840</v>
      </c>
      <c r="E79" s="17">
        <f>IF(F3="1",SUMIF(Data!A:A,'35'!$A$2,Data!EK:EK),0)</f>
        <v>3015</v>
      </c>
      <c r="F79" s="21">
        <f t="shared" si="4"/>
        <v>0.79</v>
      </c>
    </row>
    <row r="80" spans="1:6" ht="14.25" customHeight="1" x14ac:dyDescent="0.2">
      <c r="A80" s="19">
        <v>14</v>
      </c>
      <c r="B80" s="181" t="s">
        <v>464</v>
      </c>
      <c r="C80" s="182"/>
      <c r="D80" s="14">
        <f t="shared" si="5"/>
        <v>0</v>
      </c>
      <c r="E80" s="17">
        <f>IF(F3="1",SUMIF(Data!A:A,'35'!$A$2,Data!EL:EL),0)</f>
        <v>0</v>
      </c>
      <c r="F80" s="21" t="str">
        <f t="shared" si="4"/>
        <v/>
      </c>
    </row>
    <row r="81" spans="1:6" x14ac:dyDescent="0.2">
      <c r="A81" s="19">
        <v>15</v>
      </c>
      <c r="B81" s="181" t="s">
        <v>13</v>
      </c>
      <c r="C81" s="182"/>
      <c r="D81" s="14">
        <f t="shared" si="5"/>
        <v>0</v>
      </c>
      <c r="E81" s="17">
        <f>IF(F3="1",SUMIF(Data!A:A,'35'!$A$2,Data!EM:EM),0)</f>
        <v>0</v>
      </c>
      <c r="F81" s="21" t="str">
        <f t="shared" si="4"/>
        <v/>
      </c>
    </row>
    <row r="82" spans="1:6" x14ac:dyDescent="0.2">
      <c r="A82" s="19">
        <v>16</v>
      </c>
      <c r="B82" s="181" t="s">
        <v>14</v>
      </c>
      <c r="C82" s="182"/>
      <c r="D82" s="14">
        <f t="shared" si="5"/>
        <v>7440</v>
      </c>
      <c r="E82" s="17">
        <f>IF(F3="1",SUMIF(Data!A:A,'35'!$A$2,Data!EN:EN),0)</f>
        <v>16689</v>
      </c>
      <c r="F82" s="21">
        <f t="shared" si="4"/>
        <v>2.2400000000000002</v>
      </c>
    </row>
    <row r="83" spans="1:6" x14ac:dyDescent="0.2">
      <c r="A83" s="19">
        <v>17</v>
      </c>
      <c r="B83" s="181" t="s">
        <v>15</v>
      </c>
      <c r="C83" s="182"/>
      <c r="D83" s="14">
        <f t="shared" si="5"/>
        <v>0</v>
      </c>
      <c r="E83" s="17">
        <f>IF(F3="1",SUMIF(Data!A:A,'35'!$A$2,Data!EO:EO),0)</f>
        <v>0</v>
      </c>
      <c r="F83" s="21" t="str">
        <f t="shared" si="4"/>
        <v/>
      </c>
    </row>
    <row r="84" spans="1:6" x14ac:dyDescent="0.2">
      <c r="A84" s="19">
        <v>18</v>
      </c>
      <c r="B84" s="181" t="s">
        <v>16</v>
      </c>
      <c r="C84" s="182"/>
      <c r="D84" s="14">
        <f t="shared" si="5"/>
        <v>78192</v>
      </c>
      <c r="E84" s="17">
        <f>IF(F3="1",SUMIF(Data!A:A,'35'!$A$2,Data!EP:EP),0)</f>
        <v>164034</v>
      </c>
      <c r="F84" s="21">
        <f t="shared" si="4"/>
        <v>2.1</v>
      </c>
    </row>
    <row r="85" spans="1:6" x14ac:dyDescent="0.2">
      <c r="A85" s="19">
        <v>19</v>
      </c>
      <c r="B85" s="181" t="s">
        <v>17</v>
      </c>
      <c r="C85" s="182"/>
      <c r="D85" s="14">
        <f t="shared" si="5"/>
        <v>28176</v>
      </c>
      <c r="E85" s="17">
        <f>IF(F3="1",SUMIF(Data!A:A,'35'!$A$2,Data!EQ:EQ),0)</f>
        <v>77372</v>
      </c>
      <c r="F85" s="21">
        <f t="shared" si="4"/>
        <v>2.75</v>
      </c>
    </row>
    <row r="86" spans="1:6" x14ac:dyDescent="0.2">
      <c r="A86" s="19">
        <v>20</v>
      </c>
      <c r="B86" s="181" t="s">
        <v>18</v>
      </c>
      <c r="C86" s="182"/>
      <c r="D86" s="14">
        <f t="shared" si="5"/>
        <v>3936</v>
      </c>
      <c r="E86" s="17">
        <f>IF(F3="1",SUMIF(Data!A:A,'35'!$A$2,Data!ER:ER),0)</f>
        <v>32736</v>
      </c>
      <c r="F86" s="21">
        <f t="shared" si="4"/>
        <v>8.32</v>
      </c>
    </row>
    <row r="87" spans="1:6" ht="14.25" customHeight="1" x14ac:dyDescent="0.2">
      <c r="A87" s="19">
        <v>21</v>
      </c>
      <c r="B87" s="181" t="s">
        <v>461</v>
      </c>
      <c r="C87" s="182"/>
      <c r="D87" s="14">
        <f t="shared" si="5"/>
        <v>0</v>
      </c>
      <c r="E87" s="17">
        <f>IF(F3="1",SUMIF(Data!A:A,'35'!$A$2,Data!ES:ES),0)</f>
        <v>0</v>
      </c>
      <c r="F87" s="21" t="str">
        <f t="shared" si="4"/>
        <v/>
      </c>
    </row>
    <row r="88" spans="1:6" x14ac:dyDescent="0.2">
      <c r="A88" s="19">
        <v>22</v>
      </c>
      <c r="B88" s="181" t="s">
        <v>19</v>
      </c>
      <c r="C88" s="182"/>
      <c r="D88" s="14">
        <f t="shared" si="5"/>
        <v>0</v>
      </c>
      <c r="E88" s="17">
        <f>IF(F3="1",SUMIF(Data!A:A,'35'!$A$2,Data!ET:ET),0)</f>
        <v>0</v>
      </c>
      <c r="F88" s="21" t="str">
        <f t="shared" si="4"/>
        <v/>
      </c>
    </row>
    <row r="89" spans="1:6" x14ac:dyDescent="0.2">
      <c r="A89" s="19">
        <v>23</v>
      </c>
      <c r="B89" s="181" t="s">
        <v>20</v>
      </c>
      <c r="C89" s="182"/>
      <c r="D89" s="14">
        <f t="shared" si="5"/>
        <v>36592</v>
      </c>
      <c r="E89" s="17">
        <f>IF(F3="1",SUMIF(Data!A:A,'35'!$A$2,Data!EU:EU),0)</f>
        <v>356847</v>
      </c>
      <c r="F89" s="21">
        <f t="shared" si="4"/>
        <v>9.75</v>
      </c>
    </row>
    <row r="90" spans="1:6" x14ac:dyDescent="0.2">
      <c r="A90" s="19">
        <v>24</v>
      </c>
      <c r="B90" s="181" t="s">
        <v>21</v>
      </c>
      <c r="C90" s="182"/>
      <c r="D90" s="14">
        <f t="shared" si="5"/>
        <v>432</v>
      </c>
      <c r="E90" s="17">
        <f>IF(F3="1",SUMIF(Data!A:A,'35'!$A$2,Data!EV:EV),0)</f>
        <v>1172</v>
      </c>
      <c r="F90" s="21">
        <f t="shared" si="4"/>
        <v>2.71</v>
      </c>
    </row>
    <row r="91" spans="1:6" x14ac:dyDescent="0.2">
      <c r="A91" s="19">
        <v>25</v>
      </c>
      <c r="B91" s="181" t="s">
        <v>22</v>
      </c>
      <c r="C91" s="182"/>
      <c r="D91" s="14">
        <f t="shared" si="5"/>
        <v>50784</v>
      </c>
      <c r="E91" s="17">
        <f>IF(F3="1",SUMIF(Data!A:A,'35'!$A$2,Data!EW:EW),0)</f>
        <v>66322</v>
      </c>
      <c r="F91" s="21">
        <f t="shared" si="4"/>
        <v>1.31</v>
      </c>
    </row>
    <row r="92" spans="1:6" x14ac:dyDescent="0.2">
      <c r="A92" s="19">
        <v>26</v>
      </c>
      <c r="B92" s="181" t="s">
        <v>23</v>
      </c>
      <c r="C92" s="182"/>
      <c r="D92" s="14">
        <f t="shared" si="5"/>
        <v>23856</v>
      </c>
      <c r="E92" s="17">
        <f>IF(F3="1",SUMIF(Data!A:A,'35'!$A$2,Data!EX:EX),0)</f>
        <v>74539</v>
      </c>
      <c r="F92" s="21">
        <f t="shared" si="4"/>
        <v>3.12</v>
      </c>
    </row>
    <row r="93" spans="1:6" x14ac:dyDescent="0.2">
      <c r="A93" s="19">
        <v>28</v>
      </c>
      <c r="B93" s="181" t="s">
        <v>24</v>
      </c>
      <c r="C93" s="182"/>
      <c r="D93" s="14">
        <f t="shared" si="5"/>
        <v>0</v>
      </c>
      <c r="E93" s="17">
        <f>IF(F3="1",SUMIF(Data!A:A,'35'!$A$2,Data!EZ:EZ),0)</f>
        <v>0</v>
      </c>
      <c r="F93" s="21" t="str">
        <f t="shared" si="4"/>
        <v/>
      </c>
    </row>
    <row r="94" spans="1:6" ht="15.75" customHeight="1" thickBot="1" x14ac:dyDescent="0.25">
      <c r="A94" s="22">
        <v>29</v>
      </c>
      <c r="B94" s="183" t="s">
        <v>25</v>
      </c>
      <c r="C94" s="184"/>
      <c r="D94" s="23">
        <f t="shared" si="5"/>
        <v>0</v>
      </c>
      <c r="E94" s="24">
        <f>IF(F3="1",SUMIF(Data!A:A,'35'!$A$2,Data!FA:FA),0)</f>
        <v>0</v>
      </c>
      <c r="F94" s="25" t="str">
        <f t="shared" si="4"/>
        <v/>
      </c>
    </row>
    <row r="95" spans="1:6" x14ac:dyDescent="0.2">
      <c r="B95" s="30" t="s">
        <v>35</v>
      </c>
      <c r="C95" s="30"/>
      <c r="D95" s="59">
        <f>SUM(D67:D94)</f>
        <v>435184</v>
      </c>
      <c r="E95" s="31">
        <f>SUM(E67:E94)</f>
        <v>1234079</v>
      </c>
      <c r="F95" s="32">
        <f t="shared" si="4"/>
        <v>2.84</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IF(F3="1",SUMIF(Data!A:A,'35'!$A$2,Data!AH:AH),0)</f>
        <v>676952</v>
      </c>
      <c r="F98" s="20">
        <f>IF(OR(E98=0,E98=0),"",ROUND(E98/$D$105,2))</f>
        <v>1.56</v>
      </c>
    </row>
    <row r="99" spans="2:6" x14ac:dyDescent="0.2">
      <c r="B99" s="187" t="s">
        <v>31</v>
      </c>
      <c r="C99" s="188"/>
      <c r="D99" s="36"/>
      <c r="E99" s="17">
        <f>IF(F3="1",SUMIF(Data!A:A,'35'!$A$2,Data!AI:AI),0)</f>
        <v>259992</v>
      </c>
      <c r="F99" s="21">
        <f t="shared" ref="F99:F104" si="6">IF(OR(E99=0,E99=0),"",ROUND(E99/$D$105,2))</f>
        <v>0.6</v>
      </c>
    </row>
    <row r="100" spans="2:6" x14ac:dyDescent="0.2">
      <c r="B100" s="187" t="s">
        <v>1078</v>
      </c>
      <c r="C100" s="188"/>
      <c r="D100" s="36"/>
      <c r="E100" s="17">
        <f>IF(F3="1",SUMIF(Data!A:A,'35'!$A$2,Data!AJ:AJ),0)</f>
        <v>88319</v>
      </c>
      <c r="F100" s="21">
        <f t="shared" si="6"/>
        <v>0.2</v>
      </c>
    </row>
    <row r="101" spans="2:6" x14ac:dyDescent="0.2">
      <c r="B101" s="187" t="s">
        <v>1079</v>
      </c>
      <c r="C101" s="188"/>
      <c r="D101" s="36"/>
      <c r="E101" s="17">
        <f>IF(F3="1",SUMIF(Data!A:A,'35'!$A$2,Data!AK:AK),0)</f>
        <v>145617</v>
      </c>
      <c r="F101" s="21">
        <f t="shared" si="6"/>
        <v>0.33</v>
      </c>
    </row>
    <row r="102" spans="2:6" x14ac:dyDescent="0.2">
      <c r="B102" s="187" t="s">
        <v>1080</v>
      </c>
      <c r="C102" s="188"/>
      <c r="D102" s="36"/>
      <c r="E102" s="17">
        <f>IF(F3="1",SUMIF(Data!A:A,'35'!$A$2,Data!AL:AL),0)</f>
        <v>0</v>
      </c>
      <c r="F102" s="21" t="str">
        <f t="shared" si="6"/>
        <v/>
      </c>
    </row>
    <row r="103" spans="2:6" x14ac:dyDescent="0.2">
      <c r="B103" s="189" t="s">
        <v>34</v>
      </c>
      <c r="C103" s="190"/>
      <c r="D103" s="36"/>
      <c r="E103" s="17">
        <f>IF(F3="1",SUMIF(Data!A:A,'35'!$A$2,Data!AM:AM),0)</f>
        <v>0</v>
      </c>
      <c r="F103" s="21" t="str">
        <f t="shared" si="6"/>
        <v/>
      </c>
    </row>
    <row r="104" spans="2:6" ht="15.75" customHeight="1" thickBot="1" x14ac:dyDescent="0.25">
      <c r="B104" s="179" t="s">
        <v>29</v>
      </c>
      <c r="C104" s="180"/>
      <c r="D104" s="37"/>
      <c r="E104" s="24">
        <f>IF(F3="1",SUMIF(Data!A:A,'35'!$A$2,Data!Q:Q),0)</f>
        <v>112640</v>
      </c>
      <c r="F104" s="25">
        <f t="shared" si="6"/>
        <v>0.26</v>
      </c>
    </row>
    <row r="105" spans="2:6" x14ac:dyDescent="0.2">
      <c r="B105" s="30" t="s">
        <v>35</v>
      </c>
      <c r="C105" s="30"/>
      <c r="D105" s="34">
        <f>D95</f>
        <v>435184</v>
      </c>
      <c r="E105" s="31">
        <f>SUM(E98:E104)</f>
        <v>1283520</v>
      </c>
      <c r="F105" s="32">
        <f>IF($D$105=0,"",ROUND(E105/$D$105,2))</f>
        <v>2.95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1234079</v>
      </c>
      <c r="D109" s="15">
        <f>IF(F3="1",SUMIF(Data!$A:$A,$A$2,Data!HJ:HJ),0)</f>
        <v>0</v>
      </c>
      <c r="E109" s="15">
        <f>IF(F3="1",SUMIF(Data!$A:$A,$A$2,Data!IN:IN),0)</f>
        <v>0</v>
      </c>
      <c r="F109" s="47">
        <f>SUM(C109:E109)</f>
        <v>1234079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112640</v>
      </c>
      <c r="E117" s="52"/>
      <c r="F117" s="49">
        <f>SUM(C117:E117)</f>
        <v>112640</v>
      </c>
    </row>
    <row r="118" spans="1:6" x14ac:dyDescent="0.2">
      <c r="B118" s="13" t="s">
        <v>35</v>
      </c>
      <c r="C118" s="4">
        <f>SUM(C109:C116)</f>
        <v>1234079</v>
      </c>
      <c r="D118" s="4">
        <f>SUM(D109:D116)</f>
        <v>0</v>
      </c>
      <c r="E118" s="4">
        <f>SUM(E109:E116)</f>
        <v>0</v>
      </c>
      <c r="F118" s="4">
        <f>SUM(F109:F116)</f>
        <v>1234079</v>
      </c>
    </row>
    <row r="119" spans="1:6" ht="15" thickBot="1" x14ac:dyDescent="0.25"/>
    <row r="120" spans="1:6" ht="15" thickBot="1" x14ac:dyDescent="0.25">
      <c r="B120" s="55" t="s">
        <v>934</v>
      </c>
      <c r="C120" s="53"/>
      <c r="D120" s="53"/>
      <c r="E120" s="53">
        <f>IF(F3="1",SUMIF(Data!A:A,'35'!$A$2,Data!AM:AM),0)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396</v>
      </c>
      <c r="B2" s="58" t="str">
        <f>VLOOKUP(A2,Data!A:G,7,0)</f>
        <v>San Jacinto College District</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6432</v>
      </c>
      <c r="E5" s="15">
        <f>E36+E67+IFERROR($E$105/$D$105*D5,0)</f>
        <v>34536.188812383261</v>
      </c>
      <c r="F5" s="20">
        <f>IF(OR(D5=0,E5=0),"",ROUND(E5/D5,2))</f>
        <v>5.37</v>
      </c>
    </row>
    <row r="6" spans="1:6" x14ac:dyDescent="0.2">
      <c r="A6" s="19">
        <v>2</v>
      </c>
      <c r="B6" s="181" t="s">
        <v>1</v>
      </c>
      <c r="C6" s="182"/>
      <c r="D6" s="14">
        <f t="shared" ref="D6:D32" si="0">D37</f>
        <v>253992</v>
      </c>
      <c r="E6" s="17">
        <f t="shared" ref="E6:E32" si="1">E37+E68+IFERROR($E$105/$D$105*D6,0)</f>
        <v>1309191.608960642</v>
      </c>
      <c r="F6" s="21">
        <f t="shared" ref="F6:F33" si="2">IF(OR(D6=0,E6=0),"",ROUND(E6/D6,2))</f>
        <v>5.15</v>
      </c>
    </row>
    <row r="7" spans="1:6" ht="14.25" customHeight="1" x14ac:dyDescent="0.2">
      <c r="A7" s="19">
        <v>3</v>
      </c>
      <c r="B7" s="181" t="s">
        <v>2</v>
      </c>
      <c r="C7" s="182"/>
      <c r="D7" s="14">
        <f t="shared" si="0"/>
        <v>986888</v>
      </c>
      <c r="E7" s="17">
        <f t="shared" si="1"/>
        <v>5772129.7600552384</v>
      </c>
      <c r="F7" s="21">
        <f t="shared" si="2"/>
        <v>5.85</v>
      </c>
    </row>
    <row r="8" spans="1:6" ht="14.25" customHeight="1" x14ac:dyDescent="0.2">
      <c r="A8" s="19">
        <v>4</v>
      </c>
      <c r="B8" s="181" t="s">
        <v>3</v>
      </c>
      <c r="C8" s="182"/>
      <c r="D8" s="14">
        <f t="shared" si="0"/>
        <v>596798</v>
      </c>
      <c r="E8" s="17">
        <f t="shared" si="1"/>
        <v>3757496.710953468</v>
      </c>
      <c r="F8" s="21">
        <f t="shared" si="2"/>
        <v>6.3</v>
      </c>
    </row>
    <row r="9" spans="1:6" x14ac:dyDescent="0.2">
      <c r="A9" s="19">
        <v>5</v>
      </c>
      <c r="B9" s="181" t="s">
        <v>4</v>
      </c>
      <c r="C9" s="182"/>
      <c r="D9" s="14">
        <f t="shared" si="0"/>
        <v>66227</v>
      </c>
      <c r="E9" s="17">
        <f t="shared" si="1"/>
        <v>1077795.2185133251</v>
      </c>
      <c r="F9" s="21">
        <f t="shared" si="2"/>
        <v>16.27</v>
      </c>
    </row>
    <row r="10" spans="1:6" x14ac:dyDescent="0.2">
      <c r="A10" s="19">
        <v>6</v>
      </c>
      <c r="B10" s="181" t="s">
        <v>5</v>
      </c>
      <c r="C10" s="182"/>
      <c r="D10" s="14">
        <f t="shared" si="0"/>
        <v>47650</v>
      </c>
      <c r="E10" s="17">
        <f t="shared" si="1"/>
        <v>467046.2218454699</v>
      </c>
      <c r="F10" s="21">
        <f t="shared" si="2"/>
        <v>9.8000000000000007</v>
      </c>
    </row>
    <row r="11" spans="1:6" x14ac:dyDescent="0.2">
      <c r="A11" s="19">
        <v>7</v>
      </c>
      <c r="B11" s="181" t="s">
        <v>6</v>
      </c>
      <c r="C11" s="182"/>
      <c r="D11" s="14">
        <f t="shared" si="0"/>
        <v>548392</v>
      </c>
      <c r="E11" s="17">
        <f t="shared" si="1"/>
        <v>4210149.8232587818</v>
      </c>
      <c r="F11" s="21">
        <f t="shared" si="2"/>
        <v>7.68</v>
      </c>
    </row>
    <row r="12" spans="1:6" x14ac:dyDescent="0.2">
      <c r="A12" s="19">
        <v>8</v>
      </c>
      <c r="B12" s="181" t="s">
        <v>7</v>
      </c>
      <c r="C12" s="182"/>
      <c r="D12" s="14">
        <f t="shared" si="0"/>
        <v>82860</v>
      </c>
      <c r="E12" s="17">
        <f t="shared" si="1"/>
        <v>479148.78871176572</v>
      </c>
      <c r="F12" s="21">
        <f t="shared" si="2"/>
        <v>5.78</v>
      </c>
    </row>
    <row r="13" spans="1:6" x14ac:dyDescent="0.2">
      <c r="A13" s="19">
        <v>9</v>
      </c>
      <c r="B13" s="181" t="s">
        <v>8</v>
      </c>
      <c r="C13" s="182"/>
      <c r="D13" s="14">
        <f t="shared" si="0"/>
        <v>559584</v>
      </c>
      <c r="E13" s="17">
        <f t="shared" si="1"/>
        <v>3852625.4266773439</v>
      </c>
      <c r="F13" s="21">
        <f t="shared" si="2"/>
        <v>6.88</v>
      </c>
    </row>
    <row r="14" spans="1:6" x14ac:dyDescent="0.2">
      <c r="A14" s="19">
        <v>10</v>
      </c>
      <c r="B14" s="181" t="s">
        <v>9</v>
      </c>
      <c r="C14" s="182"/>
      <c r="D14" s="14">
        <f t="shared" si="0"/>
        <v>87342</v>
      </c>
      <c r="E14" s="17">
        <f t="shared" si="1"/>
        <v>1316863.0219606932</v>
      </c>
      <c r="F14" s="21">
        <f t="shared" si="2"/>
        <v>15.08</v>
      </c>
    </row>
    <row r="15" spans="1:6" x14ac:dyDescent="0.2">
      <c r="A15" s="19">
        <v>11</v>
      </c>
      <c r="B15" s="181" t="s">
        <v>10</v>
      </c>
      <c r="C15" s="182"/>
      <c r="D15" s="14">
        <f t="shared" si="0"/>
        <v>126386</v>
      </c>
      <c r="E15" s="17">
        <f t="shared" si="1"/>
        <v>1414226.6799194452</v>
      </c>
      <c r="F15" s="21">
        <f t="shared" si="2"/>
        <v>11.19</v>
      </c>
    </row>
    <row r="16" spans="1:6" ht="14.25" customHeight="1" x14ac:dyDescent="0.2">
      <c r="A16" s="19">
        <v>12</v>
      </c>
      <c r="B16" s="181" t="s">
        <v>11</v>
      </c>
      <c r="C16" s="182"/>
      <c r="D16" s="14">
        <f t="shared" si="0"/>
        <v>1372886</v>
      </c>
      <c r="E16" s="17">
        <f t="shared" si="1"/>
        <v>8531034.9670207724</v>
      </c>
      <c r="F16" s="21">
        <f t="shared" si="2"/>
        <v>6.21</v>
      </c>
    </row>
    <row r="17" spans="1:6" x14ac:dyDescent="0.2">
      <c r="A17" s="19">
        <v>13</v>
      </c>
      <c r="B17" s="181" t="s">
        <v>12</v>
      </c>
      <c r="C17" s="182"/>
      <c r="D17" s="14">
        <f t="shared" si="0"/>
        <v>98856</v>
      </c>
      <c r="E17" s="17">
        <f t="shared" si="1"/>
        <v>613851.35342614423</v>
      </c>
      <c r="F17" s="21">
        <f t="shared" si="2"/>
        <v>6.21</v>
      </c>
    </row>
    <row r="18" spans="1:6" ht="14.25" customHeight="1" x14ac:dyDescent="0.2">
      <c r="A18" s="19">
        <v>14</v>
      </c>
      <c r="B18" s="181" t="s">
        <v>464</v>
      </c>
      <c r="C18" s="182"/>
      <c r="D18" s="14">
        <f t="shared" si="0"/>
        <v>305312</v>
      </c>
      <c r="E18" s="17">
        <f t="shared" si="1"/>
        <v>2455339.7933281031</v>
      </c>
      <c r="F18" s="21">
        <f t="shared" si="2"/>
        <v>8.0399999999999991</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547768</v>
      </c>
      <c r="E20" s="17">
        <f t="shared" si="1"/>
        <v>4315735.7974784756</v>
      </c>
      <c r="F20" s="21">
        <f t="shared" si="2"/>
        <v>7.88</v>
      </c>
    </row>
    <row r="21" spans="1:6" x14ac:dyDescent="0.2">
      <c r="A21" s="19">
        <v>17</v>
      </c>
      <c r="B21" s="181" t="s">
        <v>15</v>
      </c>
      <c r="C21" s="182"/>
      <c r="D21" s="14">
        <f t="shared" si="0"/>
        <v>16480</v>
      </c>
      <c r="E21" s="17">
        <f t="shared" si="1"/>
        <v>211577.57830038498</v>
      </c>
      <c r="F21" s="21">
        <f t="shared" si="2"/>
        <v>12.84</v>
      </c>
    </row>
    <row r="22" spans="1:6" x14ac:dyDescent="0.2">
      <c r="A22" s="19">
        <v>18</v>
      </c>
      <c r="B22" s="181" t="s">
        <v>16</v>
      </c>
      <c r="C22" s="182"/>
      <c r="D22" s="14">
        <f t="shared" si="0"/>
        <v>316100</v>
      </c>
      <c r="E22" s="17">
        <f t="shared" si="1"/>
        <v>2172597.1044145445</v>
      </c>
      <c r="F22" s="21">
        <f t="shared" si="2"/>
        <v>6.87</v>
      </c>
    </row>
    <row r="23" spans="1:6" x14ac:dyDescent="0.2">
      <c r="A23" s="19">
        <v>19</v>
      </c>
      <c r="B23" s="181" t="s">
        <v>17</v>
      </c>
      <c r="C23" s="182"/>
      <c r="D23" s="14">
        <f t="shared" si="0"/>
        <v>1152752</v>
      </c>
      <c r="E23" s="17">
        <f t="shared" si="1"/>
        <v>6915695.0357357636</v>
      </c>
      <c r="F23" s="21">
        <f t="shared" si="2"/>
        <v>6</v>
      </c>
    </row>
    <row r="24" spans="1:6" x14ac:dyDescent="0.2">
      <c r="A24" s="19">
        <v>20</v>
      </c>
      <c r="B24" s="181" t="s">
        <v>18</v>
      </c>
      <c r="C24" s="182"/>
      <c r="D24" s="14">
        <f t="shared" si="0"/>
        <v>211824</v>
      </c>
      <c r="E24" s="17">
        <f t="shared" si="1"/>
        <v>1856722.1360376668</v>
      </c>
      <c r="F24" s="21">
        <f t="shared" si="2"/>
        <v>8.77</v>
      </c>
    </row>
    <row r="25" spans="1:6" ht="14.25" customHeight="1" x14ac:dyDescent="0.2">
      <c r="A25" s="19">
        <v>21</v>
      </c>
      <c r="B25" s="181" t="s">
        <v>461</v>
      </c>
      <c r="C25" s="182"/>
      <c r="D25" s="14">
        <f t="shared" si="0"/>
        <v>60163</v>
      </c>
      <c r="E25" s="17">
        <f t="shared" si="1"/>
        <v>890120.14746881439</v>
      </c>
      <c r="F25" s="21">
        <f t="shared" si="2"/>
        <v>14.8</v>
      </c>
    </row>
    <row r="26" spans="1:6" x14ac:dyDescent="0.2">
      <c r="A26" s="19">
        <v>22</v>
      </c>
      <c r="B26" s="181" t="s">
        <v>19</v>
      </c>
      <c r="C26" s="182"/>
      <c r="D26" s="14">
        <f t="shared" si="0"/>
        <v>9808</v>
      </c>
      <c r="E26" s="17">
        <f t="shared" si="1"/>
        <v>43656.225726345627</v>
      </c>
      <c r="F26" s="21">
        <f t="shared" si="2"/>
        <v>4.45</v>
      </c>
    </row>
    <row r="27" spans="1:6" x14ac:dyDescent="0.2">
      <c r="A27" s="19">
        <v>23</v>
      </c>
      <c r="B27" s="181" t="s">
        <v>20</v>
      </c>
      <c r="C27" s="182"/>
      <c r="D27" s="14">
        <f t="shared" si="0"/>
        <v>376464</v>
      </c>
      <c r="E27" s="17">
        <f t="shared" si="1"/>
        <v>2809473.4765337454</v>
      </c>
      <c r="F27" s="21">
        <f t="shared" si="2"/>
        <v>7.46</v>
      </c>
    </row>
    <row r="28" spans="1:6" x14ac:dyDescent="0.2">
      <c r="A28" s="19">
        <v>24</v>
      </c>
      <c r="B28" s="181" t="s">
        <v>21</v>
      </c>
      <c r="C28" s="182"/>
      <c r="D28" s="14">
        <f t="shared" si="0"/>
        <v>172062</v>
      </c>
      <c r="E28" s="17">
        <f t="shared" si="1"/>
        <v>1197385.8298252937</v>
      </c>
      <c r="F28" s="21">
        <f t="shared" si="2"/>
        <v>6.96</v>
      </c>
    </row>
    <row r="29" spans="1:6" x14ac:dyDescent="0.2">
      <c r="A29" s="19">
        <v>25</v>
      </c>
      <c r="B29" s="181" t="s">
        <v>22</v>
      </c>
      <c r="C29" s="182"/>
      <c r="D29" s="14">
        <f t="shared" si="0"/>
        <v>1367082</v>
      </c>
      <c r="E29" s="17">
        <f t="shared" si="1"/>
        <v>7602614.4900513887</v>
      </c>
      <c r="F29" s="21">
        <f t="shared" si="2"/>
        <v>5.56</v>
      </c>
    </row>
    <row r="30" spans="1:6" x14ac:dyDescent="0.2">
      <c r="A30" s="19">
        <v>26</v>
      </c>
      <c r="B30" s="181" t="s">
        <v>23</v>
      </c>
      <c r="C30" s="182"/>
      <c r="D30" s="14">
        <f t="shared" si="0"/>
        <v>489007</v>
      </c>
      <c r="E30" s="17">
        <f t="shared" si="1"/>
        <v>3765777.614984002</v>
      </c>
      <c r="F30" s="21">
        <f t="shared" si="2"/>
        <v>7.7</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9859115</v>
      </c>
      <c r="E33" s="31">
        <f>SUM(E5:E32)</f>
        <v>67072791</v>
      </c>
      <c r="F33" s="32">
        <f t="shared" si="2"/>
        <v>6.8</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IF(F3="1",SUMIF(Data!A:A,'36'!$A$2,Data!CU:CU),0)</f>
        <v>6432</v>
      </c>
      <c r="E36" s="15">
        <f>IF(F3="1",SUMIF(Data!$A:$A,$A$2,Data!IO:IO),0)</f>
        <v>341</v>
      </c>
      <c r="F36" s="20">
        <f t="shared" ref="F36:F64" si="3">IF(OR(D36=0,E36=0),"",ROUND(E36/D36,2))</f>
        <v>0.05</v>
      </c>
    </row>
    <row r="37" spans="1:6" x14ac:dyDescent="0.2">
      <c r="A37" s="19">
        <v>2</v>
      </c>
      <c r="B37" s="181" t="s">
        <v>1</v>
      </c>
      <c r="C37" s="182"/>
      <c r="D37" s="14">
        <f>IF(F3="1",SUMIF(Data!A:A,'36'!$A$2,Data!CV:CV),0)</f>
        <v>253992</v>
      </c>
      <c r="E37" s="17">
        <f>IF(F3="1",SUMIF(Data!$A:$A,$A$2,Data!IP:IP),0)</f>
        <v>233316</v>
      </c>
      <c r="F37" s="21">
        <f t="shared" si="3"/>
        <v>0.92</v>
      </c>
    </row>
    <row r="38" spans="1:6" ht="14.25" customHeight="1" x14ac:dyDescent="0.2">
      <c r="A38" s="19">
        <v>3</v>
      </c>
      <c r="B38" s="181" t="s">
        <v>2</v>
      </c>
      <c r="C38" s="182"/>
      <c r="D38" s="14">
        <f>IF(F3="1",SUMIF(Data!A:A,'36'!$A$2,Data!CW:CW),0)</f>
        <v>986888</v>
      </c>
      <c r="E38" s="17">
        <f>IF($F$3="1",SUMIF(Data!$A:$A,$A$2,Data!IQ:IQ),0)</f>
        <v>525442</v>
      </c>
      <c r="F38" s="21">
        <f t="shared" si="3"/>
        <v>0.53</v>
      </c>
    </row>
    <row r="39" spans="1:6" ht="14.25" customHeight="1" x14ac:dyDescent="0.2">
      <c r="A39" s="19">
        <v>4</v>
      </c>
      <c r="B39" s="181" t="s">
        <v>3</v>
      </c>
      <c r="C39" s="182"/>
      <c r="D39" s="14">
        <f>IF(F3="1",SUMIF(Data!A:A,'36'!$A$2,Data!CX:CX),0)</f>
        <v>596798</v>
      </c>
      <c r="E39" s="17">
        <f>IF($F$3="1",SUMIF(Data!$A:$A,$A$2,Data!IR:IR),0)</f>
        <v>503147</v>
      </c>
      <c r="F39" s="21">
        <f t="shared" si="3"/>
        <v>0.84</v>
      </c>
    </row>
    <row r="40" spans="1:6" x14ac:dyDescent="0.2">
      <c r="A40" s="19">
        <v>5</v>
      </c>
      <c r="B40" s="181" t="s">
        <v>4</v>
      </c>
      <c r="C40" s="182"/>
      <c r="D40" s="14">
        <f>IF(F3="1",SUMIF(Data!A:A,'36'!$A$2,Data!CY:CY),0)</f>
        <v>66227</v>
      </c>
      <c r="E40" s="17">
        <f>IF($F$3="1",SUMIF(Data!$A:$A,$A$2,Data!IS:IS),0)</f>
        <v>615400</v>
      </c>
      <c r="F40" s="21">
        <f t="shared" si="3"/>
        <v>9.2899999999999991</v>
      </c>
    </row>
    <row r="41" spans="1:6" x14ac:dyDescent="0.2">
      <c r="A41" s="19">
        <v>6</v>
      </c>
      <c r="B41" s="181" t="s">
        <v>5</v>
      </c>
      <c r="C41" s="182"/>
      <c r="D41" s="14">
        <f>IF(F3="1",SUMIF(Data!A:A,'36'!$A$2,Data!CZ:CZ),0)</f>
        <v>47650</v>
      </c>
      <c r="E41" s="17">
        <f>IF($F$3="1",SUMIF(Data!$A:$A,$A$2,Data!IT:IT),0)</f>
        <v>102490</v>
      </c>
      <c r="F41" s="21">
        <f t="shared" si="3"/>
        <v>2.15</v>
      </c>
    </row>
    <row r="42" spans="1:6" x14ac:dyDescent="0.2">
      <c r="A42" s="19">
        <v>7</v>
      </c>
      <c r="B42" s="181" t="s">
        <v>6</v>
      </c>
      <c r="C42" s="182"/>
      <c r="D42" s="14">
        <f>IF(F3="1",SUMIF(Data!A:A,'36'!$A$2,Data!DA:DA),0)</f>
        <v>548392</v>
      </c>
      <c r="E42" s="17">
        <f>IF($F$3="1",SUMIF(Data!$A:$A,$A$2,Data!IU:IU),0)</f>
        <v>958297</v>
      </c>
      <c r="F42" s="21">
        <f t="shared" si="3"/>
        <v>1.75</v>
      </c>
    </row>
    <row r="43" spans="1:6" x14ac:dyDescent="0.2">
      <c r="A43" s="19">
        <v>8</v>
      </c>
      <c r="B43" s="181" t="s">
        <v>7</v>
      </c>
      <c r="C43" s="182"/>
      <c r="D43" s="14">
        <f>IF(F3="1",SUMIF(Data!A:A,'36'!$A$2,Data!DB:DB),0)</f>
        <v>82860</v>
      </c>
      <c r="E43" s="17">
        <f>IF($F$3="1",SUMIF(Data!$A:$A,$A$2,Data!IV:IV),0)</f>
        <v>14861</v>
      </c>
      <c r="F43" s="21">
        <f t="shared" si="3"/>
        <v>0.18</v>
      </c>
    </row>
    <row r="44" spans="1:6" x14ac:dyDescent="0.2">
      <c r="A44" s="19">
        <v>9</v>
      </c>
      <c r="B44" s="181" t="s">
        <v>8</v>
      </c>
      <c r="C44" s="182"/>
      <c r="D44" s="14">
        <f>IF(F3="1",SUMIF(Data!A:A,'36'!$A$2,Data!DC:DC),0)</f>
        <v>559584</v>
      </c>
      <c r="E44" s="17">
        <f>IF($F$3="1",SUMIF(Data!$A:$A,$A$2,Data!IW:IW),0)</f>
        <v>513491</v>
      </c>
      <c r="F44" s="21">
        <f t="shared" si="3"/>
        <v>0.92</v>
      </c>
    </row>
    <row r="45" spans="1:6" x14ac:dyDescent="0.2">
      <c r="A45" s="19">
        <v>10</v>
      </c>
      <c r="B45" s="181" t="s">
        <v>9</v>
      </c>
      <c r="C45" s="182"/>
      <c r="D45" s="14">
        <f>IF(F3="1",SUMIF(Data!A:A,'36'!$A$2,Data!DD:DD),0)</f>
        <v>87342</v>
      </c>
      <c r="E45" s="17">
        <f>IF($F$3="1",SUMIF(Data!$A:$A,$A$2,Data!IX:IX),0)</f>
        <v>554539</v>
      </c>
      <c r="F45" s="21">
        <f t="shared" si="3"/>
        <v>6.35</v>
      </c>
    </row>
    <row r="46" spans="1:6" x14ac:dyDescent="0.2">
      <c r="A46" s="19">
        <v>11</v>
      </c>
      <c r="B46" s="181" t="s">
        <v>10</v>
      </c>
      <c r="C46" s="182"/>
      <c r="D46" s="14">
        <f>IF(F3="1",SUMIF(Data!A:A,'36'!$A$2,Data!DE:DE),0)</f>
        <v>126386</v>
      </c>
      <c r="E46" s="17">
        <f>IF($F$3="1",SUMIF(Data!$A:$A,$A$2,Data!IY:IY),0)</f>
        <v>311122</v>
      </c>
      <c r="F46" s="21">
        <f t="shared" si="3"/>
        <v>2.46</v>
      </c>
    </row>
    <row r="47" spans="1:6" ht="14.25" customHeight="1" x14ac:dyDescent="0.2">
      <c r="A47" s="19">
        <v>12</v>
      </c>
      <c r="B47" s="181" t="s">
        <v>11</v>
      </c>
      <c r="C47" s="182"/>
      <c r="D47" s="14">
        <f>IF(F3="1",SUMIF(Data!A:A,'36'!$A$2,Data!DF:DF),0)</f>
        <v>1372886</v>
      </c>
      <c r="E47" s="17">
        <f>IF($F$3="1",SUMIF(Data!$A:$A,$A$2,Data!IZ:IZ),0)</f>
        <v>601315</v>
      </c>
      <c r="F47" s="21">
        <f t="shared" si="3"/>
        <v>0.44</v>
      </c>
    </row>
    <row r="48" spans="1:6" x14ac:dyDescent="0.2">
      <c r="A48" s="19">
        <v>13</v>
      </c>
      <c r="B48" s="181" t="s">
        <v>12</v>
      </c>
      <c r="C48" s="182"/>
      <c r="D48" s="14">
        <f>IF(F3="1",SUMIF(Data!A:A,'36'!$A$2,Data!DG:DG),0)</f>
        <v>98856</v>
      </c>
      <c r="E48" s="17">
        <f>IF($F$3="1",SUMIF(Data!$A:$A,$A$2,Data!JA:JA),0)</f>
        <v>57049</v>
      </c>
      <c r="F48" s="21">
        <f t="shared" si="3"/>
        <v>0.57999999999999996</v>
      </c>
    </row>
    <row r="49" spans="1:6" ht="14.25" customHeight="1" x14ac:dyDescent="0.2">
      <c r="A49" s="19">
        <v>14</v>
      </c>
      <c r="B49" s="181" t="s">
        <v>464</v>
      </c>
      <c r="C49" s="182"/>
      <c r="D49" s="14">
        <f>IF(F3="1",SUMIF(Data!A:A,'36'!$A$2,Data!DH:DH),0)</f>
        <v>305312</v>
      </c>
      <c r="E49" s="17">
        <f>IF($F$3="1",SUMIF(Data!$A:$A,$A$2,Data!JB:JB),0)</f>
        <v>195911</v>
      </c>
      <c r="F49" s="21">
        <f t="shared" si="3"/>
        <v>0.64</v>
      </c>
    </row>
    <row r="50" spans="1:6" x14ac:dyDescent="0.2">
      <c r="A50" s="19">
        <v>15</v>
      </c>
      <c r="B50" s="181" t="s">
        <v>13</v>
      </c>
      <c r="C50" s="182"/>
      <c r="D50" s="14">
        <f>IF(F3="1",SUMIF(Data!A:A,'36'!$A$2,Data!DI:DI),0)</f>
        <v>0</v>
      </c>
      <c r="E50" s="17">
        <f>IF($F$3="1",SUMIF(Data!$A:$A,$A$2,Data!JC:JC),0)</f>
        <v>0</v>
      </c>
      <c r="F50" s="21" t="str">
        <f t="shared" si="3"/>
        <v/>
      </c>
    </row>
    <row r="51" spans="1:6" x14ac:dyDescent="0.2">
      <c r="A51" s="19">
        <v>16</v>
      </c>
      <c r="B51" s="181" t="s">
        <v>14</v>
      </c>
      <c r="C51" s="182"/>
      <c r="D51" s="14">
        <f>IF(F3="1",SUMIF(Data!A:A,'36'!$A$2,Data!DJ:DJ),0)</f>
        <v>547768</v>
      </c>
      <c r="E51" s="17">
        <f>IF($F$3="1",SUMIF(Data!$A:$A,$A$2,Data!JD:JD),0)</f>
        <v>511875</v>
      </c>
      <c r="F51" s="21">
        <f t="shared" si="3"/>
        <v>0.93</v>
      </c>
    </row>
    <row r="52" spans="1:6" x14ac:dyDescent="0.2">
      <c r="A52" s="19">
        <v>17</v>
      </c>
      <c r="B52" s="181" t="s">
        <v>15</v>
      </c>
      <c r="C52" s="182"/>
      <c r="D52" s="14">
        <f>IF(F3="1",SUMIF(Data!A:A,'36'!$A$2,Data!DK:DK),0)</f>
        <v>16480</v>
      </c>
      <c r="E52" s="17">
        <f>IF($F$3="1",SUMIF(Data!$A:$A,$A$2,Data!JE:JE),0)</f>
        <v>23000</v>
      </c>
      <c r="F52" s="21">
        <f t="shared" si="3"/>
        <v>1.4</v>
      </c>
    </row>
    <row r="53" spans="1:6" x14ac:dyDescent="0.2">
      <c r="A53" s="19">
        <v>18</v>
      </c>
      <c r="B53" s="181" t="s">
        <v>16</v>
      </c>
      <c r="C53" s="182"/>
      <c r="D53" s="14">
        <f>IF(F3="1",SUMIF(Data!A:A,'36'!$A$2,Data!DL:DL),0)</f>
        <v>316100</v>
      </c>
      <c r="E53" s="17">
        <f>IF($F$3="1",SUMIF(Data!$A:$A,$A$2,Data!JF:JF),0)</f>
        <v>189623</v>
      </c>
      <c r="F53" s="21">
        <f t="shared" si="3"/>
        <v>0.6</v>
      </c>
    </row>
    <row r="54" spans="1:6" x14ac:dyDescent="0.2">
      <c r="A54" s="19">
        <v>19</v>
      </c>
      <c r="B54" s="181" t="s">
        <v>17</v>
      </c>
      <c r="C54" s="182"/>
      <c r="D54" s="14">
        <f>IF(F3="1",SUMIF(Data!A:A,'36'!$A$2,Data!DM:DM),0)</f>
        <v>1152752</v>
      </c>
      <c r="E54" s="17">
        <f>IF($F$3="1",SUMIF(Data!$A:$A,$A$2,Data!JG:JG),0)</f>
        <v>515647</v>
      </c>
      <c r="F54" s="21">
        <f t="shared" si="3"/>
        <v>0.45</v>
      </c>
    </row>
    <row r="55" spans="1:6" x14ac:dyDescent="0.2">
      <c r="A55" s="19">
        <v>20</v>
      </c>
      <c r="B55" s="181" t="s">
        <v>18</v>
      </c>
      <c r="C55" s="182"/>
      <c r="D55" s="14">
        <f>IF(F3="1",SUMIF(Data!A:A,'36'!$A$2,Data!DN:DN),0)</f>
        <v>211824</v>
      </c>
      <c r="E55" s="17">
        <f>IF($F$3="1",SUMIF(Data!$A:$A,$A$2,Data!JH:JH),0)</f>
        <v>345428</v>
      </c>
      <c r="F55" s="21">
        <f t="shared" si="3"/>
        <v>1.63</v>
      </c>
    </row>
    <row r="56" spans="1:6" ht="14.25" customHeight="1" x14ac:dyDescent="0.2">
      <c r="A56" s="19">
        <v>21</v>
      </c>
      <c r="B56" s="181" t="s">
        <v>461</v>
      </c>
      <c r="C56" s="182"/>
      <c r="D56" s="14">
        <f>IF(F3="1",SUMIF(Data!A:A,'36'!$A$2,Data!DO:DO),0)</f>
        <v>60163</v>
      </c>
      <c r="E56" s="17">
        <f>IF($F$3="1",SUMIF(Data!$A:$A,$A$2,Data!JI:JI),0)</f>
        <v>185160</v>
      </c>
      <c r="F56" s="21">
        <f t="shared" si="3"/>
        <v>3.08</v>
      </c>
    </row>
    <row r="57" spans="1:6" x14ac:dyDescent="0.2">
      <c r="A57" s="19">
        <v>22</v>
      </c>
      <c r="B57" s="181" t="s">
        <v>19</v>
      </c>
      <c r="C57" s="182"/>
      <c r="D57" s="14">
        <f>IF(F3="1",SUMIF(Data!A:A,'36'!$A$2,Data!DP:DP),0)</f>
        <v>9808</v>
      </c>
      <c r="E57" s="17">
        <f>IF($F$3="1",SUMIF(Data!$A:$A,$A$2,Data!JJ:JJ),0)</f>
        <v>0</v>
      </c>
      <c r="F57" s="21" t="str">
        <f t="shared" si="3"/>
        <v/>
      </c>
    </row>
    <row r="58" spans="1:6" x14ac:dyDescent="0.2">
      <c r="A58" s="19">
        <v>23</v>
      </c>
      <c r="B58" s="181" t="s">
        <v>20</v>
      </c>
      <c r="C58" s="182"/>
      <c r="D58" s="14">
        <f>IF(F3="1",SUMIF(Data!A:A,'36'!$A$2,Data!DQ:DQ),0)</f>
        <v>376464</v>
      </c>
      <c r="E58" s="17">
        <f>IF($F$3="1",SUMIF(Data!$A:$A,$A$2,Data!JK:JK),0)</f>
        <v>363719</v>
      </c>
      <c r="F58" s="21">
        <f t="shared" si="3"/>
        <v>0.97</v>
      </c>
    </row>
    <row r="59" spans="1:6" x14ac:dyDescent="0.2">
      <c r="A59" s="19">
        <v>24</v>
      </c>
      <c r="B59" s="181" t="s">
        <v>21</v>
      </c>
      <c r="C59" s="182"/>
      <c r="D59" s="14">
        <f>IF(F3="1",SUMIF(Data!A:A,'36'!$A$2,Data!DR:DR),0)</f>
        <v>172062</v>
      </c>
      <c r="E59" s="17">
        <f>IF($F$3="1",SUMIF(Data!$A:$A,$A$2,Data!JL:JL),0)</f>
        <v>144955</v>
      </c>
      <c r="F59" s="21">
        <f t="shared" si="3"/>
        <v>0.84</v>
      </c>
    </row>
    <row r="60" spans="1:6" x14ac:dyDescent="0.2">
      <c r="A60" s="19">
        <v>25</v>
      </c>
      <c r="B60" s="181" t="s">
        <v>22</v>
      </c>
      <c r="C60" s="182"/>
      <c r="D60" s="14">
        <f>IF(F3="1",SUMIF(Data!A:A,'36'!$A$2,Data!DS:DS),0)</f>
        <v>1367082</v>
      </c>
      <c r="E60" s="17">
        <f>IF($F$3="1",SUMIF(Data!$A:$A,$A$2,Data!JM:JM),0)</f>
        <v>408401</v>
      </c>
      <c r="F60" s="21">
        <f t="shared" si="3"/>
        <v>0.3</v>
      </c>
    </row>
    <row r="61" spans="1:6" x14ac:dyDescent="0.2">
      <c r="A61" s="19">
        <v>26</v>
      </c>
      <c r="B61" s="181" t="s">
        <v>23</v>
      </c>
      <c r="C61" s="182"/>
      <c r="D61" s="14">
        <f>IF(F3="1",SUMIF(Data!A:A,'36'!$A$2,Data!DT:DT),0)</f>
        <v>489007</v>
      </c>
      <c r="E61" s="17">
        <f>IF($F$3="1",SUMIF(Data!$A:$A,$A$2,Data!JN:JN),0)</f>
        <v>594772</v>
      </c>
      <c r="F61" s="21">
        <f t="shared" si="3"/>
        <v>1.22</v>
      </c>
    </row>
    <row r="62" spans="1:6" x14ac:dyDescent="0.2">
      <c r="A62" s="19">
        <v>28</v>
      </c>
      <c r="B62" s="181" t="s">
        <v>24</v>
      </c>
      <c r="C62" s="182"/>
      <c r="D62" s="14">
        <f>IF(F3="1",SUMIF(Data!A:A,'36'!$A$2,Data!DV:DV),0)</f>
        <v>0</v>
      </c>
      <c r="E62" s="17">
        <f>IF($F$3="1",SUMIF(Data!$A:$A,$A$2,Data!JP:JP),0)</f>
        <v>0</v>
      </c>
      <c r="F62" s="21" t="str">
        <f t="shared" si="3"/>
        <v/>
      </c>
    </row>
    <row r="63" spans="1:6" ht="15.75" customHeight="1" thickBot="1" x14ac:dyDescent="0.25">
      <c r="A63" s="22">
        <v>29</v>
      </c>
      <c r="B63" s="183" t="s">
        <v>25</v>
      </c>
      <c r="C63" s="184"/>
      <c r="D63" s="23">
        <f>IF(F3="1",SUMIF(Data!A:A,'36'!$A$2,Data!DW:DW),0)</f>
        <v>0</v>
      </c>
      <c r="E63" s="24">
        <f>IF($F$3="1",SUMIF(Data!$A:$A,$A$2,Data!JQ:JQ),0)</f>
        <v>0</v>
      </c>
      <c r="F63" s="25" t="str">
        <f t="shared" si="3"/>
        <v/>
      </c>
    </row>
    <row r="64" spans="1:6" x14ac:dyDescent="0.2">
      <c r="B64" s="30" t="s">
        <v>35</v>
      </c>
      <c r="C64" s="30"/>
      <c r="D64" s="59">
        <f>SUM(D36:D63)</f>
        <v>9859115</v>
      </c>
      <c r="E64" s="31">
        <f>SUM(E36:E63)</f>
        <v>8469301</v>
      </c>
      <c r="F64" s="32">
        <f t="shared" si="3"/>
        <v>0.86</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6432</v>
      </c>
      <c r="E67" s="15">
        <f>IF(F3="1",SUMIF(Data!A:A,'36'!$A$2,Data!DY:DY),0)</f>
        <v>15404</v>
      </c>
      <c r="F67" s="20">
        <f t="shared" ref="F67:F95" si="4">IF(OR(D67=0,E67=0),"",ROUND(E67/D67,2))</f>
        <v>2.39</v>
      </c>
    </row>
    <row r="68" spans="1:6" x14ac:dyDescent="0.2">
      <c r="A68" s="19">
        <v>2</v>
      </c>
      <c r="B68" s="181" t="s">
        <v>1</v>
      </c>
      <c r="C68" s="182"/>
      <c r="D68" s="14">
        <f t="shared" ref="D68:D94" si="5">D37</f>
        <v>253992</v>
      </c>
      <c r="E68" s="17">
        <f>IF(F3="1",SUMIF(Data!A:A,'36'!$A$2,Data!DZ:DZ),0)</f>
        <v>333834</v>
      </c>
      <c r="F68" s="21">
        <f t="shared" si="4"/>
        <v>1.31</v>
      </c>
    </row>
    <row r="69" spans="1:6" ht="14.25" customHeight="1" x14ac:dyDescent="0.2">
      <c r="A69" s="19">
        <v>3</v>
      </c>
      <c r="B69" s="181" t="s">
        <v>2</v>
      </c>
      <c r="C69" s="182"/>
      <c r="D69" s="14">
        <f t="shared" si="5"/>
        <v>986888</v>
      </c>
      <c r="E69" s="17">
        <f>IF(F3="1",SUMIF(Data!A:A,'36'!$A$2,Data!EA:EA),0)</f>
        <v>2363479</v>
      </c>
      <c r="F69" s="21">
        <f t="shared" si="4"/>
        <v>2.39</v>
      </c>
    </row>
    <row r="70" spans="1:6" ht="14.25" customHeight="1" x14ac:dyDescent="0.2">
      <c r="A70" s="19">
        <v>4</v>
      </c>
      <c r="B70" s="181" t="s">
        <v>3</v>
      </c>
      <c r="C70" s="182"/>
      <c r="D70" s="14">
        <f t="shared" si="5"/>
        <v>596798</v>
      </c>
      <c r="E70" s="17">
        <f>IF(F3="1",SUMIF(Data!A:A,'36'!$A$2,Data!EB:EB),0)</f>
        <v>1510795</v>
      </c>
      <c r="F70" s="21">
        <f t="shared" si="4"/>
        <v>2.5299999999999998</v>
      </c>
    </row>
    <row r="71" spans="1:6" x14ac:dyDescent="0.2">
      <c r="A71" s="19">
        <v>5</v>
      </c>
      <c r="B71" s="181" t="s">
        <v>4</v>
      </c>
      <c r="C71" s="182"/>
      <c r="D71" s="14">
        <f t="shared" si="5"/>
        <v>66227</v>
      </c>
      <c r="E71" s="17">
        <f>IF(F3="1",SUMIF(Data!A:A,'36'!$A$2,Data!EC:EC),0)</f>
        <v>268912</v>
      </c>
      <c r="F71" s="21">
        <f t="shared" si="4"/>
        <v>4.0599999999999996</v>
      </c>
    </row>
    <row r="72" spans="1:6" x14ac:dyDescent="0.2">
      <c r="A72" s="19">
        <v>6</v>
      </c>
      <c r="B72" s="181" t="s">
        <v>5</v>
      </c>
      <c r="C72" s="182"/>
      <c r="D72" s="14">
        <f t="shared" si="5"/>
        <v>47650</v>
      </c>
      <c r="E72" s="17">
        <f>IF(F3="1",SUMIF(Data!A:A,'36'!$A$2,Data!ED:ED),0)</f>
        <v>225346</v>
      </c>
      <c r="F72" s="21">
        <f t="shared" si="4"/>
        <v>4.7300000000000004</v>
      </c>
    </row>
    <row r="73" spans="1:6" x14ac:dyDescent="0.2">
      <c r="A73" s="19">
        <v>7</v>
      </c>
      <c r="B73" s="181" t="s">
        <v>6</v>
      </c>
      <c r="C73" s="182"/>
      <c r="D73" s="14">
        <f t="shared" si="5"/>
        <v>548392</v>
      </c>
      <c r="E73" s="17">
        <f>IF(F3="1",SUMIF(Data!A:A,'36'!$A$2,Data!EE:EE),0)</f>
        <v>1649717</v>
      </c>
      <c r="F73" s="21">
        <f t="shared" si="4"/>
        <v>3.01</v>
      </c>
    </row>
    <row r="74" spans="1:6" x14ac:dyDescent="0.2">
      <c r="A74" s="19">
        <v>8</v>
      </c>
      <c r="B74" s="181" t="s">
        <v>7</v>
      </c>
      <c r="C74" s="182"/>
      <c r="D74" s="14">
        <f t="shared" si="5"/>
        <v>82860</v>
      </c>
      <c r="E74" s="17">
        <f>IF(F3="1",SUMIF(Data!A:A,'36'!$A$2,Data!EF:EF),0)</f>
        <v>222211</v>
      </c>
      <c r="F74" s="21">
        <f t="shared" si="4"/>
        <v>2.68</v>
      </c>
    </row>
    <row r="75" spans="1:6" x14ac:dyDescent="0.2">
      <c r="A75" s="19">
        <v>9</v>
      </c>
      <c r="B75" s="181" t="s">
        <v>8</v>
      </c>
      <c r="C75" s="182"/>
      <c r="D75" s="14">
        <f t="shared" si="5"/>
        <v>559584</v>
      </c>
      <c r="E75" s="17">
        <f>IF(F3="1",SUMIF(Data!A:A,'36'!$A$2,Data!EG:EG),0)</f>
        <v>1704301</v>
      </c>
      <c r="F75" s="21">
        <f t="shared" si="4"/>
        <v>3.05</v>
      </c>
    </row>
    <row r="76" spans="1:6" x14ac:dyDescent="0.2">
      <c r="A76" s="19">
        <v>10</v>
      </c>
      <c r="B76" s="181" t="s">
        <v>9</v>
      </c>
      <c r="C76" s="182"/>
      <c r="D76" s="14">
        <f t="shared" si="5"/>
        <v>87342</v>
      </c>
      <c r="E76" s="17">
        <f>IF(F3="1",SUMIF(Data!A:A,'36'!$A$2,Data!EH:EH),0)</f>
        <v>507153</v>
      </c>
      <c r="F76" s="21">
        <f t="shared" si="4"/>
        <v>5.81</v>
      </c>
    </row>
    <row r="77" spans="1:6" x14ac:dyDescent="0.2">
      <c r="A77" s="19">
        <v>11</v>
      </c>
      <c r="B77" s="181" t="s">
        <v>10</v>
      </c>
      <c r="C77" s="182"/>
      <c r="D77" s="14">
        <f t="shared" si="5"/>
        <v>126386</v>
      </c>
      <c r="E77" s="17">
        <f>IF(F3="1",SUMIF(Data!A:A,'36'!$A$2,Data!EI:EI),0)</f>
        <v>733866</v>
      </c>
      <c r="F77" s="21">
        <f t="shared" si="4"/>
        <v>5.81</v>
      </c>
    </row>
    <row r="78" spans="1:6" ht="14.25" customHeight="1" x14ac:dyDescent="0.2">
      <c r="A78" s="19">
        <v>12</v>
      </c>
      <c r="B78" s="181" t="s">
        <v>11</v>
      </c>
      <c r="C78" s="182"/>
      <c r="D78" s="14">
        <f t="shared" si="5"/>
        <v>1372886</v>
      </c>
      <c r="E78" s="17">
        <f>IF(F3="1",SUMIF(Data!A:A,'36'!$A$2,Data!EJ:EJ),0)</f>
        <v>3918812</v>
      </c>
      <c r="F78" s="21">
        <f t="shared" si="4"/>
        <v>2.85</v>
      </c>
    </row>
    <row r="79" spans="1:6" x14ac:dyDescent="0.2">
      <c r="A79" s="19">
        <v>13</v>
      </c>
      <c r="B79" s="181" t="s">
        <v>12</v>
      </c>
      <c r="C79" s="182"/>
      <c r="D79" s="14">
        <f t="shared" si="5"/>
        <v>98856</v>
      </c>
      <c r="E79" s="17">
        <f>IF(F3="1",SUMIF(Data!A:A,'36'!$A$2,Data!EK:EK),0)</f>
        <v>267993</v>
      </c>
      <c r="F79" s="21">
        <f t="shared" si="4"/>
        <v>2.71</v>
      </c>
    </row>
    <row r="80" spans="1:6" ht="14.25" customHeight="1" x14ac:dyDescent="0.2">
      <c r="A80" s="19">
        <v>14</v>
      </c>
      <c r="B80" s="181" t="s">
        <v>464</v>
      </c>
      <c r="C80" s="182"/>
      <c r="D80" s="14">
        <f t="shared" si="5"/>
        <v>305312</v>
      </c>
      <c r="E80" s="17">
        <f>IF(F3="1",SUMIF(Data!A:A,'36'!$A$2,Data!EL:EL),0)</f>
        <v>1367455</v>
      </c>
      <c r="F80" s="21">
        <f t="shared" si="4"/>
        <v>4.4800000000000004</v>
      </c>
    </row>
    <row r="81" spans="1:6" x14ac:dyDescent="0.2">
      <c r="A81" s="19">
        <v>15</v>
      </c>
      <c r="B81" s="181" t="s">
        <v>13</v>
      </c>
      <c r="C81" s="182"/>
      <c r="D81" s="14">
        <f t="shared" si="5"/>
        <v>0</v>
      </c>
      <c r="E81" s="17">
        <f>IF(F3="1",SUMIF(Data!A:A,'36'!$A$2,Data!EM:EM),0)</f>
        <v>0</v>
      </c>
      <c r="F81" s="21" t="str">
        <f t="shared" si="4"/>
        <v/>
      </c>
    </row>
    <row r="82" spans="1:6" x14ac:dyDescent="0.2">
      <c r="A82" s="19">
        <v>16</v>
      </c>
      <c r="B82" s="181" t="s">
        <v>14</v>
      </c>
      <c r="C82" s="182"/>
      <c r="D82" s="14">
        <f t="shared" si="5"/>
        <v>547768</v>
      </c>
      <c r="E82" s="17">
        <f>IF(F3="1",SUMIF(Data!A:A,'36'!$A$2,Data!EN:EN),0)</f>
        <v>2203548</v>
      </c>
      <c r="F82" s="21">
        <f t="shared" si="4"/>
        <v>4.0199999999999996</v>
      </c>
    </row>
    <row r="83" spans="1:6" x14ac:dyDescent="0.2">
      <c r="A83" s="19">
        <v>17</v>
      </c>
      <c r="B83" s="181" t="s">
        <v>15</v>
      </c>
      <c r="C83" s="182"/>
      <c r="D83" s="14">
        <f t="shared" si="5"/>
        <v>16480</v>
      </c>
      <c r="E83" s="17">
        <f>IF(F3="1",SUMIF(Data!A:A,'36'!$A$2,Data!EO:EO),0)</f>
        <v>140431</v>
      </c>
      <c r="F83" s="21">
        <f t="shared" si="4"/>
        <v>8.52</v>
      </c>
    </row>
    <row r="84" spans="1:6" x14ac:dyDescent="0.2">
      <c r="A84" s="19">
        <v>18</v>
      </c>
      <c r="B84" s="181" t="s">
        <v>16</v>
      </c>
      <c r="C84" s="182"/>
      <c r="D84" s="14">
        <f t="shared" si="5"/>
        <v>316100</v>
      </c>
      <c r="E84" s="17">
        <f>IF(F3="1",SUMIF(Data!A:A,'36'!$A$2,Data!EP:EP),0)</f>
        <v>1059483</v>
      </c>
      <c r="F84" s="21">
        <f t="shared" si="4"/>
        <v>3.35</v>
      </c>
    </row>
    <row r="85" spans="1:6" x14ac:dyDescent="0.2">
      <c r="A85" s="19">
        <v>19</v>
      </c>
      <c r="B85" s="181" t="s">
        <v>17</v>
      </c>
      <c r="C85" s="182"/>
      <c r="D85" s="14">
        <f t="shared" si="5"/>
        <v>1152752</v>
      </c>
      <c r="E85" s="17">
        <f>IF(F3="1",SUMIF(Data!A:A,'36'!$A$2,Data!EQ:EQ),0)</f>
        <v>3032265</v>
      </c>
      <c r="F85" s="21">
        <f t="shared" si="4"/>
        <v>2.63</v>
      </c>
    </row>
    <row r="86" spans="1:6" x14ac:dyDescent="0.2">
      <c r="A86" s="19">
        <v>20</v>
      </c>
      <c r="B86" s="181" t="s">
        <v>18</v>
      </c>
      <c r="C86" s="182"/>
      <c r="D86" s="14">
        <f t="shared" si="5"/>
        <v>211824</v>
      </c>
      <c r="E86" s="17">
        <f>IF(F3="1",SUMIF(Data!A:A,'36'!$A$2,Data!ER:ER),0)</f>
        <v>892447</v>
      </c>
      <c r="F86" s="21">
        <f t="shared" si="4"/>
        <v>4.21</v>
      </c>
    </row>
    <row r="87" spans="1:6" ht="14.25" customHeight="1" x14ac:dyDescent="0.2">
      <c r="A87" s="19">
        <v>21</v>
      </c>
      <c r="B87" s="181" t="s">
        <v>461</v>
      </c>
      <c r="C87" s="182"/>
      <c r="D87" s="14">
        <f t="shared" si="5"/>
        <v>60163</v>
      </c>
      <c r="E87" s="17">
        <f>IF(F3="1",SUMIF(Data!A:A,'36'!$A$2,Data!ES:ES),0)</f>
        <v>529193</v>
      </c>
      <c r="F87" s="21">
        <f t="shared" si="4"/>
        <v>8.8000000000000007</v>
      </c>
    </row>
    <row r="88" spans="1:6" x14ac:dyDescent="0.2">
      <c r="A88" s="19">
        <v>22</v>
      </c>
      <c r="B88" s="181" t="s">
        <v>19</v>
      </c>
      <c r="C88" s="182"/>
      <c r="D88" s="14">
        <f t="shared" si="5"/>
        <v>9808</v>
      </c>
      <c r="E88" s="17">
        <f>IF(F3="1",SUMIF(Data!A:A,'36'!$A$2,Data!ET:ET),0)</f>
        <v>15002</v>
      </c>
      <c r="F88" s="21">
        <f t="shared" si="4"/>
        <v>1.53</v>
      </c>
    </row>
    <row r="89" spans="1:6" x14ac:dyDescent="0.2">
      <c r="A89" s="19">
        <v>23</v>
      </c>
      <c r="B89" s="181" t="s">
        <v>20</v>
      </c>
      <c r="C89" s="182"/>
      <c r="D89" s="14">
        <f t="shared" si="5"/>
        <v>376464</v>
      </c>
      <c r="E89" s="17">
        <f>IF(F3="1",SUMIF(Data!A:A,'36'!$A$2,Data!EU:EU),0)</f>
        <v>1345909</v>
      </c>
      <c r="F89" s="21">
        <f t="shared" si="4"/>
        <v>3.58</v>
      </c>
    </row>
    <row r="90" spans="1:6" x14ac:dyDescent="0.2">
      <c r="A90" s="19">
        <v>24</v>
      </c>
      <c r="B90" s="181" t="s">
        <v>21</v>
      </c>
      <c r="C90" s="182"/>
      <c r="D90" s="14">
        <f t="shared" si="5"/>
        <v>172062</v>
      </c>
      <c r="E90" s="17">
        <f>IF(F3="1",SUMIF(Data!A:A,'36'!$A$2,Data!EV:EV),0)</f>
        <v>549749</v>
      </c>
      <c r="F90" s="21">
        <f t="shared" si="4"/>
        <v>3.2</v>
      </c>
    </row>
    <row r="91" spans="1:6" x14ac:dyDescent="0.2">
      <c r="A91" s="19">
        <v>25</v>
      </c>
      <c r="B91" s="181" t="s">
        <v>22</v>
      </c>
      <c r="C91" s="182"/>
      <c r="D91" s="14">
        <f t="shared" si="5"/>
        <v>1367082</v>
      </c>
      <c r="E91" s="17">
        <f>IF(F3="1",SUMIF(Data!A:A,'36'!$A$2,Data!EW:EW),0)</f>
        <v>3200262</v>
      </c>
      <c r="F91" s="21">
        <f t="shared" si="4"/>
        <v>2.34</v>
      </c>
    </row>
    <row r="92" spans="1:6" x14ac:dyDescent="0.2">
      <c r="A92" s="19">
        <v>26</v>
      </c>
      <c r="B92" s="181" t="s">
        <v>23</v>
      </c>
      <c r="C92" s="182"/>
      <c r="D92" s="14">
        <f t="shared" si="5"/>
        <v>489007</v>
      </c>
      <c r="E92" s="17">
        <f>IF(F3="1",SUMIF(Data!A:A,'36'!$A$2,Data!EX:EX),0)</f>
        <v>1742364</v>
      </c>
      <c r="F92" s="21">
        <f t="shared" si="4"/>
        <v>3.56</v>
      </c>
    </row>
    <row r="93" spans="1:6" x14ac:dyDescent="0.2">
      <c r="A93" s="19">
        <v>28</v>
      </c>
      <c r="B93" s="181" t="s">
        <v>24</v>
      </c>
      <c r="C93" s="182"/>
      <c r="D93" s="14">
        <f t="shared" si="5"/>
        <v>0</v>
      </c>
      <c r="E93" s="17">
        <f>IF(F3="1",SUMIF(Data!A:A,'36'!$A$2,Data!EZ:EZ),0)</f>
        <v>0</v>
      </c>
      <c r="F93" s="21" t="str">
        <f t="shared" si="4"/>
        <v/>
      </c>
    </row>
    <row r="94" spans="1:6" ht="15.75" customHeight="1" thickBot="1" x14ac:dyDescent="0.25">
      <c r="A94" s="22">
        <v>29</v>
      </c>
      <c r="B94" s="183" t="s">
        <v>25</v>
      </c>
      <c r="C94" s="184"/>
      <c r="D94" s="23">
        <f t="shared" si="5"/>
        <v>0</v>
      </c>
      <c r="E94" s="24">
        <f>IF(F3="1",SUMIF(Data!A:A,'36'!$A$2,Data!FA:FA),0)</f>
        <v>0</v>
      </c>
      <c r="F94" s="25" t="str">
        <f t="shared" si="4"/>
        <v/>
      </c>
    </row>
    <row r="95" spans="1:6" x14ac:dyDescent="0.2">
      <c r="B95" s="30" t="s">
        <v>35</v>
      </c>
      <c r="C95" s="30"/>
      <c r="D95" s="59">
        <f>SUM(D67:D94)</f>
        <v>9859115</v>
      </c>
      <c r="E95" s="31">
        <f>SUM(E67:E94)</f>
        <v>29799931</v>
      </c>
      <c r="F95" s="32">
        <f t="shared" si="4"/>
        <v>3.02</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IF(F3="1",SUMIF(Data!A:A,'36'!$A$2,Data!AH:AH),0)</f>
        <v>10831892</v>
      </c>
      <c r="F98" s="20">
        <f>IF(OR(E98=0,E98=0),"",ROUND(E98/$D$105,2))</f>
        <v>1.1000000000000001</v>
      </c>
    </row>
    <row r="99" spans="2:6" x14ac:dyDescent="0.2">
      <c r="B99" s="187" t="s">
        <v>31</v>
      </c>
      <c r="C99" s="188"/>
      <c r="D99" s="36"/>
      <c r="E99" s="17">
        <f>IF(F3="1",SUMIF(Data!A:A,'36'!$A$2,Data!AI:AI),0)</f>
        <v>6888486</v>
      </c>
      <c r="F99" s="21">
        <f t="shared" ref="F99:F104" si="6">IF(OR(E99=0,E99=0),"",ROUND(E99/$D$105,2))</f>
        <v>0.7</v>
      </c>
    </row>
    <row r="100" spans="2:6" x14ac:dyDescent="0.2">
      <c r="B100" s="187" t="s">
        <v>1078</v>
      </c>
      <c r="C100" s="188"/>
      <c r="D100" s="36"/>
      <c r="E100" s="17">
        <f>IF(F3="1",SUMIF(Data!A:A,'36'!$A$2,Data!AJ:AJ),0)</f>
        <v>2046610</v>
      </c>
      <c r="F100" s="21">
        <f t="shared" si="6"/>
        <v>0.21</v>
      </c>
    </row>
    <row r="101" spans="2:6" x14ac:dyDescent="0.2">
      <c r="B101" s="187" t="s">
        <v>1079</v>
      </c>
      <c r="C101" s="188"/>
      <c r="D101" s="36"/>
      <c r="E101" s="17">
        <f>IF(F3="1",SUMIF(Data!A:A,'36'!$A$2,Data!AK:AK),0)</f>
        <v>4568821</v>
      </c>
      <c r="F101" s="21">
        <f t="shared" si="6"/>
        <v>0.46</v>
      </c>
    </row>
    <row r="102" spans="2:6" x14ac:dyDescent="0.2">
      <c r="B102" s="187" t="s">
        <v>1080</v>
      </c>
      <c r="C102" s="188"/>
      <c r="D102" s="36"/>
      <c r="E102" s="17">
        <f>IF(F3="1",SUMIF(Data!A:A,'36'!$A$2,Data!AL:AL),0)</f>
        <v>0</v>
      </c>
      <c r="F102" s="21" t="str">
        <f t="shared" si="6"/>
        <v/>
      </c>
    </row>
    <row r="103" spans="2:6" x14ac:dyDescent="0.2">
      <c r="B103" s="189" t="s">
        <v>34</v>
      </c>
      <c r="C103" s="190"/>
      <c r="D103" s="36"/>
      <c r="E103" s="17">
        <f>IF(F3="1",SUMIF(Data!A:A,'36'!$A$2,Data!AM:AM),0)</f>
        <v>0</v>
      </c>
      <c r="F103" s="21" t="str">
        <f t="shared" si="6"/>
        <v/>
      </c>
    </row>
    <row r="104" spans="2:6" ht="15.75" customHeight="1" thickBot="1" x14ac:dyDescent="0.25">
      <c r="B104" s="179" t="s">
        <v>29</v>
      </c>
      <c r="C104" s="180"/>
      <c r="D104" s="37"/>
      <c r="E104" s="24">
        <f>IF(F3="1",SUMIF(Data!A:A,'36'!$A$2,Data!Q:Q),0)</f>
        <v>4467750</v>
      </c>
      <c r="F104" s="25">
        <f t="shared" si="6"/>
        <v>0.45</v>
      </c>
    </row>
    <row r="105" spans="2:6" x14ac:dyDescent="0.2">
      <c r="B105" s="30" t="s">
        <v>35</v>
      </c>
      <c r="C105" s="30"/>
      <c r="D105" s="34">
        <f>D95</f>
        <v>9859115</v>
      </c>
      <c r="E105" s="31">
        <f>SUM(E98:E104)</f>
        <v>28803559</v>
      </c>
      <c r="F105" s="32">
        <f>IF($D$105=0,"",ROUND(E105/$D$105,2))</f>
        <v>2.92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29799931</v>
      </c>
      <c r="D109" s="15">
        <f>IF(F3="1",SUMIF(Data!$A:$A,$A$2,Data!HJ:HJ),0)</f>
        <v>0</v>
      </c>
      <c r="E109" s="15">
        <f>IF(F3="1",SUMIF(Data!$A:$A,$A$2,Data!IN:IN),0)</f>
        <v>0</v>
      </c>
      <c r="F109" s="47">
        <f>SUM(C109:E109)</f>
        <v>29799931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4467750</v>
      </c>
      <c r="E117" s="52"/>
      <c r="F117" s="49">
        <f>SUM(C117:E117)</f>
        <v>4467750</v>
      </c>
    </row>
    <row r="118" spans="1:6" x14ac:dyDescent="0.2">
      <c r="B118" s="13" t="s">
        <v>35</v>
      </c>
      <c r="C118" s="4">
        <f>SUM(C109:C116)</f>
        <v>29799931</v>
      </c>
      <c r="D118" s="4">
        <f>SUM(D109:D116)</f>
        <v>0</v>
      </c>
      <c r="E118" s="4">
        <f>SUM(E109:E116)</f>
        <v>0</v>
      </c>
      <c r="F118" s="4">
        <f>SUM(F109:F116)</f>
        <v>29799931</v>
      </c>
    </row>
    <row r="119" spans="1:6" ht="15" thickBot="1" x14ac:dyDescent="0.25"/>
    <row r="120" spans="1:6" ht="15" thickBot="1" x14ac:dyDescent="0.25">
      <c r="B120" s="55" t="s">
        <v>934</v>
      </c>
      <c r="C120" s="53"/>
      <c r="D120" s="53"/>
      <c r="E120" s="53">
        <f>IF(F3="1",SUMIF(Data!A:A,'36'!$A$2,Data!AM:AM),0)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398</v>
      </c>
      <c r="B2" s="58" t="str">
        <f>VLOOKUP(A2,Data!A:G,7,0)</f>
        <v>South Plains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31500</v>
      </c>
      <c r="E5" s="15">
        <f>E36+E67+IFERROR($E$105/$D$105*D5,0)</f>
        <v>309878.11480665614</v>
      </c>
      <c r="F5" s="20">
        <f>IF(OR(D5=0,E5=0),"",ROUND(E5/D5,2))</f>
        <v>9.84</v>
      </c>
    </row>
    <row r="6" spans="1:6" x14ac:dyDescent="0.2">
      <c r="A6" s="19">
        <v>2</v>
      </c>
      <c r="B6" s="181" t="s">
        <v>1</v>
      </c>
      <c r="C6" s="182"/>
      <c r="D6" s="14">
        <f t="shared" ref="D6:D32" si="0">D37</f>
        <v>32432</v>
      </c>
      <c r="E6" s="17">
        <f t="shared" ref="E6:E32" si="1">E37+E68+IFERROR($E$105/$D$105*D6,0)</f>
        <v>349936.13598125312</v>
      </c>
      <c r="F6" s="21">
        <f t="shared" ref="F6:F33" si="2">IF(OR(D6=0,E6=0),"",ROUND(E6/D6,2))</f>
        <v>10.79</v>
      </c>
    </row>
    <row r="7" spans="1:6" ht="14.25" customHeight="1" x14ac:dyDescent="0.2">
      <c r="A7" s="19">
        <v>3</v>
      </c>
      <c r="B7" s="181" t="s">
        <v>2</v>
      </c>
      <c r="C7" s="182"/>
      <c r="D7" s="14">
        <f t="shared" si="0"/>
        <v>403952</v>
      </c>
      <c r="E7" s="17">
        <f t="shared" si="1"/>
        <v>2077791.8900437576</v>
      </c>
      <c r="F7" s="21">
        <f t="shared" si="2"/>
        <v>5.14</v>
      </c>
    </row>
    <row r="8" spans="1:6" ht="14.25" customHeight="1" x14ac:dyDescent="0.2">
      <c r="A8" s="19">
        <v>4</v>
      </c>
      <c r="B8" s="181" t="s">
        <v>3</v>
      </c>
      <c r="C8" s="182"/>
      <c r="D8" s="14">
        <f t="shared" si="0"/>
        <v>167454</v>
      </c>
      <c r="E8" s="17">
        <f t="shared" si="1"/>
        <v>1134352.3903121841</v>
      </c>
      <c r="F8" s="21">
        <f t="shared" si="2"/>
        <v>6.77</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73982</v>
      </c>
      <c r="E10" s="17">
        <f t="shared" si="1"/>
        <v>695136.12075003283</v>
      </c>
      <c r="F10" s="21">
        <f t="shared" si="2"/>
        <v>9.4</v>
      </c>
    </row>
    <row r="11" spans="1:6" x14ac:dyDescent="0.2">
      <c r="A11" s="19">
        <v>7</v>
      </c>
      <c r="B11" s="181" t="s">
        <v>6</v>
      </c>
      <c r="C11" s="182"/>
      <c r="D11" s="14">
        <f t="shared" si="0"/>
        <v>230976</v>
      </c>
      <c r="E11" s="17">
        <f t="shared" si="1"/>
        <v>1317163.1618280066</v>
      </c>
      <c r="F11" s="21">
        <f t="shared" si="2"/>
        <v>5.7</v>
      </c>
    </row>
    <row r="12" spans="1:6" x14ac:dyDescent="0.2">
      <c r="A12" s="19">
        <v>8</v>
      </c>
      <c r="B12" s="181" t="s">
        <v>7</v>
      </c>
      <c r="C12" s="182"/>
      <c r="D12" s="14">
        <f t="shared" si="0"/>
        <v>14585</v>
      </c>
      <c r="E12" s="17">
        <f t="shared" si="1"/>
        <v>94101.780935081901</v>
      </c>
      <c r="F12" s="21">
        <f t="shared" si="2"/>
        <v>6.45</v>
      </c>
    </row>
    <row r="13" spans="1:6" x14ac:dyDescent="0.2">
      <c r="A13" s="19">
        <v>9</v>
      </c>
      <c r="B13" s="181" t="s">
        <v>8</v>
      </c>
      <c r="C13" s="182"/>
      <c r="D13" s="14">
        <f t="shared" si="0"/>
        <v>135193</v>
      </c>
      <c r="E13" s="17">
        <f t="shared" si="1"/>
        <v>644584.22495416715</v>
      </c>
      <c r="F13" s="21">
        <f t="shared" si="2"/>
        <v>4.7699999999999996</v>
      </c>
    </row>
    <row r="14" spans="1:6" x14ac:dyDescent="0.2">
      <c r="A14" s="19">
        <v>10</v>
      </c>
      <c r="B14" s="181" t="s">
        <v>9</v>
      </c>
      <c r="C14" s="182"/>
      <c r="D14" s="14">
        <f t="shared" si="0"/>
        <v>768</v>
      </c>
      <c r="E14" s="17">
        <f t="shared" si="1"/>
        <v>9158.4294657622831</v>
      </c>
      <c r="F14" s="21">
        <f t="shared" si="2"/>
        <v>11.93</v>
      </c>
    </row>
    <row r="15" spans="1:6" x14ac:dyDescent="0.2">
      <c r="A15" s="19">
        <v>11</v>
      </c>
      <c r="B15" s="181" t="s">
        <v>10</v>
      </c>
      <c r="C15" s="182"/>
      <c r="D15" s="14">
        <f t="shared" si="0"/>
        <v>48824</v>
      </c>
      <c r="E15" s="17">
        <f t="shared" si="1"/>
        <v>447453.3023911168</v>
      </c>
      <c r="F15" s="21">
        <f t="shared" si="2"/>
        <v>9.16</v>
      </c>
    </row>
    <row r="16" spans="1:6" ht="14.25" customHeight="1" x14ac:dyDescent="0.2">
      <c r="A16" s="19">
        <v>12</v>
      </c>
      <c r="B16" s="181" t="s">
        <v>11</v>
      </c>
      <c r="C16" s="182"/>
      <c r="D16" s="14">
        <f t="shared" si="0"/>
        <v>506480</v>
      </c>
      <c r="E16" s="17">
        <f t="shared" si="1"/>
        <v>3162979.2237230223</v>
      </c>
      <c r="F16" s="21">
        <f t="shared" si="2"/>
        <v>6.25</v>
      </c>
    </row>
    <row r="17" spans="1:6" x14ac:dyDescent="0.2">
      <c r="A17" s="19">
        <v>13</v>
      </c>
      <c r="B17" s="181" t="s">
        <v>12</v>
      </c>
      <c r="C17" s="182"/>
      <c r="D17" s="14">
        <f t="shared" si="0"/>
        <v>93376</v>
      </c>
      <c r="E17" s="17">
        <f t="shared" si="1"/>
        <v>504859.21587893093</v>
      </c>
      <c r="F17" s="21">
        <f t="shared" si="2"/>
        <v>5.41</v>
      </c>
    </row>
    <row r="18" spans="1:6" ht="14.25" customHeight="1" x14ac:dyDescent="0.2">
      <c r="A18" s="19">
        <v>14</v>
      </c>
      <c r="B18" s="181" t="s">
        <v>464</v>
      </c>
      <c r="C18" s="182"/>
      <c r="D18" s="14">
        <f t="shared" si="0"/>
        <v>93560</v>
      </c>
      <c r="E18" s="17">
        <f t="shared" si="1"/>
        <v>711027.31877176976</v>
      </c>
      <c r="F18" s="21">
        <f t="shared" si="2"/>
        <v>7.6</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200037</v>
      </c>
      <c r="E20" s="17">
        <f t="shared" si="1"/>
        <v>1209262.985732669</v>
      </c>
      <c r="F20" s="21">
        <f t="shared" si="2"/>
        <v>6.05</v>
      </c>
    </row>
    <row r="21" spans="1:6" x14ac:dyDescent="0.2">
      <c r="A21" s="19">
        <v>17</v>
      </c>
      <c r="B21" s="181" t="s">
        <v>15</v>
      </c>
      <c r="C21" s="182"/>
      <c r="D21" s="14">
        <f t="shared" si="0"/>
        <v>31920</v>
      </c>
      <c r="E21" s="17">
        <f t="shared" si="1"/>
        <v>177744.84967074491</v>
      </c>
      <c r="F21" s="21">
        <f t="shared" si="2"/>
        <v>5.57</v>
      </c>
    </row>
    <row r="22" spans="1:6" x14ac:dyDescent="0.2">
      <c r="A22" s="19">
        <v>18</v>
      </c>
      <c r="B22" s="181" t="s">
        <v>16</v>
      </c>
      <c r="C22" s="182"/>
      <c r="D22" s="14">
        <f t="shared" si="0"/>
        <v>166288</v>
      </c>
      <c r="E22" s="17">
        <f t="shared" si="1"/>
        <v>896714.98828473769</v>
      </c>
      <c r="F22" s="21">
        <f t="shared" si="2"/>
        <v>5.39</v>
      </c>
    </row>
    <row r="23" spans="1:6" x14ac:dyDescent="0.2">
      <c r="A23" s="19">
        <v>19</v>
      </c>
      <c r="B23" s="181" t="s">
        <v>17</v>
      </c>
      <c r="C23" s="182"/>
      <c r="D23" s="14">
        <f t="shared" si="0"/>
        <v>519264</v>
      </c>
      <c r="E23" s="17">
        <f t="shared" si="1"/>
        <v>2548642.3725385237</v>
      </c>
      <c r="F23" s="21">
        <f t="shared" si="2"/>
        <v>4.91</v>
      </c>
    </row>
    <row r="24" spans="1:6" x14ac:dyDescent="0.2">
      <c r="A24" s="19">
        <v>20</v>
      </c>
      <c r="B24" s="181" t="s">
        <v>18</v>
      </c>
      <c r="C24" s="182"/>
      <c r="D24" s="14">
        <f t="shared" si="0"/>
        <v>83972</v>
      </c>
      <c r="E24" s="17">
        <f t="shared" si="1"/>
        <v>461492.45716014376</v>
      </c>
      <c r="F24" s="21">
        <f t="shared" si="2"/>
        <v>5.5</v>
      </c>
    </row>
    <row r="25" spans="1:6" ht="14.25" customHeight="1" x14ac:dyDescent="0.2">
      <c r="A25" s="19">
        <v>21</v>
      </c>
      <c r="B25" s="181" t="s">
        <v>461</v>
      </c>
      <c r="C25" s="182"/>
      <c r="D25" s="14">
        <f t="shared" si="0"/>
        <v>14200</v>
      </c>
      <c r="E25" s="17">
        <f t="shared" si="1"/>
        <v>422148.94064300053</v>
      </c>
      <c r="F25" s="21">
        <f t="shared" si="2"/>
        <v>29.73</v>
      </c>
    </row>
    <row r="26" spans="1:6" x14ac:dyDescent="0.2">
      <c r="A26" s="19">
        <v>22</v>
      </c>
      <c r="B26" s="181" t="s">
        <v>19</v>
      </c>
      <c r="C26" s="182"/>
      <c r="D26" s="14">
        <f t="shared" si="0"/>
        <v>18368</v>
      </c>
      <c r="E26" s="17">
        <f t="shared" si="1"/>
        <v>152691.27138948126</v>
      </c>
      <c r="F26" s="21">
        <f t="shared" si="2"/>
        <v>8.31</v>
      </c>
    </row>
    <row r="27" spans="1:6" x14ac:dyDescent="0.2">
      <c r="A27" s="19">
        <v>23</v>
      </c>
      <c r="B27" s="181" t="s">
        <v>20</v>
      </c>
      <c r="C27" s="182"/>
      <c r="D27" s="14">
        <f t="shared" si="0"/>
        <v>82944</v>
      </c>
      <c r="E27" s="17">
        <f t="shared" si="1"/>
        <v>783649.38230232662</v>
      </c>
      <c r="F27" s="21">
        <f t="shared" si="2"/>
        <v>9.4499999999999993</v>
      </c>
    </row>
    <row r="28" spans="1:6" x14ac:dyDescent="0.2">
      <c r="A28" s="19">
        <v>24</v>
      </c>
      <c r="B28" s="181" t="s">
        <v>21</v>
      </c>
      <c r="C28" s="182"/>
      <c r="D28" s="14">
        <f t="shared" si="0"/>
        <v>64742</v>
      </c>
      <c r="E28" s="17">
        <f t="shared" si="1"/>
        <v>506822.95374008035</v>
      </c>
      <c r="F28" s="21">
        <f t="shared" si="2"/>
        <v>7.83</v>
      </c>
    </row>
    <row r="29" spans="1:6" x14ac:dyDescent="0.2">
      <c r="A29" s="19">
        <v>25</v>
      </c>
      <c r="B29" s="181" t="s">
        <v>22</v>
      </c>
      <c r="C29" s="182"/>
      <c r="D29" s="14">
        <f t="shared" si="0"/>
        <v>610672</v>
      </c>
      <c r="E29" s="17">
        <f t="shared" si="1"/>
        <v>3191925.4879114386</v>
      </c>
      <c r="F29" s="21">
        <f t="shared" si="2"/>
        <v>5.23</v>
      </c>
    </row>
    <row r="30" spans="1:6" x14ac:dyDescent="0.2">
      <c r="A30" s="19">
        <v>26</v>
      </c>
      <c r="B30" s="181" t="s">
        <v>23</v>
      </c>
      <c r="C30" s="182"/>
      <c r="D30" s="14">
        <f t="shared" si="0"/>
        <v>217276</v>
      </c>
      <c r="E30" s="17">
        <f t="shared" si="1"/>
        <v>1869631.0007851119</v>
      </c>
      <c r="F30" s="21">
        <f t="shared" si="2"/>
        <v>8.6</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3842765</v>
      </c>
      <c r="E33" s="31">
        <f>SUM(E5:E32)</f>
        <v>23679148</v>
      </c>
      <c r="F33" s="32">
        <f t="shared" si="2"/>
        <v>6.16</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IF(F3="1",SUMIF(Data!A:A,'37'!$A$2,Data!CU:CU),0)</f>
        <v>31500</v>
      </c>
      <c r="E36" s="15">
        <f>IF(F3="1",SUMIF(Data!$A:$A,$A$2,Data!IO:IO),0)</f>
        <v>83172</v>
      </c>
      <c r="F36" s="20">
        <f t="shared" ref="F36:F64" si="3">IF(OR(D36=0,E36=0),"",ROUND(E36/D36,2))</f>
        <v>2.64</v>
      </c>
    </row>
    <row r="37" spans="1:6" x14ac:dyDescent="0.2">
      <c r="A37" s="19">
        <v>2</v>
      </c>
      <c r="B37" s="181" t="s">
        <v>1</v>
      </c>
      <c r="C37" s="182"/>
      <c r="D37" s="14">
        <f>IF(F3="1",SUMIF(Data!A:A,'37'!$A$2,Data!CV:CV),0)</f>
        <v>32432</v>
      </c>
      <c r="E37" s="17">
        <f>IF(F3="1",SUMIF(Data!$A:$A,$A$2,Data!IP:IP),0)</f>
        <v>84298</v>
      </c>
      <c r="F37" s="21">
        <f t="shared" si="3"/>
        <v>2.6</v>
      </c>
    </row>
    <row r="38" spans="1:6" ht="14.25" customHeight="1" x14ac:dyDescent="0.2">
      <c r="A38" s="19">
        <v>3</v>
      </c>
      <c r="B38" s="181" t="s">
        <v>2</v>
      </c>
      <c r="C38" s="182"/>
      <c r="D38" s="14">
        <f>IF(F3="1",SUMIF(Data!A:A,'37'!$A$2,Data!CW:CW),0)</f>
        <v>403952</v>
      </c>
      <c r="E38" s="17">
        <f>IF($F$3="1",SUMIF(Data!$A:$A,$A$2,Data!IQ:IQ),0)</f>
        <v>196887</v>
      </c>
      <c r="F38" s="21">
        <f t="shared" si="3"/>
        <v>0.49</v>
      </c>
    </row>
    <row r="39" spans="1:6" ht="14.25" customHeight="1" x14ac:dyDescent="0.2">
      <c r="A39" s="19">
        <v>4</v>
      </c>
      <c r="B39" s="181" t="s">
        <v>3</v>
      </c>
      <c r="C39" s="182"/>
      <c r="D39" s="14">
        <f>IF(F3="1",SUMIF(Data!A:A,'37'!$A$2,Data!CX:CX),0)</f>
        <v>167454</v>
      </c>
      <c r="E39" s="17">
        <f>IF($F$3="1",SUMIF(Data!$A:$A,$A$2,Data!IR:IR),0)</f>
        <v>69936</v>
      </c>
      <c r="F39" s="21">
        <f t="shared" si="3"/>
        <v>0.42</v>
      </c>
    </row>
    <row r="40" spans="1:6" x14ac:dyDescent="0.2">
      <c r="A40" s="19">
        <v>5</v>
      </c>
      <c r="B40" s="181" t="s">
        <v>4</v>
      </c>
      <c r="C40" s="182"/>
      <c r="D40" s="14">
        <f>IF(F3="1",SUMIF(Data!A:A,'37'!$A$2,Data!CY:CY),0)</f>
        <v>0</v>
      </c>
      <c r="E40" s="17">
        <f>IF($F$3="1",SUMIF(Data!$A:$A,$A$2,Data!IS:IS),0)</f>
        <v>0</v>
      </c>
      <c r="F40" s="21" t="str">
        <f t="shared" si="3"/>
        <v/>
      </c>
    </row>
    <row r="41" spans="1:6" x14ac:dyDescent="0.2">
      <c r="A41" s="19">
        <v>6</v>
      </c>
      <c r="B41" s="181" t="s">
        <v>5</v>
      </c>
      <c r="C41" s="182"/>
      <c r="D41" s="14">
        <f>IF(F3="1",SUMIF(Data!A:A,'37'!$A$2,Data!CZ:CZ),0)</f>
        <v>73982</v>
      </c>
      <c r="E41" s="17">
        <f>IF($F$3="1",SUMIF(Data!$A:$A,$A$2,Data!IT:IT),0)</f>
        <v>199734</v>
      </c>
      <c r="F41" s="21">
        <f t="shared" si="3"/>
        <v>2.7</v>
      </c>
    </row>
    <row r="42" spans="1:6" x14ac:dyDescent="0.2">
      <c r="A42" s="19">
        <v>7</v>
      </c>
      <c r="B42" s="181" t="s">
        <v>6</v>
      </c>
      <c r="C42" s="182"/>
      <c r="D42" s="14">
        <f>IF(F3="1",SUMIF(Data!A:A,'37'!$A$2,Data!DA:DA),0)</f>
        <v>230976</v>
      </c>
      <c r="E42" s="17">
        <f>IF($F$3="1",SUMIF(Data!$A:$A,$A$2,Data!IU:IU),0)</f>
        <v>118897</v>
      </c>
      <c r="F42" s="21">
        <f t="shared" si="3"/>
        <v>0.51</v>
      </c>
    </row>
    <row r="43" spans="1:6" x14ac:dyDescent="0.2">
      <c r="A43" s="19">
        <v>8</v>
      </c>
      <c r="B43" s="181" t="s">
        <v>7</v>
      </c>
      <c r="C43" s="182"/>
      <c r="D43" s="14">
        <f>IF(F3="1",SUMIF(Data!A:A,'37'!$A$2,Data!DB:DB),0)</f>
        <v>14585</v>
      </c>
      <c r="E43" s="17">
        <f>IF($F$3="1",SUMIF(Data!$A:$A,$A$2,Data!IV:IV),0)</f>
        <v>1754</v>
      </c>
      <c r="F43" s="21">
        <f t="shared" si="3"/>
        <v>0.12</v>
      </c>
    </row>
    <row r="44" spans="1:6" x14ac:dyDescent="0.2">
      <c r="A44" s="19">
        <v>9</v>
      </c>
      <c r="B44" s="181" t="s">
        <v>8</v>
      </c>
      <c r="C44" s="182"/>
      <c r="D44" s="14">
        <f>IF(F3="1",SUMIF(Data!A:A,'37'!$A$2,Data!DC:DC),0)</f>
        <v>135193</v>
      </c>
      <c r="E44" s="17">
        <f>IF($F$3="1",SUMIF(Data!$A:$A,$A$2,Data!IW:IW),0)</f>
        <v>47247</v>
      </c>
      <c r="F44" s="21">
        <f t="shared" si="3"/>
        <v>0.35</v>
      </c>
    </row>
    <row r="45" spans="1:6" x14ac:dyDescent="0.2">
      <c r="A45" s="19">
        <v>10</v>
      </c>
      <c r="B45" s="181" t="s">
        <v>9</v>
      </c>
      <c r="C45" s="182"/>
      <c r="D45" s="14">
        <f>IF(F3="1",SUMIF(Data!A:A,'37'!$A$2,Data!DD:DD),0)</f>
        <v>768</v>
      </c>
      <c r="E45" s="17">
        <f>IF($F$3="1",SUMIF(Data!$A:$A,$A$2,Data!IX:IX),0)</f>
        <v>3586</v>
      </c>
      <c r="F45" s="21">
        <f t="shared" si="3"/>
        <v>4.67</v>
      </c>
    </row>
    <row r="46" spans="1:6" x14ac:dyDescent="0.2">
      <c r="A46" s="19">
        <v>11</v>
      </c>
      <c r="B46" s="181" t="s">
        <v>10</v>
      </c>
      <c r="C46" s="182"/>
      <c r="D46" s="14">
        <f>IF(F3="1",SUMIF(Data!A:A,'37'!$A$2,Data!DE:DE),0)</f>
        <v>48824</v>
      </c>
      <c r="E46" s="17">
        <f>IF($F$3="1",SUMIF(Data!$A:$A,$A$2,Data!IY:IY),0)</f>
        <v>70279</v>
      </c>
      <c r="F46" s="21">
        <f t="shared" si="3"/>
        <v>1.44</v>
      </c>
    </row>
    <row r="47" spans="1:6" ht="14.25" customHeight="1" x14ac:dyDescent="0.2">
      <c r="A47" s="19">
        <v>12</v>
      </c>
      <c r="B47" s="181" t="s">
        <v>11</v>
      </c>
      <c r="C47" s="182"/>
      <c r="D47" s="14">
        <f>IF(F3="1",SUMIF(Data!A:A,'37'!$A$2,Data!DF:DF),0)</f>
        <v>506480</v>
      </c>
      <c r="E47" s="17">
        <f>IF($F$3="1",SUMIF(Data!$A:$A,$A$2,Data!IZ:IZ),0)</f>
        <v>74051</v>
      </c>
      <c r="F47" s="21">
        <f t="shared" si="3"/>
        <v>0.15</v>
      </c>
    </row>
    <row r="48" spans="1:6" x14ac:dyDescent="0.2">
      <c r="A48" s="19">
        <v>13</v>
      </c>
      <c r="B48" s="181" t="s">
        <v>12</v>
      </c>
      <c r="C48" s="182"/>
      <c r="D48" s="14">
        <f>IF(F3="1",SUMIF(Data!A:A,'37'!$A$2,Data!DG:DG),0)</f>
        <v>93376</v>
      </c>
      <c r="E48" s="17">
        <f>IF($F$3="1",SUMIF(Data!$A:$A,$A$2,Data!JA:JA),0)</f>
        <v>14980</v>
      </c>
      <c r="F48" s="21">
        <f t="shared" si="3"/>
        <v>0.16</v>
      </c>
    </row>
    <row r="49" spans="1:6" ht="14.25" customHeight="1" x14ac:dyDescent="0.2">
      <c r="A49" s="19">
        <v>14</v>
      </c>
      <c r="B49" s="181" t="s">
        <v>464</v>
      </c>
      <c r="C49" s="182"/>
      <c r="D49" s="14">
        <f>IF(F3="1",SUMIF(Data!A:A,'37'!$A$2,Data!DH:DH),0)</f>
        <v>93560</v>
      </c>
      <c r="E49" s="17">
        <f>IF($F$3="1",SUMIF(Data!$A:$A,$A$2,Data!JB:JB),0)</f>
        <v>108362</v>
      </c>
      <c r="F49" s="21">
        <f t="shared" si="3"/>
        <v>1.1599999999999999</v>
      </c>
    </row>
    <row r="50" spans="1:6" x14ac:dyDescent="0.2">
      <c r="A50" s="19">
        <v>15</v>
      </c>
      <c r="B50" s="181" t="s">
        <v>13</v>
      </c>
      <c r="C50" s="182"/>
      <c r="D50" s="14">
        <f>IF(F3="1",SUMIF(Data!A:A,'37'!$A$2,Data!DI:DI),0)</f>
        <v>0</v>
      </c>
      <c r="E50" s="17">
        <f>IF($F$3="1",SUMIF(Data!$A:$A,$A$2,Data!JC:JC),0)</f>
        <v>0</v>
      </c>
      <c r="F50" s="21" t="str">
        <f t="shared" si="3"/>
        <v/>
      </c>
    </row>
    <row r="51" spans="1:6" x14ac:dyDescent="0.2">
      <c r="A51" s="19">
        <v>16</v>
      </c>
      <c r="B51" s="181" t="s">
        <v>14</v>
      </c>
      <c r="C51" s="182"/>
      <c r="D51" s="14">
        <f>IF(F3="1",SUMIF(Data!A:A,'37'!$A$2,Data!DJ:DJ),0)</f>
        <v>200037</v>
      </c>
      <c r="E51" s="17">
        <f>IF($F$3="1",SUMIF(Data!$A:$A,$A$2,Data!JD:JD),0)</f>
        <v>293048</v>
      </c>
      <c r="F51" s="21">
        <f t="shared" si="3"/>
        <v>1.46</v>
      </c>
    </row>
    <row r="52" spans="1:6" x14ac:dyDescent="0.2">
      <c r="A52" s="19">
        <v>17</v>
      </c>
      <c r="B52" s="181" t="s">
        <v>15</v>
      </c>
      <c r="C52" s="182"/>
      <c r="D52" s="14">
        <f>IF(F3="1",SUMIF(Data!A:A,'37'!$A$2,Data!DK:DK),0)</f>
        <v>31920</v>
      </c>
      <c r="E52" s="17">
        <f>IF($F$3="1",SUMIF(Data!$A:$A,$A$2,Data!JE:JE),0)</f>
        <v>17611</v>
      </c>
      <c r="F52" s="21">
        <f t="shared" si="3"/>
        <v>0.55000000000000004</v>
      </c>
    </row>
    <row r="53" spans="1:6" x14ac:dyDescent="0.2">
      <c r="A53" s="19">
        <v>18</v>
      </c>
      <c r="B53" s="181" t="s">
        <v>16</v>
      </c>
      <c r="C53" s="182"/>
      <c r="D53" s="14">
        <f>IF(F3="1",SUMIF(Data!A:A,'37'!$A$2,Data!DL:DL),0)</f>
        <v>166288</v>
      </c>
      <c r="E53" s="17">
        <f>IF($F$3="1",SUMIF(Data!$A:$A,$A$2,Data!JF:JF),0)</f>
        <v>55150</v>
      </c>
      <c r="F53" s="21">
        <f t="shared" si="3"/>
        <v>0.33</v>
      </c>
    </row>
    <row r="54" spans="1:6" x14ac:dyDescent="0.2">
      <c r="A54" s="19">
        <v>19</v>
      </c>
      <c r="B54" s="181" t="s">
        <v>17</v>
      </c>
      <c r="C54" s="182"/>
      <c r="D54" s="14">
        <f>IF(F3="1",SUMIF(Data!A:A,'37'!$A$2,Data!DM:DM),0)</f>
        <v>519264</v>
      </c>
      <c r="E54" s="17">
        <f>IF($F$3="1",SUMIF(Data!$A:$A,$A$2,Data!JG:JG),0)</f>
        <v>74310</v>
      </c>
      <c r="F54" s="21">
        <f t="shared" si="3"/>
        <v>0.14000000000000001</v>
      </c>
    </row>
    <row r="55" spans="1:6" x14ac:dyDescent="0.2">
      <c r="A55" s="19">
        <v>20</v>
      </c>
      <c r="B55" s="181" t="s">
        <v>18</v>
      </c>
      <c r="C55" s="182"/>
      <c r="D55" s="14">
        <f>IF(F3="1",SUMIF(Data!A:A,'37'!$A$2,Data!DN:DN),0)</f>
        <v>83972</v>
      </c>
      <c r="E55" s="17">
        <f>IF($F$3="1",SUMIF(Data!$A:$A,$A$2,Data!JH:JH),0)</f>
        <v>48928</v>
      </c>
      <c r="F55" s="21">
        <f t="shared" si="3"/>
        <v>0.57999999999999996</v>
      </c>
    </row>
    <row r="56" spans="1:6" ht="14.25" customHeight="1" x14ac:dyDescent="0.2">
      <c r="A56" s="19">
        <v>21</v>
      </c>
      <c r="B56" s="181" t="s">
        <v>461</v>
      </c>
      <c r="C56" s="182"/>
      <c r="D56" s="14">
        <f>IF(F3="1",SUMIF(Data!A:A,'37'!$A$2,Data!DO:DO),0)</f>
        <v>14200</v>
      </c>
      <c r="E56" s="17">
        <f>IF($F$3="1",SUMIF(Data!$A:$A,$A$2,Data!JI:JI),0)</f>
        <v>322112</v>
      </c>
      <c r="F56" s="21">
        <f t="shared" si="3"/>
        <v>22.68</v>
      </c>
    </row>
    <row r="57" spans="1:6" x14ac:dyDescent="0.2">
      <c r="A57" s="19">
        <v>22</v>
      </c>
      <c r="B57" s="181" t="s">
        <v>19</v>
      </c>
      <c r="C57" s="182"/>
      <c r="D57" s="14">
        <f>IF(F3="1",SUMIF(Data!A:A,'37'!$A$2,Data!DP:DP),0)</f>
        <v>18368</v>
      </c>
      <c r="E57" s="17">
        <f>IF($F$3="1",SUMIF(Data!$A:$A,$A$2,Data!JJ:JJ),0)</f>
        <v>31993</v>
      </c>
      <c r="F57" s="21">
        <f t="shared" si="3"/>
        <v>1.74</v>
      </c>
    </row>
    <row r="58" spans="1:6" x14ac:dyDescent="0.2">
      <c r="A58" s="19">
        <v>23</v>
      </c>
      <c r="B58" s="181" t="s">
        <v>20</v>
      </c>
      <c r="C58" s="182"/>
      <c r="D58" s="14">
        <f>IF(F3="1",SUMIF(Data!A:A,'37'!$A$2,Data!DQ:DQ),0)</f>
        <v>82944</v>
      </c>
      <c r="E58" s="17">
        <f>IF($F$3="1",SUMIF(Data!$A:$A,$A$2,Data!JK:JK),0)</f>
        <v>94023</v>
      </c>
      <c r="F58" s="21">
        <f t="shared" si="3"/>
        <v>1.1299999999999999</v>
      </c>
    </row>
    <row r="59" spans="1:6" x14ac:dyDescent="0.2">
      <c r="A59" s="19">
        <v>24</v>
      </c>
      <c r="B59" s="181" t="s">
        <v>21</v>
      </c>
      <c r="C59" s="182"/>
      <c r="D59" s="14">
        <f>IF(F3="1",SUMIF(Data!A:A,'37'!$A$2,Data!DR:DR),0)</f>
        <v>64742</v>
      </c>
      <c r="E59" s="17">
        <f>IF($F$3="1",SUMIF(Data!$A:$A,$A$2,Data!JL:JL),0)</f>
        <v>56024</v>
      </c>
      <c r="F59" s="21">
        <f t="shared" si="3"/>
        <v>0.87</v>
      </c>
    </row>
    <row r="60" spans="1:6" x14ac:dyDescent="0.2">
      <c r="A60" s="19">
        <v>25</v>
      </c>
      <c r="B60" s="181" t="s">
        <v>22</v>
      </c>
      <c r="C60" s="182"/>
      <c r="D60" s="14">
        <f>IF(F3="1",SUMIF(Data!A:A,'37'!$A$2,Data!DS:DS),0)</f>
        <v>610672</v>
      </c>
      <c r="E60" s="17">
        <f>IF($F$3="1",SUMIF(Data!$A:$A,$A$2,Data!JM:JM),0)</f>
        <v>98460</v>
      </c>
      <c r="F60" s="21">
        <f t="shared" si="3"/>
        <v>0.16</v>
      </c>
    </row>
    <row r="61" spans="1:6" x14ac:dyDescent="0.2">
      <c r="A61" s="19">
        <v>26</v>
      </c>
      <c r="B61" s="181" t="s">
        <v>23</v>
      </c>
      <c r="C61" s="182"/>
      <c r="D61" s="14">
        <f>IF(F3="1",SUMIF(Data!A:A,'37'!$A$2,Data!DT:DT),0)</f>
        <v>217276</v>
      </c>
      <c r="E61" s="17">
        <f>IF($F$3="1",SUMIF(Data!$A:$A,$A$2,Data!JN:JN),0)</f>
        <v>117738</v>
      </c>
      <c r="F61" s="21">
        <f t="shared" si="3"/>
        <v>0.54</v>
      </c>
    </row>
    <row r="62" spans="1:6" x14ac:dyDescent="0.2">
      <c r="A62" s="19">
        <v>28</v>
      </c>
      <c r="B62" s="181" t="s">
        <v>24</v>
      </c>
      <c r="C62" s="182"/>
      <c r="D62" s="14">
        <f>IF(F3="1",SUMIF(Data!A:A,'37'!$A$2,Data!DV:DV),0)</f>
        <v>0</v>
      </c>
      <c r="E62" s="17">
        <f>IF($F$3="1",SUMIF(Data!$A:$A,$A$2,Data!JP:JP),0)</f>
        <v>0</v>
      </c>
      <c r="F62" s="21" t="str">
        <f t="shared" si="3"/>
        <v/>
      </c>
    </row>
    <row r="63" spans="1:6" ht="15.75" customHeight="1" thickBot="1" x14ac:dyDescent="0.25">
      <c r="A63" s="22">
        <v>29</v>
      </c>
      <c r="B63" s="183" t="s">
        <v>25</v>
      </c>
      <c r="C63" s="184"/>
      <c r="D63" s="23">
        <f>IF(F3="1",SUMIF(Data!A:A,'37'!$A$2,Data!DW:DW),0)</f>
        <v>0</v>
      </c>
      <c r="E63" s="24">
        <f>IF($F$3="1",SUMIF(Data!$A:$A,$A$2,Data!JQ:JQ),0)</f>
        <v>0</v>
      </c>
      <c r="F63" s="25" t="str">
        <f t="shared" si="3"/>
        <v/>
      </c>
    </row>
    <row r="64" spans="1:6" x14ac:dyDescent="0.2">
      <c r="B64" s="30" t="s">
        <v>35</v>
      </c>
      <c r="C64" s="30"/>
      <c r="D64" s="59">
        <f>SUM(D36:D63)</f>
        <v>3842765</v>
      </c>
      <c r="E64" s="31">
        <f>SUM(E36:E63)</f>
        <v>2282580</v>
      </c>
      <c r="F64" s="32">
        <f t="shared" si="3"/>
        <v>0.59</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31500</v>
      </c>
      <c r="E67" s="15">
        <f>IF(F3="1",SUMIF(Data!A:A,'37'!$A$2,Data!DY:DY),0)</f>
        <v>144001</v>
      </c>
      <c r="F67" s="20">
        <f t="shared" ref="F67:F95" si="4">IF(OR(D67=0,E67=0),"",ROUND(E67/D67,2))</f>
        <v>4.57</v>
      </c>
    </row>
    <row r="68" spans="1:6" x14ac:dyDescent="0.2">
      <c r="A68" s="19">
        <v>2</v>
      </c>
      <c r="B68" s="181" t="s">
        <v>1</v>
      </c>
      <c r="C68" s="182"/>
      <c r="D68" s="14">
        <f t="shared" ref="D68:D94" si="5">D37</f>
        <v>32432</v>
      </c>
      <c r="E68" s="17">
        <f>IF(F3="1",SUMIF(Data!A:A,'37'!$A$2,Data!DZ:DZ),0)</f>
        <v>180486</v>
      </c>
      <c r="F68" s="21">
        <f t="shared" si="4"/>
        <v>5.57</v>
      </c>
    </row>
    <row r="69" spans="1:6" ht="14.25" customHeight="1" x14ac:dyDescent="0.2">
      <c r="A69" s="19">
        <v>3</v>
      </c>
      <c r="B69" s="181" t="s">
        <v>2</v>
      </c>
      <c r="C69" s="182"/>
      <c r="D69" s="14">
        <f t="shared" si="5"/>
        <v>403952</v>
      </c>
      <c r="E69" s="17">
        <f>IF(F3="1",SUMIF(Data!A:A,'37'!$A$2,Data!EA:EA),0)</f>
        <v>820305</v>
      </c>
      <c r="F69" s="21">
        <f t="shared" si="4"/>
        <v>2.0299999999999998</v>
      </c>
    </row>
    <row r="70" spans="1:6" ht="14.25" customHeight="1" x14ac:dyDescent="0.2">
      <c r="A70" s="19">
        <v>4</v>
      </c>
      <c r="B70" s="181" t="s">
        <v>3</v>
      </c>
      <c r="C70" s="182"/>
      <c r="D70" s="14">
        <f t="shared" si="5"/>
        <v>167454</v>
      </c>
      <c r="E70" s="17">
        <f>IF(F3="1",SUMIF(Data!A:A,'37'!$A$2,Data!EB:EB),0)</f>
        <v>624756</v>
      </c>
      <c r="F70" s="21">
        <f t="shared" si="4"/>
        <v>3.73</v>
      </c>
    </row>
    <row r="71" spans="1:6" x14ac:dyDescent="0.2">
      <c r="A71" s="19">
        <v>5</v>
      </c>
      <c r="B71" s="181" t="s">
        <v>4</v>
      </c>
      <c r="C71" s="182"/>
      <c r="D71" s="14">
        <f t="shared" si="5"/>
        <v>0</v>
      </c>
      <c r="E71" s="17">
        <f>IF(F3="1",SUMIF(Data!A:A,'37'!$A$2,Data!EC:EC),0)</f>
        <v>0</v>
      </c>
      <c r="F71" s="21" t="str">
        <f t="shared" si="4"/>
        <v/>
      </c>
    </row>
    <row r="72" spans="1:6" x14ac:dyDescent="0.2">
      <c r="A72" s="19">
        <v>6</v>
      </c>
      <c r="B72" s="181" t="s">
        <v>5</v>
      </c>
      <c r="C72" s="182"/>
      <c r="D72" s="14">
        <f t="shared" si="5"/>
        <v>73982</v>
      </c>
      <c r="E72" s="17">
        <f>IF(F3="1",SUMIF(Data!A:A,'37'!$A$2,Data!ED:ED),0)</f>
        <v>301158</v>
      </c>
      <c r="F72" s="21">
        <f t="shared" si="4"/>
        <v>4.07</v>
      </c>
    </row>
    <row r="73" spans="1:6" x14ac:dyDescent="0.2">
      <c r="A73" s="19">
        <v>7</v>
      </c>
      <c r="B73" s="181" t="s">
        <v>6</v>
      </c>
      <c r="C73" s="182"/>
      <c r="D73" s="14">
        <f t="shared" si="5"/>
        <v>230976</v>
      </c>
      <c r="E73" s="17">
        <f>IF(F3="1",SUMIF(Data!A:A,'37'!$A$2,Data!EE:EE),0)</f>
        <v>591825</v>
      </c>
      <c r="F73" s="21">
        <f t="shared" si="4"/>
        <v>2.56</v>
      </c>
    </row>
    <row r="74" spans="1:6" x14ac:dyDescent="0.2">
      <c r="A74" s="19">
        <v>8</v>
      </c>
      <c r="B74" s="181" t="s">
        <v>7</v>
      </c>
      <c r="C74" s="182"/>
      <c r="D74" s="14">
        <f t="shared" si="5"/>
        <v>14585</v>
      </c>
      <c r="E74" s="17">
        <f>IF(F3="1",SUMIF(Data!A:A,'37'!$A$2,Data!EF:EF),0)</f>
        <v>54054</v>
      </c>
      <c r="F74" s="21">
        <f t="shared" si="4"/>
        <v>3.71</v>
      </c>
    </row>
    <row r="75" spans="1:6" x14ac:dyDescent="0.2">
      <c r="A75" s="19">
        <v>9</v>
      </c>
      <c r="B75" s="181" t="s">
        <v>8</v>
      </c>
      <c r="C75" s="182"/>
      <c r="D75" s="14">
        <f t="shared" si="5"/>
        <v>135193</v>
      </c>
      <c r="E75" s="17">
        <f>IF(F3="1",SUMIF(Data!A:A,'37'!$A$2,Data!EG:EG),0)</f>
        <v>242380</v>
      </c>
      <c r="F75" s="21">
        <f t="shared" si="4"/>
        <v>1.79</v>
      </c>
    </row>
    <row r="76" spans="1:6" x14ac:dyDescent="0.2">
      <c r="A76" s="19">
        <v>10</v>
      </c>
      <c r="B76" s="181" t="s">
        <v>9</v>
      </c>
      <c r="C76" s="182"/>
      <c r="D76" s="14">
        <f t="shared" si="5"/>
        <v>768</v>
      </c>
      <c r="E76" s="17">
        <f>IF(F3="1",SUMIF(Data!A:A,'37'!$A$2,Data!EH:EH),0)</f>
        <v>3556</v>
      </c>
      <c r="F76" s="21">
        <f t="shared" si="4"/>
        <v>4.63</v>
      </c>
    </row>
    <row r="77" spans="1:6" x14ac:dyDescent="0.2">
      <c r="A77" s="19">
        <v>11</v>
      </c>
      <c r="B77" s="181" t="s">
        <v>10</v>
      </c>
      <c r="C77" s="182"/>
      <c r="D77" s="14">
        <f t="shared" si="5"/>
        <v>48824</v>
      </c>
      <c r="E77" s="17">
        <f>IF(F3="1",SUMIF(Data!A:A,'37'!$A$2,Data!EI:EI),0)</f>
        <v>248984</v>
      </c>
      <c r="F77" s="21">
        <f t="shared" si="4"/>
        <v>5.0999999999999996</v>
      </c>
    </row>
    <row r="78" spans="1:6" ht="14.25" customHeight="1" x14ac:dyDescent="0.2">
      <c r="A78" s="19">
        <v>12</v>
      </c>
      <c r="B78" s="181" t="s">
        <v>11</v>
      </c>
      <c r="C78" s="182"/>
      <c r="D78" s="14">
        <f t="shared" si="5"/>
        <v>506480</v>
      </c>
      <c r="E78" s="17">
        <f>IF(F3="1",SUMIF(Data!A:A,'37'!$A$2,Data!EJ:EJ),0)</f>
        <v>1759135</v>
      </c>
      <c r="F78" s="21">
        <f t="shared" si="4"/>
        <v>3.47</v>
      </c>
    </row>
    <row r="79" spans="1:6" x14ac:dyDescent="0.2">
      <c r="A79" s="19">
        <v>13</v>
      </c>
      <c r="B79" s="181" t="s">
        <v>12</v>
      </c>
      <c r="C79" s="182"/>
      <c r="D79" s="14">
        <f t="shared" si="5"/>
        <v>93376</v>
      </c>
      <c r="E79" s="17">
        <f>IF(F3="1",SUMIF(Data!A:A,'37'!$A$2,Data!EK:EK),0)</f>
        <v>244715</v>
      </c>
      <c r="F79" s="21">
        <f t="shared" si="4"/>
        <v>2.62</v>
      </c>
    </row>
    <row r="80" spans="1:6" ht="14.25" customHeight="1" x14ac:dyDescent="0.2">
      <c r="A80" s="19">
        <v>14</v>
      </c>
      <c r="B80" s="181" t="s">
        <v>464</v>
      </c>
      <c r="C80" s="182"/>
      <c r="D80" s="14">
        <f t="shared" si="5"/>
        <v>93560</v>
      </c>
      <c r="E80" s="17">
        <f>IF(F3="1",SUMIF(Data!A:A,'37'!$A$2,Data!EL:EL),0)</f>
        <v>357018</v>
      </c>
      <c r="F80" s="21">
        <f t="shared" si="4"/>
        <v>3.82</v>
      </c>
    </row>
    <row r="81" spans="1:6" x14ac:dyDescent="0.2">
      <c r="A81" s="19">
        <v>15</v>
      </c>
      <c r="B81" s="181" t="s">
        <v>13</v>
      </c>
      <c r="C81" s="182"/>
      <c r="D81" s="14">
        <f t="shared" si="5"/>
        <v>0</v>
      </c>
      <c r="E81" s="17">
        <f>IF(F3="1",SUMIF(Data!A:A,'37'!$A$2,Data!EM:EM),0)</f>
        <v>0</v>
      </c>
      <c r="F81" s="21" t="str">
        <f t="shared" si="4"/>
        <v/>
      </c>
    </row>
    <row r="82" spans="1:6" x14ac:dyDescent="0.2">
      <c r="A82" s="19">
        <v>16</v>
      </c>
      <c r="B82" s="181" t="s">
        <v>14</v>
      </c>
      <c r="C82" s="182"/>
      <c r="D82" s="14">
        <f t="shared" si="5"/>
        <v>200037</v>
      </c>
      <c r="E82" s="17">
        <f>IF(F3="1",SUMIF(Data!A:A,'37'!$A$2,Data!EN:EN),0)</f>
        <v>391006</v>
      </c>
      <c r="F82" s="21">
        <f t="shared" si="4"/>
        <v>1.95</v>
      </c>
    </row>
    <row r="83" spans="1:6" x14ac:dyDescent="0.2">
      <c r="A83" s="19">
        <v>17</v>
      </c>
      <c r="B83" s="181" t="s">
        <v>15</v>
      </c>
      <c r="C83" s="182"/>
      <c r="D83" s="14">
        <f t="shared" si="5"/>
        <v>31920</v>
      </c>
      <c r="E83" s="17">
        <f>IF(F3="1",SUMIF(Data!A:A,'37'!$A$2,Data!EO:EO),0)</f>
        <v>76326</v>
      </c>
      <c r="F83" s="21">
        <f t="shared" si="4"/>
        <v>2.39</v>
      </c>
    </row>
    <row r="84" spans="1:6" x14ac:dyDescent="0.2">
      <c r="A84" s="19">
        <v>18</v>
      </c>
      <c r="B84" s="181" t="s">
        <v>16</v>
      </c>
      <c r="C84" s="182"/>
      <c r="D84" s="14">
        <f t="shared" si="5"/>
        <v>166288</v>
      </c>
      <c r="E84" s="17">
        <f>IF(F3="1",SUMIF(Data!A:A,'37'!$A$2,Data!EP:EP),0)</f>
        <v>404966</v>
      </c>
      <c r="F84" s="21">
        <f t="shared" si="4"/>
        <v>2.44</v>
      </c>
    </row>
    <row r="85" spans="1:6" x14ac:dyDescent="0.2">
      <c r="A85" s="19">
        <v>19</v>
      </c>
      <c r="B85" s="181" t="s">
        <v>17</v>
      </c>
      <c r="C85" s="182"/>
      <c r="D85" s="14">
        <f t="shared" si="5"/>
        <v>519264</v>
      </c>
      <c r="E85" s="17">
        <f>IF(F3="1",SUMIF(Data!A:A,'37'!$A$2,Data!EQ:EQ),0)</f>
        <v>1110974</v>
      </c>
      <c r="F85" s="21">
        <f t="shared" si="4"/>
        <v>2.14</v>
      </c>
    </row>
    <row r="86" spans="1:6" x14ac:dyDescent="0.2">
      <c r="A86" s="19">
        <v>20</v>
      </c>
      <c r="B86" s="181" t="s">
        <v>18</v>
      </c>
      <c r="C86" s="182"/>
      <c r="D86" s="14">
        <f t="shared" si="5"/>
        <v>83972</v>
      </c>
      <c r="E86" s="17">
        <f>IF(F3="1",SUMIF(Data!A:A,'37'!$A$2,Data!ER:ER),0)</f>
        <v>192091</v>
      </c>
      <c r="F86" s="21">
        <f t="shared" si="4"/>
        <v>2.29</v>
      </c>
    </row>
    <row r="87" spans="1:6" ht="14.25" customHeight="1" x14ac:dyDescent="0.2">
      <c r="A87" s="19">
        <v>21</v>
      </c>
      <c r="B87" s="181" t="s">
        <v>461</v>
      </c>
      <c r="C87" s="182"/>
      <c r="D87" s="14">
        <f t="shared" si="5"/>
        <v>14200</v>
      </c>
      <c r="E87" s="17">
        <f>IF(F3="1",SUMIF(Data!A:A,'37'!$A$2,Data!ES:ES),0)</f>
        <v>62754</v>
      </c>
      <c r="F87" s="21">
        <f t="shared" si="4"/>
        <v>4.42</v>
      </c>
    </row>
    <row r="88" spans="1:6" x14ac:dyDescent="0.2">
      <c r="A88" s="19">
        <v>22</v>
      </c>
      <c r="B88" s="181" t="s">
        <v>19</v>
      </c>
      <c r="C88" s="182"/>
      <c r="D88" s="14">
        <f t="shared" si="5"/>
        <v>18368</v>
      </c>
      <c r="E88" s="17">
        <f>IF(F3="1",SUMIF(Data!A:A,'37'!$A$2,Data!ET:ET),0)</f>
        <v>72472</v>
      </c>
      <c r="F88" s="21">
        <f t="shared" si="4"/>
        <v>3.95</v>
      </c>
    </row>
    <row r="89" spans="1:6" x14ac:dyDescent="0.2">
      <c r="A89" s="19">
        <v>23</v>
      </c>
      <c r="B89" s="181" t="s">
        <v>20</v>
      </c>
      <c r="C89" s="182"/>
      <c r="D89" s="14">
        <f t="shared" si="5"/>
        <v>82944</v>
      </c>
      <c r="E89" s="17">
        <f>IF(F3="1",SUMIF(Data!A:A,'37'!$A$2,Data!EU:EU),0)</f>
        <v>471852</v>
      </c>
      <c r="F89" s="21">
        <f t="shared" si="4"/>
        <v>5.69</v>
      </c>
    </row>
    <row r="90" spans="1:6" x14ac:dyDescent="0.2">
      <c r="A90" s="19">
        <v>24</v>
      </c>
      <c r="B90" s="181" t="s">
        <v>21</v>
      </c>
      <c r="C90" s="182"/>
      <c r="D90" s="14">
        <f t="shared" si="5"/>
        <v>64742</v>
      </c>
      <c r="E90" s="17">
        <f>IF(F3="1",SUMIF(Data!A:A,'37'!$A$2,Data!EV:EV),0)</f>
        <v>280815</v>
      </c>
      <c r="F90" s="21">
        <f t="shared" si="4"/>
        <v>4.34</v>
      </c>
    </row>
    <row r="91" spans="1:6" x14ac:dyDescent="0.2">
      <c r="A91" s="19">
        <v>25</v>
      </c>
      <c r="B91" s="181" t="s">
        <v>22</v>
      </c>
      <c r="C91" s="182"/>
      <c r="D91" s="14">
        <f t="shared" si="5"/>
        <v>610672</v>
      </c>
      <c r="E91" s="17">
        <f>IF(F3="1",SUMIF(Data!A:A,'37'!$A$2,Data!EW:EW),0)</f>
        <v>1490110</v>
      </c>
      <c r="F91" s="21">
        <f t="shared" si="4"/>
        <v>2.44</v>
      </c>
    </row>
    <row r="92" spans="1:6" x14ac:dyDescent="0.2">
      <c r="A92" s="19">
        <v>26</v>
      </c>
      <c r="B92" s="181" t="s">
        <v>23</v>
      </c>
      <c r="C92" s="182"/>
      <c r="D92" s="14">
        <f t="shared" si="5"/>
        <v>217276</v>
      </c>
      <c r="E92" s="17">
        <f>IF(F3="1",SUMIF(Data!A:A,'37'!$A$2,Data!EX:EX),0)</f>
        <v>1181422</v>
      </c>
      <c r="F92" s="21">
        <f t="shared" si="4"/>
        <v>5.44</v>
      </c>
    </row>
    <row r="93" spans="1:6" x14ac:dyDescent="0.2">
      <c r="A93" s="19">
        <v>28</v>
      </c>
      <c r="B93" s="181" t="s">
        <v>24</v>
      </c>
      <c r="C93" s="182"/>
      <c r="D93" s="14">
        <f t="shared" si="5"/>
        <v>0</v>
      </c>
      <c r="E93" s="17">
        <f>IF(F3="1",SUMIF(Data!A:A,'37'!$A$2,Data!EZ:EZ),0)</f>
        <v>0</v>
      </c>
      <c r="F93" s="21" t="str">
        <f t="shared" si="4"/>
        <v/>
      </c>
    </row>
    <row r="94" spans="1:6" ht="15.75" customHeight="1" thickBot="1" x14ac:dyDescent="0.25">
      <c r="A94" s="22">
        <v>29</v>
      </c>
      <c r="B94" s="183" t="s">
        <v>25</v>
      </c>
      <c r="C94" s="184"/>
      <c r="D94" s="23">
        <f t="shared" si="5"/>
        <v>0</v>
      </c>
      <c r="E94" s="24">
        <f>IF(F3="1",SUMIF(Data!A:A,'37'!$A$2,Data!FA:FA),0)</f>
        <v>0</v>
      </c>
      <c r="F94" s="25" t="str">
        <f t="shared" si="4"/>
        <v/>
      </c>
    </row>
    <row r="95" spans="1:6" x14ac:dyDescent="0.2">
      <c r="B95" s="30" t="s">
        <v>35</v>
      </c>
      <c r="C95" s="30"/>
      <c r="D95" s="59">
        <f>SUM(D67:D94)</f>
        <v>3842765</v>
      </c>
      <c r="E95" s="31">
        <f>SUM(E67:E94)</f>
        <v>11307161</v>
      </c>
      <c r="F95" s="32">
        <f t="shared" si="4"/>
        <v>2.94</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IF(F3="1",SUMIF(Data!A:A,'37'!$A$2,Data!AH:AH),0)</f>
        <v>3541225</v>
      </c>
      <c r="F98" s="20">
        <f>IF(OR(E98=0,E98=0),"",ROUND(E98/$D$105,2))</f>
        <v>0.92</v>
      </c>
    </row>
    <row r="99" spans="2:6" x14ac:dyDescent="0.2">
      <c r="B99" s="187" t="s">
        <v>31</v>
      </c>
      <c r="C99" s="188"/>
      <c r="D99" s="36"/>
      <c r="E99" s="17">
        <f>IF(F3="1",SUMIF(Data!A:A,'37'!$A$2,Data!AI:AI),0)</f>
        <v>2155554</v>
      </c>
      <c r="F99" s="21">
        <f t="shared" ref="F99:F104" si="6">IF(OR(E99=0,E99=0),"",ROUND(E99/$D$105,2))</f>
        <v>0.56000000000000005</v>
      </c>
    </row>
    <row r="100" spans="2:6" x14ac:dyDescent="0.2">
      <c r="B100" s="187" t="s">
        <v>1078</v>
      </c>
      <c r="C100" s="188"/>
      <c r="D100" s="36"/>
      <c r="E100" s="17">
        <f>IF(F3="1",SUMIF(Data!A:A,'37'!$A$2,Data!AJ:AJ),0)</f>
        <v>594819</v>
      </c>
      <c r="F100" s="21">
        <f t="shared" si="6"/>
        <v>0.15</v>
      </c>
    </row>
    <row r="101" spans="2:6" x14ac:dyDescent="0.2">
      <c r="B101" s="187" t="s">
        <v>1079</v>
      </c>
      <c r="C101" s="188"/>
      <c r="D101" s="36"/>
      <c r="E101" s="17">
        <f>IF(F3="1",SUMIF(Data!A:A,'37'!$A$2,Data!AK:AK),0)</f>
        <v>473774</v>
      </c>
      <c r="F101" s="21">
        <f t="shared" si="6"/>
        <v>0.12</v>
      </c>
    </row>
    <row r="102" spans="2:6" x14ac:dyDescent="0.2">
      <c r="B102" s="187" t="s">
        <v>1080</v>
      </c>
      <c r="C102" s="188"/>
      <c r="D102" s="36"/>
      <c r="E102" s="17">
        <f>IF(F3="1",SUMIF(Data!A:A,'37'!$A$2,Data!AL:AL),0)</f>
        <v>327748</v>
      </c>
      <c r="F102" s="21">
        <f t="shared" si="6"/>
        <v>0.09</v>
      </c>
    </row>
    <row r="103" spans="2:6" x14ac:dyDescent="0.2">
      <c r="B103" s="189" t="s">
        <v>34</v>
      </c>
      <c r="C103" s="190"/>
      <c r="D103" s="36"/>
      <c r="E103" s="17">
        <f>IF(F3="1",SUMIF(Data!A:A,'37'!$A$2,Data!AM:AM),0)</f>
        <v>0</v>
      </c>
      <c r="F103" s="21" t="str">
        <f t="shared" si="6"/>
        <v/>
      </c>
    </row>
    <row r="104" spans="2:6" ht="15.75" customHeight="1" thickBot="1" x14ac:dyDescent="0.25">
      <c r="B104" s="179" t="s">
        <v>29</v>
      </c>
      <c r="C104" s="180"/>
      <c r="D104" s="37"/>
      <c r="E104" s="24">
        <f>IF(F3="1",SUMIF(Data!A:A,'37'!$A$2,Data!Q:Q),0)</f>
        <v>2996287</v>
      </c>
      <c r="F104" s="25">
        <f t="shared" si="6"/>
        <v>0.78</v>
      </c>
    </row>
    <row r="105" spans="2:6" x14ac:dyDescent="0.2">
      <c r="B105" s="30" t="s">
        <v>35</v>
      </c>
      <c r="C105" s="30"/>
      <c r="D105" s="34">
        <f>D95</f>
        <v>3842765</v>
      </c>
      <c r="E105" s="31">
        <f>SUM(E98:E104)</f>
        <v>10089407</v>
      </c>
      <c r="F105" s="32">
        <f>IF($D$105=0,"",ROUND(E105/$D$105,2))</f>
        <v>2.63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11307161</v>
      </c>
      <c r="D109" s="15">
        <f>IF(F3="1",SUMIF(Data!$A:$A,$A$2,Data!HJ:HJ),0)</f>
        <v>0</v>
      </c>
      <c r="E109" s="15">
        <f>IF(F3="1",SUMIF(Data!$A:$A,$A$2,Data!IN:IN),0)</f>
        <v>0</v>
      </c>
      <c r="F109" s="47">
        <f>SUM(C109:E109)</f>
        <v>11307161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327748</v>
      </c>
      <c r="F116" s="48">
        <f t="shared" si="7"/>
        <v>327748</v>
      </c>
    </row>
    <row r="117" spans="1:6" ht="15" thickBot="1" x14ac:dyDescent="0.25">
      <c r="B117" s="43" t="s">
        <v>933</v>
      </c>
      <c r="C117" s="52"/>
      <c r="D117" s="52">
        <f>IF(F3="1",SUMIF(Data!A:A,$A$2,Data!Q:Q),0)</f>
        <v>2996287</v>
      </c>
      <c r="E117" s="52"/>
      <c r="F117" s="49">
        <f>SUM(C117:E117)</f>
        <v>2996287</v>
      </c>
    </row>
    <row r="118" spans="1:6" x14ac:dyDescent="0.2">
      <c r="B118" s="13" t="s">
        <v>35</v>
      </c>
      <c r="C118" s="4">
        <f>SUM(C109:C116)</f>
        <v>11307161</v>
      </c>
      <c r="D118" s="4">
        <f>SUM(D109:D116)</f>
        <v>0</v>
      </c>
      <c r="E118" s="4">
        <f>SUM(E109:E116)</f>
        <v>327748</v>
      </c>
      <c r="F118" s="4">
        <f>SUM(F109:F116)</f>
        <v>11634909</v>
      </c>
    </row>
    <row r="119" spans="1:6" ht="15" thickBot="1" x14ac:dyDescent="0.25"/>
    <row r="120" spans="1:6" ht="15" thickBot="1" x14ac:dyDescent="0.25">
      <c r="B120" s="55" t="s">
        <v>934</v>
      </c>
      <c r="C120" s="53"/>
      <c r="D120" s="53"/>
      <c r="E120" s="53">
        <f>IF(F3="1",SUMIF(Data!A:A,'37'!$A$2,Data!AM:AM),0)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1072</v>
      </c>
      <c r="B2" s="58" t="str">
        <f>VLOOKUP(A2,Data!A:G,7,0)</f>
        <v>South Texas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3920</v>
      </c>
      <c r="E5" s="15">
        <f>E36+E67+IFERROR($E$105/$D$105*D5,0)</f>
        <v>57940.426015141085</v>
      </c>
      <c r="F5" s="20">
        <f>IF(OR(D5=0,E5=0),"",ROUND(E5/D5,2))</f>
        <v>14.78</v>
      </c>
    </row>
    <row r="6" spans="1:6" x14ac:dyDescent="0.2">
      <c r="A6" s="19">
        <v>2</v>
      </c>
      <c r="B6" s="181" t="s">
        <v>1</v>
      </c>
      <c r="C6" s="182"/>
      <c r="D6" s="14">
        <f t="shared" ref="D6:D32" si="0">D37</f>
        <v>105680</v>
      </c>
      <c r="E6" s="17">
        <f t="shared" ref="E6:E32" si="1">E37+E68+IFERROR($E$105/$D$105*D6,0)</f>
        <v>942749.09726533422</v>
      </c>
      <c r="F6" s="21">
        <f t="shared" ref="F6:F33" si="2">IF(OR(D6=0,E6=0),"",ROUND(E6/D6,2))</f>
        <v>8.92</v>
      </c>
    </row>
    <row r="7" spans="1:6" ht="14.25" customHeight="1" x14ac:dyDescent="0.2">
      <c r="A7" s="19">
        <v>3</v>
      </c>
      <c r="B7" s="181" t="s">
        <v>2</v>
      </c>
      <c r="C7" s="182"/>
      <c r="D7" s="14">
        <f t="shared" si="0"/>
        <v>582240</v>
      </c>
      <c r="E7" s="17">
        <f t="shared" si="1"/>
        <v>4689824.3171060579</v>
      </c>
      <c r="F7" s="21">
        <f t="shared" si="2"/>
        <v>8.0500000000000007</v>
      </c>
    </row>
    <row r="8" spans="1:6" ht="14.25" customHeight="1" x14ac:dyDescent="0.2">
      <c r="A8" s="19">
        <v>4</v>
      </c>
      <c r="B8" s="181" t="s">
        <v>3</v>
      </c>
      <c r="C8" s="182"/>
      <c r="D8" s="14">
        <f t="shared" si="0"/>
        <v>311680</v>
      </c>
      <c r="E8" s="17">
        <f t="shared" si="1"/>
        <v>2132475.2194895851</v>
      </c>
      <c r="F8" s="21">
        <f t="shared" si="2"/>
        <v>6.84</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576</v>
      </c>
      <c r="E10" s="17">
        <f t="shared" si="1"/>
        <v>21621.858516510529</v>
      </c>
      <c r="F10" s="21">
        <f t="shared" si="2"/>
        <v>37.54</v>
      </c>
    </row>
    <row r="11" spans="1:6" x14ac:dyDescent="0.2">
      <c r="A11" s="19">
        <v>7</v>
      </c>
      <c r="B11" s="181" t="s">
        <v>6</v>
      </c>
      <c r="C11" s="182"/>
      <c r="D11" s="14">
        <f t="shared" si="0"/>
        <v>463824</v>
      </c>
      <c r="E11" s="17">
        <f t="shared" si="1"/>
        <v>4714553.5704201022</v>
      </c>
      <c r="F11" s="21">
        <f t="shared" si="2"/>
        <v>10.16</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193760</v>
      </c>
      <c r="E13" s="17">
        <f t="shared" si="1"/>
        <v>1255507.6287484025</v>
      </c>
      <c r="F13" s="21">
        <f t="shared" si="2"/>
        <v>6.48</v>
      </c>
    </row>
    <row r="14" spans="1:6" x14ac:dyDescent="0.2">
      <c r="A14" s="19">
        <v>10</v>
      </c>
      <c r="B14" s="181" t="s">
        <v>9</v>
      </c>
      <c r="C14" s="182"/>
      <c r="D14" s="14">
        <f t="shared" si="0"/>
        <v>3856</v>
      </c>
      <c r="E14" s="17">
        <f t="shared" si="1"/>
        <v>16651.663957751029</v>
      </c>
      <c r="F14" s="21">
        <f t="shared" si="2"/>
        <v>4.32</v>
      </c>
    </row>
    <row r="15" spans="1:6" x14ac:dyDescent="0.2">
      <c r="A15" s="19">
        <v>11</v>
      </c>
      <c r="B15" s="181" t="s">
        <v>10</v>
      </c>
      <c r="C15" s="182"/>
      <c r="D15" s="14">
        <f t="shared" si="0"/>
        <v>175040</v>
      </c>
      <c r="E15" s="17">
        <f t="shared" si="1"/>
        <v>1078856.2269618101</v>
      </c>
      <c r="F15" s="21">
        <f t="shared" si="2"/>
        <v>6.16</v>
      </c>
    </row>
    <row r="16" spans="1:6" ht="14.25" customHeight="1" x14ac:dyDescent="0.2">
      <c r="A16" s="19">
        <v>12</v>
      </c>
      <c r="B16" s="181" t="s">
        <v>11</v>
      </c>
      <c r="C16" s="182"/>
      <c r="D16" s="14">
        <f t="shared" si="0"/>
        <v>1050656</v>
      </c>
      <c r="E16" s="17">
        <f t="shared" si="1"/>
        <v>7382694.8151438963</v>
      </c>
      <c r="F16" s="21">
        <f t="shared" si="2"/>
        <v>7.03</v>
      </c>
    </row>
    <row r="17" spans="1:6" x14ac:dyDescent="0.2">
      <c r="A17" s="19">
        <v>13</v>
      </c>
      <c r="B17" s="181" t="s">
        <v>12</v>
      </c>
      <c r="C17" s="182"/>
      <c r="D17" s="14">
        <f t="shared" si="0"/>
        <v>194496</v>
      </c>
      <c r="E17" s="17">
        <f t="shared" si="1"/>
        <v>1314695.892408388</v>
      </c>
      <c r="F17" s="21">
        <f t="shared" si="2"/>
        <v>6.76</v>
      </c>
    </row>
    <row r="18" spans="1:6" ht="14.25" customHeight="1" x14ac:dyDescent="0.2">
      <c r="A18" s="19">
        <v>14</v>
      </c>
      <c r="B18" s="181" t="s">
        <v>464</v>
      </c>
      <c r="C18" s="182"/>
      <c r="D18" s="14">
        <f t="shared" si="0"/>
        <v>124816</v>
      </c>
      <c r="E18" s="17">
        <f t="shared" si="1"/>
        <v>1136574.9524249616</v>
      </c>
      <c r="F18" s="21">
        <f t="shared" si="2"/>
        <v>9.11</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303360</v>
      </c>
      <c r="E20" s="17">
        <f t="shared" si="1"/>
        <v>2685255.1520288773</v>
      </c>
      <c r="F20" s="21">
        <f t="shared" si="2"/>
        <v>8.85</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115536</v>
      </c>
      <c r="E22" s="17">
        <f t="shared" si="1"/>
        <v>1013345.4541034033</v>
      </c>
      <c r="F22" s="21">
        <f t="shared" si="2"/>
        <v>8.77</v>
      </c>
    </row>
    <row r="23" spans="1:6" x14ac:dyDescent="0.2">
      <c r="A23" s="19">
        <v>19</v>
      </c>
      <c r="B23" s="181" t="s">
        <v>17</v>
      </c>
      <c r="C23" s="182"/>
      <c r="D23" s="14">
        <f t="shared" si="0"/>
        <v>786144</v>
      </c>
      <c r="E23" s="17">
        <f t="shared" si="1"/>
        <v>4878932.2319507841</v>
      </c>
      <c r="F23" s="21">
        <f t="shared" si="2"/>
        <v>6.21</v>
      </c>
    </row>
    <row r="24" spans="1:6" x14ac:dyDescent="0.2">
      <c r="A24" s="19">
        <v>20</v>
      </c>
      <c r="B24" s="181" t="s">
        <v>18</v>
      </c>
      <c r="C24" s="182"/>
      <c r="D24" s="14">
        <f t="shared" si="0"/>
        <v>124880</v>
      </c>
      <c r="E24" s="17">
        <f t="shared" si="1"/>
        <v>1401811.7144823517</v>
      </c>
      <c r="F24" s="21">
        <f t="shared" si="2"/>
        <v>11.23</v>
      </c>
    </row>
    <row r="25" spans="1:6" ht="14.25" customHeight="1" x14ac:dyDescent="0.2">
      <c r="A25" s="19">
        <v>21</v>
      </c>
      <c r="B25" s="181" t="s">
        <v>461</v>
      </c>
      <c r="C25" s="182"/>
      <c r="D25" s="14">
        <f t="shared" si="0"/>
        <v>17392</v>
      </c>
      <c r="E25" s="17">
        <f t="shared" si="1"/>
        <v>102136.33909574841</v>
      </c>
      <c r="F25" s="21">
        <f t="shared" si="2"/>
        <v>5.87</v>
      </c>
    </row>
    <row r="26" spans="1:6" x14ac:dyDescent="0.2">
      <c r="A26" s="19">
        <v>22</v>
      </c>
      <c r="B26" s="181" t="s">
        <v>19</v>
      </c>
      <c r="C26" s="182"/>
      <c r="D26" s="14">
        <f t="shared" si="0"/>
        <v>18896</v>
      </c>
      <c r="E26" s="17">
        <f t="shared" si="1"/>
        <v>631255.74744441477</v>
      </c>
      <c r="F26" s="21">
        <f t="shared" si="2"/>
        <v>33.409999999999997</v>
      </c>
    </row>
    <row r="27" spans="1:6" x14ac:dyDescent="0.2">
      <c r="A27" s="19">
        <v>23</v>
      </c>
      <c r="B27" s="181" t="s">
        <v>20</v>
      </c>
      <c r="C27" s="182"/>
      <c r="D27" s="14">
        <f t="shared" si="0"/>
        <v>71024</v>
      </c>
      <c r="E27" s="17">
        <f t="shared" si="1"/>
        <v>737415.94318861747</v>
      </c>
      <c r="F27" s="21">
        <f t="shared" si="2"/>
        <v>10.38</v>
      </c>
    </row>
    <row r="28" spans="1:6" x14ac:dyDescent="0.2">
      <c r="A28" s="19">
        <v>24</v>
      </c>
      <c r="B28" s="181" t="s">
        <v>21</v>
      </c>
      <c r="C28" s="182"/>
      <c r="D28" s="14">
        <f t="shared" si="0"/>
        <v>122768</v>
      </c>
      <c r="E28" s="17">
        <f t="shared" si="1"/>
        <v>938507.56658847979</v>
      </c>
      <c r="F28" s="21">
        <f t="shared" si="2"/>
        <v>7.64</v>
      </c>
    </row>
    <row r="29" spans="1:6" x14ac:dyDescent="0.2">
      <c r="A29" s="19">
        <v>25</v>
      </c>
      <c r="B29" s="181" t="s">
        <v>22</v>
      </c>
      <c r="C29" s="182"/>
      <c r="D29" s="14">
        <f t="shared" si="0"/>
        <v>765744</v>
      </c>
      <c r="E29" s="17">
        <f t="shared" si="1"/>
        <v>4698385.076157704</v>
      </c>
      <c r="F29" s="21">
        <f t="shared" si="2"/>
        <v>6.14</v>
      </c>
    </row>
    <row r="30" spans="1:6" x14ac:dyDescent="0.2">
      <c r="A30" s="19">
        <v>26</v>
      </c>
      <c r="B30" s="181" t="s">
        <v>23</v>
      </c>
      <c r="C30" s="182"/>
      <c r="D30" s="14">
        <f t="shared" si="0"/>
        <v>159472</v>
      </c>
      <c r="E30" s="17">
        <f t="shared" si="1"/>
        <v>1079980.1065016785</v>
      </c>
      <c r="F30" s="21">
        <f t="shared" si="2"/>
        <v>6.77</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5695760</v>
      </c>
      <c r="E33" s="31">
        <f>SUM(E5:E32)</f>
        <v>42911170.999999993</v>
      </c>
      <c r="F33" s="32">
        <f t="shared" si="2"/>
        <v>7.53</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IF(F3="1",SUMIF(Data!A:A,'38'!$A$2,Data!CU:CU),0)</f>
        <v>3920</v>
      </c>
      <c r="E36" s="15">
        <f>IF(F3="1",SUMIF(Data!$A:$A,$A$2,Data!IO:IO),0)</f>
        <v>7500</v>
      </c>
      <c r="F36" s="20">
        <f t="shared" ref="F36:F64" si="3">IF(OR(D36=0,E36=0),"",ROUND(E36/D36,2))</f>
        <v>1.91</v>
      </c>
    </row>
    <row r="37" spans="1:6" x14ac:dyDescent="0.2">
      <c r="A37" s="19">
        <v>2</v>
      </c>
      <c r="B37" s="181" t="s">
        <v>1</v>
      </c>
      <c r="C37" s="182"/>
      <c r="D37" s="14">
        <f>IF(F3="1",SUMIF(Data!A:A,'38'!$A$2,Data!CV:CV),0)</f>
        <v>105680</v>
      </c>
      <c r="E37" s="17">
        <f>IF(F3="1",SUMIF(Data!$A:$A,$A$2,Data!IP:IP),0)</f>
        <v>245869</v>
      </c>
      <c r="F37" s="21">
        <f t="shared" si="3"/>
        <v>2.33</v>
      </c>
    </row>
    <row r="38" spans="1:6" ht="14.25" customHeight="1" x14ac:dyDescent="0.2">
      <c r="A38" s="19">
        <v>3</v>
      </c>
      <c r="B38" s="181" t="s">
        <v>2</v>
      </c>
      <c r="C38" s="182"/>
      <c r="D38" s="14">
        <f>IF(F3="1",SUMIF(Data!A:A,'38'!$A$2,Data!CW:CW),0)</f>
        <v>582240</v>
      </c>
      <c r="E38" s="17">
        <f>IF($F$3="1",SUMIF(Data!$A:$A,$A$2,Data!IQ:IQ),0)</f>
        <v>1043882</v>
      </c>
      <c r="F38" s="21">
        <f t="shared" si="3"/>
        <v>1.79</v>
      </c>
    </row>
    <row r="39" spans="1:6" ht="14.25" customHeight="1" x14ac:dyDescent="0.2">
      <c r="A39" s="19">
        <v>4</v>
      </c>
      <c r="B39" s="181" t="s">
        <v>3</v>
      </c>
      <c r="C39" s="182"/>
      <c r="D39" s="14">
        <f>IF(F3="1",SUMIF(Data!A:A,'38'!$A$2,Data!CX:CX),0)</f>
        <v>311680</v>
      </c>
      <c r="E39" s="17">
        <f>IF($F$3="1",SUMIF(Data!$A:$A,$A$2,Data!IR:IR),0)</f>
        <v>249826</v>
      </c>
      <c r="F39" s="21">
        <f t="shared" si="3"/>
        <v>0.8</v>
      </c>
    </row>
    <row r="40" spans="1:6" x14ac:dyDescent="0.2">
      <c r="A40" s="19">
        <v>5</v>
      </c>
      <c r="B40" s="181" t="s">
        <v>4</v>
      </c>
      <c r="C40" s="182"/>
      <c r="D40" s="14">
        <f>IF(F3="1",SUMIF(Data!A:A,'38'!$A$2,Data!CY:CY),0)</f>
        <v>0</v>
      </c>
      <c r="E40" s="17">
        <f>IF($F$3="1",SUMIF(Data!$A:$A,$A$2,Data!IS:IS),0)</f>
        <v>0</v>
      </c>
      <c r="F40" s="21" t="str">
        <f t="shared" si="3"/>
        <v/>
      </c>
    </row>
    <row r="41" spans="1:6" x14ac:dyDescent="0.2">
      <c r="A41" s="19">
        <v>6</v>
      </c>
      <c r="B41" s="181" t="s">
        <v>5</v>
      </c>
      <c r="C41" s="182"/>
      <c r="D41" s="14">
        <f>IF(F3="1",SUMIF(Data!A:A,'38'!$A$2,Data!CZ:CZ),0)</f>
        <v>576</v>
      </c>
      <c r="E41" s="17">
        <f>IF($F$3="1",SUMIF(Data!$A:$A,$A$2,Data!IT:IT),0)</f>
        <v>1500</v>
      </c>
      <c r="F41" s="21">
        <f t="shared" si="3"/>
        <v>2.6</v>
      </c>
    </row>
    <row r="42" spans="1:6" x14ac:dyDescent="0.2">
      <c r="A42" s="19">
        <v>7</v>
      </c>
      <c r="B42" s="181" t="s">
        <v>6</v>
      </c>
      <c r="C42" s="182"/>
      <c r="D42" s="14">
        <f>IF(F3="1",SUMIF(Data!A:A,'38'!$A$2,Data!DA:DA),0)</f>
        <v>463824</v>
      </c>
      <c r="E42" s="17">
        <f>IF($F$3="1",SUMIF(Data!$A:$A,$A$2,Data!IU:IU),0)</f>
        <v>1702051</v>
      </c>
      <c r="F42" s="21">
        <f t="shared" si="3"/>
        <v>3.67</v>
      </c>
    </row>
    <row r="43" spans="1:6" x14ac:dyDescent="0.2">
      <c r="A43" s="19">
        <v>8</v>
      </c>
      <c r="B43" s="181" t="s">
        <v>7</v>
      </c>
      <c r="C43" s="182"/>
      <c r="D43" s="14">
        <f>IF(F3="1",SUMIF(Data!A:A,'38'!$A$2,Data!DB:DB),0)</f>
        <v>0</v>
      </c>
      <c r="E43" s="17">
        <f>IF($F$3="1",SUMIF(Data!$A:$A,$A$2,Data!IV:IV),0)</f>
        <v>0</v>
      </c>
      <c r="F43" s="21" t="str">
        <f t="shared" si="3"/>
        <v/>
      </c>
    </row>
    <row r="44" spans="1:6" x14ac:dyDescent="0.2">
      <c r="A44" s="19">
        <v>9</v>
      </c>
      <c r="B44" s="181" t="s">
        <v>8</v>
      </c>
      <c r="C44" s="182"/>
      <c r="D44" s="14">
        <f>IF(F3="1",SUMIF(Data!A:A,'38'!$A$2,Data!DC:DC),0)</f>
        <v>193760</v>
      </c>
      <c r="E44" s="17">
        <f>IF($F$3="1",SUMIF(Data!$A:$A,$A$2,Data!IW:IW),0)</f>
        <v>63014</v>
      </c>
      <c r="F44" s="21">
        <f t="shared" si="3"/>
        <v>0.33</v>
      </c>
    </row>
    <row r="45" spans="1:6" x14ac:dyDescent="0.2">
      <c r="A45" s="19">
        <v>10</v>
      </c>
      <c r="B45" s="181" t="s">
        <v>9</v>
      </c>
      <c r="C45" s="182"/>
      <c r="D45" s="14">
        <f>IF(F3="1",SUMIF(Data!A:A,'38'!$A$2,Data!DD:DD),0)</f>
        <v>3856</v>
      </c>
      <c r="E45" s="17">
        <f>IF($F$3="1",SUMIF(Data!$A:$A,$A$2,Data!IX:IX),0)</f>
        <v>2447</v>
      </c>
      <c r="F45" s="21">
        <f t="shared" si="3"/>
        <v>0.63</v>
      </c>
    </row>
    <row r="46" spans="1:6" x14ac:dyDescent="0.2">
      <c r="A46" s="19">
        <v>11</v>
      </c>
      <c r="B46" s="181" t="s">
        <v>10</v>
      </c>
      <c r="C46" s="182"/>
      <c r="D46" s="14">
        <f>IF(F3="1",SUMIF(Data!A:A,'38'!$A$2,Data!DE:DE),0)</f>
        <v>175040</v>
      </c>
      <c r="E46" s="17">
        <f>IF($F$3="1",SUMIF(Data!$A:$A,$A$2,Data!IY:IY),0)</f>
        <v>160700</v>
      </c>
      <c r="F46" s="21">
        <f t="shared" si="3"/>
        <v>0.92</v>
      </c>
    </row>
    <row r="47" spans="1:6" ht="14.25" customHeight="1" x14ac:dyDescent="0.2">
      <c r="A47" s="19">
        <v>12</v>
      </c>
      <c r="B47" s="181" t="s">
        <v>11</v>
      </c>
      <c r="C47" s="182"/>
      <c r="D47" s="14">
        <f>IF(F3="1",SUMIF(Data!A:A,'38'!$A$2,Data!DF:DF),0)</f>
        <v>1050656</v>
      </c>
      <c r="E47" s="17">
        <f>IF($F$3="1",SUMIF(Data!$A:$A,$A$2,Data!IZ:IZ),0)</f>
        <v>477841</v>
      </c>
      <c r="F47" s="21">
        <f t="shared" si="3"/>
        <v>0.45</v>
      </c>
    </row>
    <row r="48" spans="1:6" x14ac:dyDescent="0.2">
      <c r="A48" s="19">
        <v>13</v>
      </c>
      <c r="B48" s="181" t="s">
        <v>12</v>
      </c>
      <c r="C48" s="182"/>
      <c r="D48" s="14">
        <f>IF(F3="1",SUMIF(Data!A:A,'38'!$A$2,Data!DG:DG),0)</f>
        <v>194496</v>
      </c>
      <c r="E48" s="17">
        <f>IF($F$3="1",SUMIF(Data!$A:$A,$A$2,Data!JA:JA),0)</f>
        <v>25620</v>
      </c>
      <c r="F48" s="21">
        <f t="shared" si="3"/>
        <v>0.13</v>
      </c>
    </row>
    <row r="49" spans="1:6" ht="14.25" customHeight="1" x14ac:dyDescent="0.2">
      <c r="A49" s="19">
        <v>14</v>
      </c>
      <c r="B49" s="181" t="s">
        <v>464</v>
      </c>
      <c r="C49" s="182"/>
      <c r="D49" s="14">
        <f>IF(F3="1",SUMIF(Data!A:A,'38'!$A$2,Data!DH:DH),0)</f>
        <v>124816</v>
      </c>
      <c r="E49" s="17">
        <f>IF($F$3="1",SUMIF(Data!$A:$A,$A$2,Data!JB:JB),0)</f>
        <v>42874</v>
      </c>
      <c r="F49" s="21">
        <f t="shared" si="3"/>
        <v>0.34</v>
      </c>
    </row>
    <row r="50" spans="1:6" x14ac:dyDescent="0.2">
      <c r="A50" s="19">
        <v>15</v>
      </c>
      <c r="B50" s="181" t="s">
        <v>13</v>
      </c>
      <c r="C50" s="182"/>
      <c r="D50" s="14">
        <f>IF(F3="1",SUMIF(Data!A:A,'38'!$A$2,Data!DI:DI),0)</f>
        <v>0</v>
      </c>
      <c r="E50" s="17">
        <f>IF($F$3="1",SUMIF(Data!$A:$A,$A$2,Data!JC:JC),0)</f>
        <v>0</v>
      </c>
      <c r="F50" s="21" t="str">
        <f t="shared" si="3"/>
        <v/>
      </c>
    </row>
    <row r="51" spans="1:6" x14ac:dyDescent="0.2">
      <c r="A51" s="19">
        <v>16</v>
      </c>
      <c r="B51" s="181" t="s">
        <v>14</v>
      </c>
      <c r="C51" s="182"/>
      <c r="D51" s="14">
        <f>IF(F3="1",SUMIF(Data!A:A,'38'!$A$2,Data!DJ:DJ),0)</f>
        <v>303360</v>
      </c>
      <c r="E51" s="17">
        <f>IF($F$3="1",SUMIF(Data!$A:$A,$A$2,Data!JD:JD),0)</f>
        <v>315838</v>
      </c>
      <c r="F51" s="21">
        <f t="shared" si="3"/>
        <v>1.04</v>
      </c>
    </row>
    <row r="52" spans="1:6" x14ac:dyDescent="0.2">
      <c r="A52" s="19">
        <v>17</v>
      </c>
      <c r="B52" s="181" t="s">
        <v>15</v>
      </c>
      <c r="C52" s="182"/>
      <c r="D52" s="14">
        <f>IF(F3="1",SUMIF(Data!A:A,'38'!$A$2,Data!DK:DK),0)</f>
        <v>0</v>
      </c>
      <c r="E52" s="17">
        <f>IF($F$3="1",SUMIF(Data!$A:$A,$A$2,Data!JE:JE),0)</f>
        <v>0</v>
      </c>
      <c r="F52" s="21" t="str">
        <f t="shared" si="3"/>
        <v/>
      </c>
    </row>
    <row r="53" spans="1:6" x14ac:dyDescent="0.2">
      <c r="A53" s="19">
        <v>18</v>
      </c>
      <c r="B53" s="181" t="s">
        <v>16</v>
      </c>
      <c r="C53" s="182"/>
      <c r="D53" s="14">
        <f>IF(F3="1",SUMIF(Data!A:A,'38'!$A$2,Data!DL:DL),0)</f>
        <v>115536</v>
      </c>
      <c r="E53" s="17">
        <f>IF($F$3="1",SUMIF(Data!$A:$A,$A$2,Data!JF:JF),0)</f>
        <v>82163</v>
      </c>
      <c r="F53" s="21">
        <f t="shared" si="3"/>
        <v>0.71</v>
      </c>
    </row>
    <row r="54" spans="1:6" x14ac:dyDescent="0.2">
      <c r="A54" s="19">
        <v>19</v>
      </c>
      <c r="B54" s="181" t="s">
        <v>17</v>
      </c>
      <c r="C54" s="182"/>
      <c r="D54" s="14">
        <f>IF(F3="1",SUMIF(Data!A:A,'38'!$A$2,Data!DM:DM),0)</f>
        <v>786144</v>
      </c>
      <c r="E54" s="17">
        <f>IF($F$3="1",SUMIF(Data!$A:$A,$A$2,Data!JG:JG),0)</f>
        <v>76169</v>
      </c>
      <c r="F54" s="21">
        <f t="shared" si="3"/>
        <v>0.1</v>
      </c>
    </row>
    <row r="55" spans="1:6" x14ac:dyDescent="0.2">
      <c r="A55" s="19">
        <v>20</v>
      </c>
      <c r="B55" s="181" t="s">
        <v>18</v>
      </c>
      <c r="C55" s="182"/>
      <c r="D55" s="14">
        <f>IF(F3="1",SUMIF(Data!A:A,'38'!$A$2,Data!DN:DN),0)</f>
        <v>124880</v>
      </c>
      <c r="E55" s="17">
        <f>IF($F$3="1",SUMIF(Data!$A:$A,$A$2,Data!JH:JH),0)</f>
        <v>520551</v>
      </c>
      <c r="F55" s="21">
        <f t="shared" si="3"/>
        <v>4.17</v>
      </c>
    </row>
    <row r="56" spans="1:6" ht="14.25" customHeight="1" x14ac:dyDescent="0.2">
      <c r="A56" s="19">
        <v>21</v>
      </c>
      <c r="B56" s="181" t="s">
        <v>461</v>
      </c>
      <c r="C56" s="182"/>
      <c r="D56" s="14">
        <f>IF(F3="1",SUMIF(Data!A:A,'38'!$A$2,Data!DO:DO),0)</f>
        <v>17392</v>
      </c>
      <c r="E56" s="17">
        <f>IF($F$3="1",SUMIF(Data!$A:$A,$A$2,Data!JI:JI),0)</f>
        <v>2820</v>
      </c>
      <c r="F56" s="21">
        <f t="shared" si="3"/>
        <v>0.16</v>
      </c>
    </row>
    <row r="57" spans="1:6" x14ac:dyDescent="0.2">
      <c r="A57" s="19">
        <v>22</v>
      </c>
      <c r="B57" s="181" t="s">
        <v>19</v>
      </c>
      <c r="C57" s="182"/>
      <c r="D57" s="14">
        <f>IF(F3="1",SUMIF(Data!A:A,'38'!$A$2,Data!DP:DP),0)</f>
        <v>18896</v>
      </c>
      <c r="E57" s="17">
        <f>IF($F$3="1",SUMIF(Data!$A:$A,$A$2,Data!JJ:JJ),0)</f>
        <v>158864</v>
      </c>
      <c r="F57" s="21">
        <f t="shared" si="3"/>
        <v>8.41</v>
      </c>
    </row>
    <row r="58" spans="1:6" x14ac:dyDescent="0.2">
      <c r="A58" s="19">
        <v>23</v>
      </c>
      <c r="B58" s="181" t="s">
        <v>20</v>
      </c>
      <c r="C58" s="182"/>
      <c r="D58" s="14">
        <f>IF(F3="1",SUMIF(Data!A:A,'38'!$A$2,Data!DQ:DQ),0)</f>
        <v>71024</v>
      </c>
      <c r="E58" s="17">
        <f>IF($F$3="1",SUMIF(Data!$A:$A,$A$2,Data!JK:JK),0)</f>
        <v>140411</v>
      </c>
      <c r="F58" s="21">
        <f t="shared" si="3"/>
        <v>1.98</v>
      </c>
    </row>
    <row r="59" spans="1:6" x14ac:dyDescent="0.2">
      <c r="A59" s="19">
        <v>24</v>
      </c>
      <c r="B59" s="181" t="s">
        <v>21</v>
      </c>
      <c r="C59" s="182"/>
      <c r="D59" s="14">
        <f>IF(F3="1",SUMIF(Data!A:A,'38'!$A$2,Data!DR:DR),0)</f>
        <v>122768</v>
      </c>
      <c r="E59" s="17">
        <f>IF($F$3="1",SUMIF(Data!$A:$A,$A$2,Data!JL:JL),0)</f>
        <v>46184</v>
      </c>
      <c r="F59" s="21">
        <f t="shared" si="3"/>
        <v>0.38</v>
      </c>
    </row>
    <row r="60" spans="1:6" x14ac:dyDescent="0.2">
      <c r="A60" s="19">
        <v>25</v>
      </c>
      <c r="B60" s="181" t="s">
        <v>22</v>
      </c>
      <c r="C60" s="182"/>
      <c r="D60" s="14">
        <f>IF(F3="1",SUMIF(Data!A:A,'38'!$A$2,Data!DS:DS),0)</f>
        <v>765744</v>
      </c>
      <c r="E60" s="17">
        <f>IF($F$3="1",SUMIF(Data!$A:$A,$A$2,Data!JM:JM),0)</f>
        <v>110473</v>
      </c>
      <c r="F60" s="21">
        <f t="shared" si="3"/>
        <v>0.14000000000000001</v>
      </c>
    </row>
    <row r="61" spans="1:6" x14ac:dyDescent="0.2">
      <c r="A61" s="19">
        <v>26</v>
      </c>
      <c r="B61" s="181" t="s">
        <v>23</v>
      </c>
      <c r="C61" s="182"/>
      <c r="D61" s="14">
        <f>IF(F3="1",SUMIF(Data!A:A,'38'!$A$2,Data!DT:DT),0)</f>
        <v>159472</v>
      </c>
      <c r="E61" s="17">
        <f>IF($F$3="1",SUMIF(Data!$A:$A,$A$2,Data!JN:JN),0)</f>
        <v>42464</v>
      </c>
      <c r="F61" s="21">
        <f t="shared" si="3"/>
        <v>0.27</v>
      </c>
    </row>
    <row r="62" spans="1:6" x14ac:dyDescent="0.2">
      <c r="A62" s="19">
        <v>28</v>
      </c>
      <c r="B62" s="181" t="s">
        <v>24</v>
      </c>
      <c r="C62" s="182"/>
      <c r="D62" s="14">
        <f>IF(F3="1",SUMIF(Data!A:A,'38'!$A$2,Data!DV:DV),0)</f>
        <v>0</v>
      </c>
      <c r="E62" s="17">
        <f>IF($F$3="1",SUMIF(Data!$A:$A,$A$2,Data!JP:JP),0)</f>
        <v>0</v>
      </c>
      <c r="F62" s="21" t="str">
        <f t="shared" si="3"/>
        <v/>
      </c>
    </row>
    <row r="63" spans="1:6" ht="15.75" customHeight="1" thickBot="1" x14ac:dyDescent="0.25">
      <c r="A63" s="22">
        <v>29</v>
      </c>
      <c r="B63" s="183" t="s">
        <v>25</v>
      </c>
      <c r="C63" s="184"/>
      <c r="D63" s="23">
        <f>IF(F3="1",SUMIF(Data!A:A,'38'!$A$2,Data!DW:DW),0)</f>
        <v>0</v>
      </c>
      <c r="E63" s="24">
        <f>IF($F$3="1",SUMIF(Data!$A:$A,$A$2,Data!JQ:JQ),0)</f>
        <v>0</v>
      </c>
      <c r="F63" s="25" t="str">
        <f t="shared" si="3"/>
        <v/>
      </c>
    </row>
    <row r="64" spans="1:6" x14ac:dyDescent="0.2">
      <c r="B64" s="30" t="s">
        <v>35</v>
      </c>
      <c r="C64" s="30"/>
      <c r="D64" s="59">
        <f>SUM(D36:D63)</f>
        <v>5695760</v>
      </c>
      <c r="E64" s="31">
        <f>SUM(E36:E63)</f>
        <v>5519061</v>
      </c>
      <c r="F64" s="32">
        <f t="shared" si="3"/>
        <v>0.97</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3920</v>
      </c>
      <c r="E67" s="15">
        <f>IF(F3="1",SUMIF(Data!A:A,'38'!$A$2,Data!DY:DY),0)</f>
        <v>36000</v>
      </c>
      <c r="F67" s="20">
        <f t="shared" ref="F67:F95" si="4">IF(OR(D67=0,E67=0),"",ROUND(E67/D67,2))</f>
        <v>9.18</v>
      </c>
    </row>
    <row r="68" spans="1:6" x14ac:dyDescent="0.2">
      <c r="A68" s="19">
        <v>2</v>
      </c>
      <c r="B68" s="181" t="s">
        <v>1</v>
      </c>
      <c r="C68" s="182"/>
      <c r="D68" s="14">
        <f t="shared" ref="D68:D94" si="5">D37</f>
        <v>105680</v>
      </c>
      <c r="E68" s="17">
        <f>IF(F3="1",SUMIF(Data!A:A,'38'!$A$2,Data!DZ:DZ),0)</f>
        <v>307578</v>
      </c>
      <c r="F68" s="21">
        <f t="shared" si="4"/>
        <v>2.91</v>
      </c>
    </row>
    <row r="69" spans="1:6" ht="14.25" customHeight="1" x14ac:dyDescent="0.2">
      <c r="A69" s="19">
        <v>3</v>
      </c>
      <c r="B69" s="181" t="s">
        <v>2</v>
      </c>
      <c r="C69" s="182"/>
      <c r="D69" s="14">
        <f t="shared" si="5"/>
        <v>582240</v>
      </c>
      <c r="E69" s="17">
        <f>IF(F3="1",SUMIF(Data!A:A,'38'!$A$2,Data!EA:EA),0)</f>
        <v>1501097</v>
      </c>
      <c r="F69" s="21">
        <f t="shared" si="4"/>
        <v>2.58</v>
      </c>
    </row>
    <row r="70" spans="1:6" ht="14.25" customHeight="1" x14ac:dyDescent="0.2">
      <c r="A70" s="19">
        <v>4</v>
      </c>
      <c r="B70" s="181" t="s">
        <v>3</v>
      </c>
      <c r="C70" s="182"/>
      <c r="D70" s="14">
        <f t="shared" si="5"/>
        <v>311680</v>
      </c>
      <c r="E70" s="17">
        <f>IF(F3="1",SUMIF(Data!A:A,'38'!$A$2,Data!EB:EB),0)</f>
        <v>734488</v>
      </c>
      <c r="F70" s="21">
        <f t="shared" si="4"/>
        <v>2.36</v>
      </c>
    </row>
    <row r="71" spans="1:6" x14ac:dyDescent="0.2">
      <c r="A71" s="19">
        <v>5</v>
      </c>
      <c r="B71" s="181" t="s">
        <v>4</v>
      </c>
      <c r="C71" s="182"/>
      <c r="D71" s="14">
        <f t="shared" si="5"/>
        <v>0</v>
      </c>
      <c r="E71" s="17">
        <f>IF(F3="1",SUMIF(Data!A:A,'38'!$A$2,Data!EC:EC),0)</f>
        <v>0</v>
      </c>
      <c r="F71" s="21" t="str">
        <f t="shared" si="4"/>
        <v/>
      </c>
    </row>
    <row r="72" spans="1:6" x14ac:dyDescent="0.2">
      <c r="A72" s="19">
        <v>6</v>
      </c>
      <c r="B72" s="181" t="s">
        <v>5</v>
      </c>
      <c r="C72" s="182"/>
      <c r="D72" s="14">
        <f t="shared" si="5"/>
        <v>576</v>
      </c>
      <c r="E72" s="17">
        <f>IF(F3="1",SUMIF(Data!A:A,'38'!$A$2,Data!ED:ED),0)</f>
        <v>18000</v>
      </c>
      <c r="F72" s="21">
        <f t="shared" si="4"/>
        <v>31.25</v>
      </c>
    </row>
    <row r="73" spans="1:6" x14ac:dyDescent="0.2">
      <c r="A73" s="19">
        <v>7</v>
      </c>
      <c r="B73" s="181" t="s">
        <v>6</v>
      </c>
      <c r="C73" s="182"/>
      <c r="D73" s="14">
        <f t="shared" si="5"/>
        <v>463824</v>
      </c>
      <c r="E73" s="17">
        <f>IF(F3="1",SUMIF(Data!A:A,'38'!$A$2,Data!EE:EE),0)</f>
        <v>1303876</v>
      </c>
      <c r="F73" s="21">
        <f t="shared" si="4"/>
        <v>2.81</v>
      </c>
    </row>
    <row r="74" spans="1:6" x14ac:dyDescent="0.2">
      <c r="A74" s="19">
        <v>8</v>
      </c>
      <c r="B74" s="181" t="s">
        <v>7</v>
      </c>
      <c r="C74" s="182"/>
      <c r="D74" s="14">
        <f t="shared" si="5"/>
        <v>0</v>
      </c>
      <c r="E74" s="17">
        <f>IF(F3="1",SUMIF(Data!A:A,'38'!$A$2,Data!EF:EF),0)</f>
        <v>0</v>
      </c>
      <c r="F74" s="21" t="str">
        <f t="shared" si="4"/>
        <v/>
      </c>
    </row>
    <row r="75" spans="1:6" x14ac:dyDescent="0.2">
      <c r="A75" s="19">
        <v>9</v>
      </c>
      <c r="B75" s="181" t="s">
        <v>8</v>
      </c>
      <c r="C75" s="182"/>
      <c r="D75" s="14">
        <f t="shared" si="5"/>
        <v>193760</v>
      </c>
      <c r="E75" s="17">
        <f>IF(F3="1",SUMIF(Data!A:A,'38'!$A$2,Data!EG:EG),0)</f>
        <v>478724</v>
      </c>
      <c r="F75" s="21">
        <f t="shared" si="4"/>
        <v>2.4700000000000002</v>
      </c>
    </row>
    <row r="76" spans="1:6" x14ac:dyDescent="0.2">
      <c r="A76" s="19">
        <v>10</v>
      </c>
      <c r="B76" s="181" t="s">
        <v>9</v>
      </c>
      <c r="C76" s="182"/>
      <c r="D76" s="14">
        <f t="shared" si="5"/>
        <v>3856</v>
      </c>
      <c r="E76" s="17">
        <f>IF(F3="1",SUMIF(Data!A:A,'38'!$A$2,Data!EH:EH),0)</f>
        <v>0</v>
      </c>
      <c r="F76" s="21" t="str">
        <f t="shared" si="4"/>
        <v/>
      </c>
    </row>
    <row r="77" spans="1:6" x14ac:dyDescent="0.2">
      <c r="A77" s="19">
        <v>11</v>
      </c>
      <c r="B77" s="181" t="s">
        <v>10</v>
      </c>
      <c r="C77" s="182"/>
      <c r="D77" s="14">
        <f t="shared" si="5"/>
        <v>175040</v>
      </c>
      <c r="E77" s="17">
        <f>IF(F3="1",SUMIF(Data!A:A,'38'!$A$2,Data!EI:EI),0)</f>
        <v>273347</v>
      </c>
      <c r="F77" s="21">
        <f t="shared" si="4"/>
        <v>1.56</v>
      </c>
    </row>
    <row r="78" spans="1:6" ht="14.25" customHeight="1" x14ac:dyDescent="0.2">
      <c r="A78" s="19">
        <v>12</v>
      </c>
      <c r="B78" s="181" t="s">
        <v>11</v>
      </c>
      <c r="C78" s="182"/>
      <c r="D78" s="14">
        <f t="shared" si="5"/>
        <v>1050656</v>
      </c>
      <c r="E78" s="17">
        <f>IF(F3="1",SUMIF(Data!A:A,'38'!$A$2,Data!EJ:EJ),0)</f>
        <v>3034466</v>
      </c>
      <c r="F78" s="21">
        <f t="shared" si="4"/>
        <v>2.89</v>
      </c>
    </row>
    <row r="79" spans="1:6" x14ac:dyDescent="0.2">
      <c r="A79" s="19">
        <v>13</v>
      </c>
      <c r="B79" s="181" t="s">
        <v>12</v>
      </c>
      <c r="C79" s="182"/>
      <c r="D79" s="14">
        <f t="shared" si="5"/>
        <v>194496</v>
      </c>
      <c r="E79" s="17">
        <f>IF(F3="1",SUMIF(Data!A:A,'38'!$A$2,Data!EK:EK),0)</f>
        <v>572595</v>
      </c>
      <c r="F79" s="21">
        <f t="shared" si="4"/>
        <v>2.94</v>
      </c>
    </row>
    <row r="80" spans="1:6" ht="14.25" customHeight="1" x14ac:dyDescent="0.2">
      <c r="A80" s="19">
        <v>14</v>
      </c>
      <c r="B80" s="181" t="s">
        <v>464</v>
      </c>
      <c r="C80" s="182"/>
      <c r="D80" s="14">
        <f t="shared" si="5"/>
        <v>124816</v>
      </c>
      <c r="E80" s="17">
        <f>IF(F3="1",SUMIF(Data!A:A,'38'!$A$2,Data!EL:EL),0)</f>
        <v>633906</v>
      </c>
      <c r="F80" s="21">
        <f t="shared" si="4"/>
        <v>5.08</v>
      </c>
    </row>
    <row r="81" spans="1:6" x14ac:dyDescent="0.2">
      <c r="A81" s="19">
        <v>15</v>
      </c>
      <c r="B81" s="181" t="s">
        <v>13</v>
      </c>
      <c r="C81" s="182"/>
      <c r="D81" s="14">
        <f t="shared" si="5"/>
        <v>0</v>
      </c>
      <c r="E81" s="17">
        <f>IF(F3="1",SUMIF(Data!A:A,'38'!$A$2,Data!EM:EM),0)</f>
        <v>0</v>
      </c>
      <c r="F81" s="21" t="str">
        <f t="shared" si="4"/>
        <v/>
      </c>
    </row>
    <row r="82" spans="1:6" x14ac:dyDescent="0.2">
      <c r="A82" s="19">
        <v>16</v>
      </c>
      <c r="B82" s="181" t="s">
        <v>14</v>
      </c>
      <c r="C82" s="182"/>
      <c r="D82" s="14">
        <f t="shared" si="5"/>
        <v>303360</v>
      </c>
      <c r="E82" s="17">
        <f>IF(F3="1",SUMIF(Data!A:A,'38'!$A$2,Data!EN:EN),0)</f>
        <v>1251905</v>
      </c>
      <c r="F82" s="21">
        <f t="shared" si="4"/>
        <v>4.13</v>
      </c>
    </row>
    <row r="83" spans="1:6" x14ac:dyDescent="0.2">
      <c r="A83" s="19">
        <v>17</v>
      </c>
      <c r="B83" s="181" t="s">
        <v>15</v>
      </c>
      <c r="C83" s="182"/>
      <c r="D83" s="14">
        <f t="shared" si="5"/>
        <v>0</v>
      </c>
      <c r="E83" s="17">
        <f>IF(F3="1",SUMIF(Data!A:A,'38'!$A$2,Data!EO:EO),0)</f>
        <v>0</v>
      </c>
      <c r="F83" s="21" t="str">
        <f t="shared" si="4"/>
        <v/>
      </c>
    </row>
    <row r="84" spans="1:6" x14ac:dyDescent="0.2">
      <c r="A84" s="19">
        <v>18</v>
      </c>
      <c r="B84" s="181" t="s">
        <v>16</v>
      </c>
      <c r="C84" s="182"/>
      <c r="D84" s="14">
        <f t="shared" si="5"/>
        <v>115536</v>
      </c>
      <c r="E84" s="17">
        <f>IF(F3="1",SUMIF(Data!A:A,'38'!$A$2,Data!EP:EP),0)</f>
        <v>505573</v>
      </c>
      <c r="F84" s="21">
        <f t="shared" si="4"/>
        <v>4.38</v>
      </c>
    </row>
    <row r="85" spans="1:6" x14ac:dyDescent="0.2">
      <c r="A85" s="19">
        <v>19</v>
      </c>
      <c r="B85" s="181" t="s">
        <v>17</v>
      </c>
      <c r="C85" s="182"/>
      <c r="D85" s="14">
        <f t="shared" si="5"/>
        <v>786144</v>
      </c>
      <c r="E85" s="17">
        <f>IF(F3="1",SUMIF(Data!A:A,'38'!$A$2,Data!EQ:EQ),0)</f>
        <v>1906780</v>
      </c>
      <c r="F85" s="21">
        <f t="shared" si="4"/>
        <v>2.4300000000000002</v>
      </c>
    </row>
    <row r="86" spans="1:6" x14ac:dyDescent="0.2">
      <c r="A86" s="19">
        <v>20</v>
      </c>
      <c r="B86" s="181" t="s">
        <v>18</v>
      </c>
      <c r="C86" s="182"/>
      <c r="D86" s="14">
        <f t="shared" si="5"/>
        <v>124880</v>
      </c>
      <c r="E86" s="17">
        <f>IF(F3="1",SUMIF(Data!A:A,'38'!$A$2,Data!ER:ER),0)</f>
        <v>421230</v>
      </c>
      <c r="F86" s="21">
        <f t="shared" si="4"/>
        <v>3.37</v>
      </c>
    </row>
    <row r="87" spans="1:6" ht="14.25" customHeight="1" x14ac:dyDescent="0.2">
      <c r="A87" s="19">
        <v>21</v>
      </c>
      <c r="B87" s="181" t="s">
        <v>461</v>
      </c>
      <c r="C87" s="182"/>
      <c r="D87" s="14">
        <f t="shared" si="5"/>
        <v>17392</v>
      </c>
      <c r="E87" s="17">
        <f>IF(F3="1",SUMIF(Data!A:A,'38'!$A$2,Data!ES:ES),0)</f>
        <v>35248</v>
      </c>
      <c r="F87" s="21">
        <f t="shared" si="4"/>
        <v>2.0299999999999998</v>
      </c>
    </row>
    <row r="88" spans="1:6" x14ac:dyDescent="0.2">
      <c r="A88" s="19">
        <v>22</v>
      </c>
      <c r="B88" s="181" t="s">
        <v>19</v>
      </c>
      <c r="C88" s="182"/>
      <c r="D88" s="14">
        <f t="shared" si="5"/>
        <v>18896</v>
      </c>
      <c r="E88" s="17">
        <f>IF(F3="1",SUMIF(Data!A:A,'38'!$A$2,Data!ET:ET),0)</f>
        <v>402783</v>
      </c>
      <c r="F88" s="21">
        <f t="shared" si="4"/>
        <v>21.32</v>
      </c>
    </row>
    <row r="89" spans="1:6" x14ac:dyDescent="0.2">
      <c r="A89" s="19">
        <v>23</v>
      </c>
      <c r="B89" s="181" t="s">
        <v>20</v>
      </c>
      <c r="C89" s="182"/>
      <c r="D89" s="14">
        <f t="shared" si="5"/>
        <v>71024</v>
      </c>
      <c r="E89" s="17">
        <f>IF(F3="1",SUMIF(Data!A:A,'38'!$A$2,Data!EU:EU),0)</f>
        <v>335368</v>
      </c>
      <c r="F89" s="21">
        <f t="shared" si="4"/>
        <v>4.72</v>
      </c>
    </row>
    <row r="90" spans="1:6" x14ac:dyDescent="0.2">
      <c r="A90" s="19">
        <v>24</v>
      </c>
      <c r="B90" s="181" t="s">
        <v>21</v>
      </c>
      <c r="C90" s="182"/>
      <c r="D90" s="14">
        <f t="shared" si="5"/>
        <v>122768</v>
      </c>
      <c r="E90" s="17">
        <f>IF(F3="1",SUMIF(Data!A:A,'38'!$A$2,Data!EV:EV),0)</f>
        <v>440073</v>
      </c>
      <c r="F90" s="21">
        <f t="shared" si="4"/>
        <v>3.58</v>
      </c>
    </row>
    <row r="91" spans="1:6" x14ac:dyDescent="0.2">
      <c r="A91" s="19">
        <v>25</v>
      </c>
      <c r="B91" s="181" t="s">
        <v>22</v>
      </c>
      <c r="C91" s="182"/>
      <c r="D91" s="14">
        <f t="shared" si="5"/>
        <v>765744</v>
      </c>
      <c r="E91" s="17">
        <f>IF(F3="1",SUMIF(Data!A:A,'38'!$A$2,Data!EW:EW),0)</f>
        <v>1767078</v>
      </c>
      <c r="F91" s="21">
        <f t="shared" si="4"/>
        <v>2.31</v>
      </c>
    </row>
    <row r="92" spans="1:6" x14ac:dyDescent="0.2">
      <c r="A92" s="19">
        <v>26</v>
      </c>
      <c r="B92" s="181" t="s">
        <v>23</v>
      </c>
      <c r="C92" s="182"/>
      <c r="D92" s="14">
        <f t="shared" si="5"/>
        <v>159472</v>
      </c>
      <c r="E92" s="17">
        <f>IF(F3="1",SUMIF(Data!A:A,'38'!$A$2,Data!EX:EX),0)</f>
        <v>450056</v>
      </c>
      <c r="F92" s="21">
        <f t="shared" si="4"/>
        <v>2.82</v>
      </c>
    </row>
    <row r="93" spans="1:6" x14ac:dyDescent="0.2">
      <c r="A93" s="19">
        <v>28</v>
      </c>
      <c r="B93" s="181" t="s">
        <v>24</v>
      </c>
      <c r="C93" s="182"/>
      <c r="D93" s="14">
        <f t="shared" si="5"/>
        <v>0</v>
      </c>
      <c r="E93" s="17">
        <f>IF(F3="1",SUMIF(Data!A:A,'38'!$A$2,Data!EZ:EZ),0)</f>
        <v>0</v>
      </c>
      <c r="F93" s="21" t="str">
        <f t="shared" si="4"/>
        <v/>
      </c>
    </row>
    <row r="94" spans="1:6" ht="15.75" customHeight="1" thickBot="1" x14ac:dyDescent="0.25">
      <c r="A94" s="22">
        <v>29</v>
      </c>
      <c r="B94" s="183" t="s">
        <v>25</v>
      </c>
      <c r="C94" s="184"/>
      <c r="D94" s="23">
        <f t="shared" si="5"/>
        <v>0</v>
      </c>
      <c r="E94" s="24">
        <f>IF(F3="1",SUMIF(Data!A:A,'38'!$A$2,Data!FA:FA),0)</f>
        <v>0</v>
      </c>
      <c r="F94" s="25" t="str">
        <f t="shared" si="4"/>
        <v/>
      </c>
    </row>
    <row r="95" spans="1:6" x14ac:dyDescent="0.2">
      <c r="B95" s="30" t="s">
        <v>35</v>
      </c>
      <c r="C95" s="30"/>
      <c r="D95" s="59">
        <f>SUM(D67:D94)</f>
        <v>5695760</v>
      </c>
      <c r="E95" s="31">
        <f>SUM(E67:E94)</f>
        <v>16410171</v>
      </c>
      <c r="F95" s="32">
        <f t="shared" si="4"/>
        <v>2.88</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IF(F3="1",SUMIF(Data!A:A,'38'!$A$2,Data!AH:AH),0)</f>
        <v>9445663</v>
      </c>
      <c r="F98" s="20">
        <f>IF(OR(E98=0,E98=0),"",ROUND(E98/$D$105,2))</f>
        <v>1.66</v>
      </c>
    </row>
    <row r="99" spans="2:6" x14ac:dyDescent="0.2">
      <c r="B99" s="187" t="s">
        <v>31</v>
      </c>
      <c r="C99" s="188"/>
      <c r="D99" s="36"/>
      <c r="E99" s="17">
        <f>IF(F3="1",SUMIF(Data!A:A,'38'!$A$2,Data!AI:AI),0)</f>
        <v>4801775</v>
      </c>
      <c r="F99" s="21">
        <f t="shared" ref="F99:F104" si="6">IF(OR(E99=0,E99=0),"",ROUND(E99/$D$105,2))</f>
        <v>0.84</v>
      </c>
    </row>
    <row r="100" spans="2:6" x14ac:dyDescent="0.2">
      <c r="B100" s="187" t="s">
        <v>1078</v>
      </c>
      <c r="C100" s="188"/>
      <c r="D100" s="36"/>
      <c r="E100" s="17">
        <f>IF(F3="1",SUMIF(Data!A:A,'38'!$A$2,Data!AJ:AJ),0)</f>
        <v>1303044</v>
      </c>
      <c r="F100" s="21">
        <f t="shared" si="6"/>
        <v>0.23</v>
      </c>
    </row>
    <row r="101" spans="2:6" x14ac:dyDescent="0.2">
      <c r="B101" s="187" t="s">
        <v>1079</v>
      </c>
      <c r="C101" s="188"/>
      <c r="D101" s="36"/>
      <c r="E101" s="17">
        <f>IF(F3="1",SUMIF(Data!A:A,'38'!$A$2,Data!AK:AK),0)</f>
        <v>2252817</v>
      </c>
      <c r="F101" s="21">
        <f t="shared" si="6"/>
        <v>0.4</v>
      </c>
    </row>
    <row r="102" spans="2:6" x14ac:dyDescent="0.2">
      <c r="B102" s="187" t="s">
        <v>1080</v>
      </c>
      <c r="C102" s="188"/>
      <c r="D102" s="36"/>
      <c r="E102" s="17">
        <f>IF(F3="1",SUMIF(Data!A:A,'38'!$A$2,Data!AL:AL),0)</f>
        <v>0</v>
      </c>
      <c r="F102" s="21" t="str">
        <f t="shared" si="6"/>
        <v/>
      </c>
    </row>
    <row r="103" spans="2:6" x14ac:dyDescent="0.2">
      <c r="B103" s="189" t="s">
        <v>34</v>
      </c>
      <c r="C103" s="190"/>
      <c r="D103" s="36"/>
      <c r="E103" s="17">
        <f>IF(F3="1",SUMIF(Data!A:A,'38'!$A$2,Data!AM:AM),0)</f>
        <v>0</v>
      </c>
      <c r="F103" s="21" t="str">
        <f t="shared" si="6"/>
        <v/>
      </c>
    </row>
    <row r="104" spans="2:6" ht="15.75" customHeight="1" thickBot="1" x14ac:dyDescent="0.25">
      <c r="B104" s="179" t="s">
        <v>29</v>
      </c>
      <c r="C104" s="180"/>
      <c r="D104" s="37"/>
      <c r="E104" s="24">
        <f>IF(F3="1",SUMIF(Data!A:A,'38'!$A$2,Data!Q:Q),0)</f>
        <v>3178640</v>
      </c>
      <c r="F104" s="25">
        <f t="shared" si="6"/>
        <v>0.56000000000000005</v>
      </c>
    </row>
    <row r="105" spans="2:6" x14ac:dyDescent="0.2">
      <c r="B105" s="30" t="s">
        <v>35</v>
      </c>
      <c r="C105" s="30"/>
      <c r="D105" s="34">
        <f>D95</f>
        <v>5695760</v>
      </c>
      <c r="E105" s="31">
        <f>SUM(E98:E104)</f>
        <v>20981939</v>
      </c>
      <c r="F105" s="32">
        <f>IF($D$105=0,"",ROUND(E105/$D$105,2))</f>
        <v>3.68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16410171</v>
      </c>
      <c r="D109" s="15">
        <f>IF(F3="1",SUMIF(Data!$A:$A,$A$2,Data!HJ:HJ),0)</f>
        <v>0</v>
      </c>
      <c r="E109" s="15">
        <f>IF(F3="1",SUMIF(Data!$A:$A,$A$2,Data!IN:IN),0)</f>
        <v>0</v>
      </c>
      <c r="F109" s="47">
        <f>SUM(C109:E109)</f>
        <v>16410171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3178640</v>
      </c>
      <c r="E117" s="52"/>
      <c r="F117" s="49">
        <f>SUM(C117:E117)</f>
        <v>3178640</v>
      </c>
    </row>
    <row r="118" spans="1:6" x14ac:dyDescent="0.2">
      <c r="B118" s="13" t="s">
        <v>35</v>
      </c>
      <c r="C118" s="4">
        <f>SUM(C109:C116)</f>
        <v>16410171</v>
      </c>
      <c r="D118" s="4">
        <f>SUM(D109:D116)</f>
        <v>0</v>
      </c>
      <c r="E118" s="4">
        <f>SUM(E109:E116)</f>
        <v>0</v>
      </c>
      <c r="F118" s="4">
        <f>SUM(F109:F116)</f>
        <v>16410171</v>
      </c>
    </row>
    <row r="119" spans="1:6" ht="15" thickBot="1" x14ac:dyDescent="0.25"/>
    <row r="120" spans="1:6" ht="15" thickBot="1" x14ac:dyDescent="0.25">
      <c r="B120" s="55" t="s">
        <v>934</v>
      </c>
      <c r="C120" s="53"/>
      <c r="D120" s="53"/>
      <c r="E120" s="53">
        <f>IF(F3="1",SUMIF(Data!A:A,'38'!$A$2,Data!AM:AM),0)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400</v>
      </c>
      <c r="B2" s="58" t="str">
        <f>VLOOKUP(A2,Data!A:G,7,0)</f>
        <v>Southwest Texas Junior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20272</v>
      </c>
      <c r="E5" s="15">
        <f>E36+E67+IFERROR($E$105/$D$105*D5,0)</f>
        <v>190072.40012041302</v>
      </c>
      <c r="F5" s="20">
        <f>IF(OR(D5=0,E5=0),"",ROUND(E5/D5,2))</f>
        <v>9.3800000000000008</v>
      </c>
    </row>
    <row r="6" spans="1:6" x14ac:dyDescent="0.2">
      <c r="A6" s="19">
        <v>2</v>
      </c>
      <c r="B6" s="181" t="s">
        <v>1</v>
      </c>
      <c r="C6" s="182"/>
      <c r="D6" s="14">
        <f t="shared" ref="D6:D32" si="0">D37</f>
        <v>0</v>
      </c>
      <c r="E6" s="17">
        <f t="shared" ref="E6:E32" si="1">E37+E68+IFERROR($E$105/$D$105*D6,0)</f>
        <v>0</v>
      </c>
      <c r="F6" s="21" t="str">
        <f t="shared" ref="F6:F33" si="2">IF(OR(D6=0,E6=0),"",ROUND(E6/D6,2))</f>
        <v/>
      </c>
    </row>
    <row r="7" spans="1:6" ht="14.25" customHeight="1" x14ac:dyDescent="0.2">
      <c r="A7" s="19">
        <v>3</v>
      </c>
      <c r="B7" s="181" t="s">
        <v>2</v>
      </c>
      <c r="C7" s="182"/>
      <c r="D7" s="14">
        <f t="shared" si="0"/>
        <v>156144</v>
      </c>
      <c r="E7" s="17">
        <f t="shared" si="1"/>
        <v>912211.34867806686</v>
      </c>
      <c r="F7" s="21">
        <f t="shared" si="2"/>
        <v>5.84</v>
      </c>
    </row>
    <row r="8" spans="1:6" ht="14.25" customHeight="1" x14ac:dyDescent="0.2">
      <c r="A8" s="19">
        <v>4</v>
      </c>
      <c r="B8" s="181" t="s">
        <v>3</v>
      </c>
      <c r="C8" s="182"/>
      <c r="D8" s="14">
        <f t="shared" si="0"/>
        <v>162181</v>
      </c>
      <c r="E8" s="17">
        <f t="shared" si="1"/>
        <v>1279500.3710994823</v>
      </c>
      <c r="F8" s="21">
        <f t="shared" si="2"/>
        <v>7.89</v>
      </c>
    </row>
    <row r="9" spans="1:6" x14ac:dyDescent="0.2">
      <c r="A9" s="19">
        <v>5</v>
      </c>
      <c r="B9" s="181" t="s">
        <v>4</v>
      </c>
      <c r="C9" s="182"/>
      <c r="D9" s="14">
        <f t="shared" si="0"/>
        <v>6448</v>
      </c>
      <c r="E9" s="17">
        <f t="shared" si="1"/>
        <v>95710.807615253711</v>
      </c>
      <c r="F9" s="21">
        <f t="shared" si="2"/>
        <v>14.84</v>
      </c>
    </row>
    <row r="10" spans="1:6" x14ac:dyDescent="0.2">
      <c r="A10" s="19">
        <v>6</v>
      </c>
      <c r="B10" s="181" t="s">
        <v>5</v>
      </c>
      <c r="C10" s="182"/>
      <c r="D10" s="14">
        <f t="shared" si="0"/>
        <v>7312</v>
      </c>
      <c r="E10" s="17">
        <f t="shared" si="1"/>
        <v>61273.407146826168</v>
      </c>
      <c r="F10" s="21">
        <f t="shared" si="2"/>
        <v>8.3800000000000008</v>
      </c>
    </row>
    <row r="11" spans="1:6" x14ac:dyDescent="0.2">
      <c r="A11" s="19">
        <v>7</v>
      </c>
      <c r="B11" s="181" t="s">
        <v>6</v>
      </c>
      <c r="C11" s="182"/>
      <c r="D11" s="14">
        <f t="shared" si="0"/>
        <v>102443</v>
      </c>
      <c r="E11" s="17">
        <f t="shared" si="1"/>
        <v>417828.25209823751</v>
      </c>
      <c r="F11" s="21">
        <f t="shared" si="2"/>
        <v>4.08</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108000</v>
      </c>
      <c r="E13" s="17">
        <f t="shared" si="1"/>
        <v>588154.94144655718</v>
      </c>
      <c r="F13" s="21">
        <f t="shared" si="2"/>
        <v>5.45</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13472</v>
      </c>
      <c r="E15" s="17">
        <f t="shared" si="1"/>
        <v>140137.01491822238</v>
      </c>
      <c r="F15" s="21">
        <f t="shared" si="2"/>
        <v>10.4</v>
      </c>
    </row>
    <row r="16" spans="1:6" ht="14.25" customHeight="1" x14ac:dyDescent="0.2">
      <c r="A16" s="19">
        <v>12</v>
      </c>
      <c r="B16" s="181" t="s">
        <v>11</v>
      </c>
      <c r="C16" s="182"/>
      <c r="D16" s="14">
        <f t="shared" si="0"/>
        <v>315648</v>
      </c>
      <c r="E16" s="17">
        <f t="shared" si="1"/>
        <v>1884089.0288678044</v>
      </c>
      <c r="F16" s="21">
        <f t="shared" si="2"/>
        <v>5.97</v>
      </c>
    </row>
    <row r="17" spans="1:6" x14ac:dyDescent="0.2">
      <c r="A17" s="19">
        <v>13</v>
      </c>
      <c r="B17" s="181" t="s">
        <v>12</v>
      </c>
      <c r="C17" s="182"/>
      <c r="D17" s="14">
        <f t="shared" si="0"/>
        <v>18064</v>
      </c>
      <c r="E17" s="17">
        <f t="shared" si="1"/>
        <v>114267.86798417231</v>
      </c>
      <c r="F17" s="21">
        <f t="shared" si="2"/>
        <v>6.33</v>
      </c>
    </row>
    <row r="18" spans="1:6" ht="14.25" customHeight="1" x14ac:dyDescent="0.2">
      <c r="A18" s="19">
        <v>14</v>
      </c>
      <c r="B18" s="181" t="s">
        <v>464</v>
      </c>
      <c r="C18" s="182"/>
      <c r="D18" s="14">
        <f t="shared" si="0"/>
        <v>0</v>
      </c>
      <c r="E18" s="17">
        <f t="shared" si="1"/>
        <v>0</v>
      </c>
      <c r="F18" s="21" t="str">
        <f t="shared" si="2"/>
        <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4348</v>
      </c>
      <c r="E20" s="17">
        <f t="shared" si="1"/>
        <v>79225.350420459537</v>
      </c>
      <c r="F20" s="21">
        <f t="shared" si="2"/>
        <v>18.22</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67920</v>
      </c>
      <c r="E22" s="17">
        <f t="shared" si="1"/>
        <v>483882.12984305702</v>
      </c>
      <c r="F22" s="21">
        <f t="shared" si="2"/>
        <v>7.12</v>
      </c>
    </row>
    <row r="23" spans="1:6" x14ac:dyDescent="0.2">
      <c r="A23" s="19">
        <v>19</v>
      </c>
      <c r="B23" s="181" t="s">
        <v>17</v>
      </c>
      <c r="C23" s="182"/>
      <c r="D23" s="14">
        <f t="shared" si="0"/>
        <v>164400</v>
      </c>
      <c r="E23" s="17">
        <f t="shared" si="1"/>
        <v>885950.07753531472</v>
      </c>
      <c r="F23" s="21">
        <f t="shared" si="2"/>
        <v>5.39</v>
      </c>
    </row>
    <row r="24" spans="1:6" x14ac:dyDescent="0.2">
      <c r="A24" s="19">
        <v>20</v>
      </c>
      <c r="B24" s="181" t="s">
        <v>18</v>
      </c>
      <c r="C24" s="182"/>
      <c r="D24" s="14">
        <f t="shared" si="0"/>
        <v>29568</v>
      </c>
      <c r="E24" s="17">
        <f t="shared" si="1"/>
        <v>196807.51730270189</v>
      </c>
      <c r="F24" s="21">
        <f t="shared" si="2"/>
        <v>6.66</v>
      </c>
    </row>
    <row r="25" spans="1:6" ht="14.25" customHeight="1" x14ac:dyDescent="0.2">
      <c r="A25" s="19">
        <v>21</v>
      </c>
      <c r="B25" s="181" t="s">
        <v>461</v>
      </c>
      <c r="C25" s="182"/>
      <c r="D25" s="14">
        <f t="shared" si="0"/>
        <v>40048</v>
      </c>
      <c r="E25" s="17">
        <f t="shared" si="1"/>
        <v>847552.12273196038</v>
      </c>
      <c r="F25" s="21">
        <f t="shared" si="2"/>
        <v>21.16</v>
      </c>
    </row>
    <row r="26" spans="1:6" x14ac:dyDescent="0.2">
      <c r="A26" s="19">
        <v>22</v>
      </c>
      <c r="B26" s="181" t="s">
        <v>19</v>
      </c>
      <c r="C26" s="182"/>
      <c r="D26" s="14">
        <f t="shared" si="0"/>
        <v>1504</v>
      </c>
      <c r="E26" s="17">
        <f t="shared" si="1"/>
        <v>8509.3769623668704</v>
      </c>
      <c r="F26" s="21">
        <f t="shared" si="2"/>
        <v>5.66</v>
      </c>
    </row>
    <row r="27" spans="1:6" x14ac:dyDescent="0.2">
      <c r="A27" s="19">
        <v>23</v>
      </c>
      <c r="B27" s="181" t="s">
        <v>20</v>
      </c>
      <c r="C27" s="182"/>
      <c r="D27" s="14">
        <f t="shared" si="0"/>
        <v>74922</v>
      </c>
      <c r="E27" s="17">
        <f t="shared" si="1"/>
        <v>467413.98854684219</v>
      </c>
      <c r="F27" s="21">
        <f t="shared" si="2"/>
        <v>6.24</v>
      </c>
    </row>
    <row r="28" spans="1:6" x14ac:dyDescent="0.2">
      <c r="A28" s="19">
        <v>24</v>
      </c>
      <c r="B28" s="181" t="s">
        <v>21</v>
      </c>
      <c r="C28" s="182"/>
      <c r="D28" s="14">
        <f t="shared" si="0"/>
        <v>59468</v>
      </c>
      <c r="E28" s="17">
        <f t="shared" si="1"/>
        <v>374099.93164762831</v>
      </c>
      <c r="F28" s="21">
        <f t="shared" si="2"/>
        <v>6.29</v>
      </c>
    </row>
    <row r="29" spans="1:6" x14ac:dyDescent="0.2">
      <c r="A29" s="19">
        <v>25</v>
      </c>
      <c r="B29" s="181" t="s">
        <v>22</v>
      </c>
      <c r="C29" s="182"/>
      <c r="D29" s="14">
        <f t="shared" si="0"/>
        <v>310224</v>
      </c>
      <c r="E29" s="17">
        <f t="shared" si="1"/>
        <v>1692572.2651418217</v>
      </c>
      <c r="F29" s="21">
        <f t="shared" si="2"/>
        <v>5.46</v>
      </c>
    </row>
    <row r="30" spans="1:6" x14ac:dyDescent="0.2">
      <c r="A30" s="19">
        <v>26</v>
      </c>
      <c r="B30" s="181" t="s">
        <v>23</v>
      </c>
      <c r="C30" s="182"/>
      <c r="D30" s="14">
        <f t="shared" si="0"/>
        <v>61680</v>
      </c>
      <c r="E30" s="17">
        <f t="shared" si="1"/>
        <v>328454.79989281157</v>
      </c>
      <c r="F30" s="21">
        <f t="shared" si="2"/>
        <v>5.33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1724066</v>
      </c>
      <c r="E33" s="31">
        <f>SUM(E5:E32)</f>
        <v>11047713</v>
      </c>
      <c r="F33" s="32">
        <f t="shared" si="2"/>
        <v>6.41</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IF(F3="1",SUMIF(Data!A:A,'39'!$A$2,Data!CU:CU),0)</f>
        <v>20272</v>
      </c>
      <c r="E36" s="15">
        <f>IF(F3="1",SUMIF(Data!$A:$A,$A$2,Data!IO:IO),0)</f>
        <v>18284</v>
      </c>
      <c r="F36" s="20">
        <f t="shared" ref="F36:F64" si="3">IF(OR(D36=0,E36=0),"",ROUND(E36/D36,2))</f>
        <v>0.9</v>
      </c>
    </row>
    <row r="37" spans="1:6" x14ac:dyDescent="0.2">
      <c r="A37" s="19">
        <v>2</v>
      </c>
      <c r="B37" s="181" t="s">
        <v>1</v>
      </c>
      <c r="C37" s="182"/>
      <c r="D37" s="14">
        <f>IF(F3="1",SUMIF(Data!A:A,'39'!$A$2,Data!CV:CV),0)</f>
        <v>0</v>
      </c>
      <c r="E37" s="17">
        <f>IF(F3="1",SUMIF(Data!$A:$A,$A$2,Data!IP:IP),0)</f>
        <v>0</v>
      </c>
      <c r="F37" s="21" t="str">
        <f t="shared" si="3"/>
        <v/>
      </c>
    </row>
    <row r="38" spans="1:6" ht="14.25" customHeight="1" x14ac:dyDescent="0.2">
      <c r="A38" s="19">
        <v>3</v>
      </c>
      <c r="B38" s="181" t="s">
        <v>2</v>
      </c>
      <c r="C38" s="182"/>
      <c r="D38" s="14">
        <f>IF(F3="1",SUMIF(Data!A:A,'39'!$A$2,Data!CW:CW),0)</f>
        <v>156144</v>
      </c>
      <c r="E38" s="17">
        <f>IF($F$3="1",SUMIF(Data!$A:$A,$A$2,Data!IQ:IQ),0)</f>
        <v>63808</v>
      </c>
      <c r="F38" s="21">
        <f t="shared" si="3"/>
        <v>0.41</v>
      </c>
    </row>
    <row r="39" spans="1:6" ht="14.25" customHeight="1" x14ac:dyDescent="0.2">
      <c r="A39" s="19">
        <v>4</v>
      </c>
      <c r="B39" s="181" t="s">
        <v>3</v>
      </c>
      <c r="C39" s="182"/>
      <c r="D39" s="14">
        <f>IF(F3="1",SUMIF(Data!A:A,'39'!$A$2,Data!CX:CX),0)</f>
        <v>162181</v>
      </c>
      <c r="E39" s="17">
        <f>IF($F$3="1",SUMIF(Data!$A:$A,$A$2,Data!IR:IR),0)</f>
        <v>267926</v>
      </c>
      <c r="F39" s="21">
        <f t="shared" si="3"/>
        <v>1.65</v>
      </c>
    </row>
    <row r="40" spans="1:6" x14ac:dyDescent="0.2">
      <c r="A40" s="19">
        <v>5</v>
      </c>
      <c r="B40" s="181" t="s">
        <v>4</v>
      </c>
      <c r="C40" s="182"/>
      <c r="D40" s="14">
        <f>IF(F3="1",SUMIF(Data!A:A,'39'!$A$2,Data!CY:CY),0)</f>
        <v>6448</v>
      </c>
      <c r="E40" s="17">
        <f>IF($F$3="1",SUMIF(Data!$A:$A,$A$2,Data!IS:IS),0)</f>
        <v>29185</v>
      </c>
      <c r="F40" s="21">
        <f t="shared" si="3"/>
        <v>4.53</v>
      </c>
    </row>
    <row r="41" spans="1:6" x14ac:dyDescent="0.2">
      <c r="A41" s="19">
        <v>6</v>
      </c>
      <c r="B41" s="181" t="s">
        <v>5</v>
      </c>
      <c r="C41" s="182"/>
      <c r="D41" s="14">
        <f>IF(F3="1",SUMIF(Data!A:A,'39'!$A$2,Data!CZ:CZ),0)</f>
        <v>7312</v>
      </c>
      <c r="E41" s="17">
        <f>IF($F$3="1",SUMIF(Data!$A:$A,$A$2,Data!IT:IT),0)</f>
        <v>4292</v>
      </c>
      <c r="F41" s="21">
        <f t="shared" si="3"/>
        <v>0.59</v>
      </c>
    </row>
    <row r="42" spans="1:6" x14ac:dyDescent="0.2">
      <c r="A42" s="19">
        <v>7</v>
      </c>
      <c r="B42" s="181" t="s">
        <v>6</v>
      </c>
      <c r="C42" s="182"/>
      <c r="D42" s="14">
        <f>IF(F3="1",SUMIF(Data!A:A,'39'!$A$2,Data!DA:DA),0)</f>
        <v>102443</v>
      </c>
      <c r="E42" s="17">
        <f>IF($F$3="1",SUMIF(Data!$A:$A,$A$2,Data!IU:IU),0)</f>
        <v>6545</v>
      </c>
      <c r="F42" s="21">
        <f t="shared" si="3"/>
        <v>0.06</v>
      </c>
    </row>
    <row r="43" spans="1:6" x14ac:dyDescent="0.2">
      <c r="A43" s="19">
        <v>8</v>
      </c>
      <c r="B43" s="181" t="s">
        <v>7</v>
      </c>
      <c r="C43" s="182"/>
      <c r="D43" s="14">
        <f>IF(F3="1",SUMIF(Data!A:A,'39'!$A$2,Data!DB:DB),0)</f>
        <v>0</v>
      </c>
      <c r="E43" s="17">
        <f>IF($F$3="1",SUMIF(Data!$A:$A,$A$2,Data!IV:IV),0)</f>
        <v>0</v>
      </c>
      <c r="F43" s="21" t="str">
        <f t="shared" si="3"/>
        <v/>
      </c>
    </row>
    <row r="44" spans="1:6" x14ac:dyDescent="0.2">
      <c r="A44" s="19">
        <v>9</v>
      </c>
      <c r="B44" s="181" t="s">
        <v>8</v>
      </c>
      <c r="C44" s="182"/>
      <c r="D44" s="14">
        <f>IF(F3="1",SUMIF(Data!A:A,'39'!$A$2,Data!DC:DC),0)</f>
        <v>108000</v>
      </c>
      <c r="E44" s="17">
        <f>IF($F$3="1",SUMIF(Data!$A:$A,$A$2,Data!IW:IW),0)</f>
        <v>126529</v>
      </c>
      <c r="F44" s="21">
        <f t="shared" si="3"/>
        <v>1.17</v>
      </c>
    </row>
    <row r="45" spans="1:6" x14ac:dyDescent="0.2">
      <c r="A45" s="19">
        <v>10</v>
      </c>
      <c r="B45" s="181" t="s">
        <v>9</v>
      </c>
      <c r="C45" s="182"/>
      <c r="D45" s="14">
        <f>IF(F3="1",SUMIF(Data!A:A,'39'!$A$2,Data!DD:DD),0)</f>
        <v>0</v>
      </c>
      <c r="E45" s="17">
        <f>IF($F$3="1",SUMIF(Data!$A:$A,$A$2,Data!IX:IX),0)</f>
        <v>0</v>
      </c>
      <c r="F45" s="21" t="str">
        <f t="shared" si="3"/>
        <v/>
      </c>
    </row>
    <row r="46" spans="1:6" x14ac:dyDescent="0.2">
      <c r="A46" s="19">
        <v>11</v>
      </c>
      <c r="B46" s="181" t="s">
        <v>10</v>
      </c>
      <c r="C46" s="182"/>
      <c r="D46" s="14">
        <f>IF(F3="1",SUMIF(Data!A:A,'39'!$A$2,Data!DE:DE),0)</f>
        <v>13472</v>
      </c>
      <c r="E46" s="17">
        <f>IF($F$3="1",SUMIF(Data!$A:$A,$A$2,Data!IY:IY),0)</f>
        <v>12355</v>
      </c>
      <c r="F46" s="21">
        <f t="shared" si="3"/>
        <v>0.92</v>
      </c>
    </row>
    <row r="47" spans="1:6" ht="14.25" customHeight="1" x14ac:dyDescent="0.2">
      <c r="A47" s="19">
        <v>12</v>
      </c>
      <c r="B47" s="181" t="s">
        <v>11</v>
      </c>
      <c r="C47" s="182"/>
      <c r="D47" s="14">
        <f>IF(F3="1",SUMIF(Data!A:A,'39'!$A$2,Data!DF:DF),0)</f>
        <v>315648</v>
      </c>
      <c r="E47" s="17">
        <f>IF($F$3="1",SUMIF(Data!$A:$A,$A$2,Data!IZ:IZ),0)</f>
        <v>106120</v>
      </c>
      <c r="F47" s="21">
        <f t="shared" si="3"/>
        <v>0.34</v>
      </c>
    </row>
    <row r="48" spans="1:6" x14ac:dyDescent="0.2">
      <c r="A48" s="19">
        <v>13</v>
      </c>
      <c r="B48" s="181" t="s">
        <v>12</v>
      </c>
      <c r="C48" s="182"/>
      <c r="D48" s="14">
        <f>IF(F3="1",SUMIF(Data!A:A,'39'!$A$2,Data!DG:DG),0)</f>
        <v>18064</v>
      </c>
      <c r="E48" s="17">
        <f>IF($F$3="1",SUMIF(Data!$A:$A,$A$2,Data!JA:JA),0)</f>
        <v>4376</v>
      </c>
      <c r="F48" s="21">
        <f t="shared" si="3"/>
        <v>0.24</v>
      </c>
    </row>
    <row r="49" spans="1:6" ht="14.25" customHeight="1" x14ac:dyDescent="0.2">
      <c r="A49" s="19">
        <v>14</v>
      </c>
      <c r="B49" s="181" t="s">
        <v>464</v>
      </c>
      <c r="C49" s="182"/>
      <c r="D49" s="14">
        <f>IF(F3="1",SUMIF(Data!A:A,'39'!$A$2,Data!DH:DH),0)</f>
        <v>0</v>
      </c>
      <c r="E49" s="17">
        <f>IF($F$3="1",SUMIF(Data!$A:$A,$A$2,Data!JB:JB),0)</f>
        <v>0</v>
      </c>
      <c r="F49" s="21" t="str">
        <f t="shared" si="3"/>
        <v/>
      </c>
    </row>
    <row r="50" spans="1:6" x14ac:dyDescent="0.2">
      <c r="A50" s="19">
        <v>15</v>
      </c>
      <c r="B50" s="181" t="s">
        <v>13</v>
      </c>
      <c r="C50" s="182"/>
      <c r="D50" s="14">
        <f>IF(F3="1",SUMIF(Data!A:A,'39'!$A$2,Data!DI:DI),0)</f>
        <v>0</v>
      </c>
      <c r="E50" s="17">
        <f>IF($F$3="1",SUMIF(Data!$A:$A,$A$2,Data!JC:JC),0)</f>
        <v>0</v>
      </c>
      <c r="F50" s="21" t="str">
        <f t="shared" si="3"/>
        <v/>
      </c>
    </row>
    <row r="51" spans="1:6" x14ac:dyDescent="0.2">
      <c r="A51" s="19">
        <v>16</v>
      </c>
      <c r="B51" s="181" t="s">
        <v>14</v>
      </c>
      <c r="C51" s="182"/>
      <c r="D51" s="14">
        <f>IF(F3="1",SUMIF(Data!A:A,'39'!$A$2,Data!DJ:DJ),0)</f>
        <v>4348</v>
      </c>
      <c r="E51" s="17">
        <f>IF($F$3="1",SUMIF(Data!$A:$A,$A$2,Data!JD:JD),0)</f>
        <v>66903</v>
      </c>
      <c r="F51" s="21">
        <f t="shared" si="3"/>
        <v>15.39</v>
      </c>
    </row>
    <row r="52" spans="1:6" x14ac:dyDescent="0.2">
      <c r="A52" s="19">
        <v>17</v>
      </c>
      <c r="B52" s="181" t="s">
        <v>15</v>
      </c>
      <c r="C52" s="182"/>
      <c r="D52" s="14">
        <f>IF(F3="1",SUMIF(Data!A:A,'39'!$A$2,Data!DK:DK),0)</f>
        <v>0</v>
      </c>
      <c r="E52" s="17">
        <f>IF($F$3="1",SUMIF(Data!$A:$A,$A$2,Data!JE:JE),0)</f>
        <v>0</v>
      </c>
      <c r="F52" s="21" t="str">
        <f t="shared" si="3"/>
        <v/>
      </c>
    </row>
    <row r="53" spans="1:6" x14ac:dyDescent="0.2">
      <c r="A53" s="19">
        <v>18</v>
      </c>
      <c r="B53" s="181" t="s">
        <v>16</v>
      </c>
      <c r="C53" s="182"/>
      <c r="D53" s="14">
        <f>IF(F3="1",SUMIF(Data!A:A,'39'!$A$2,Data!DL:DL),0)</f>
        <v>67920</v>
      </c>
      <c r="E53" s="17">
        <f>IF($F$3="1",SUMIF(Data!$A:$A,$A$2,Data!JF:JF),0)</f>
        <v>71215</v>
      </c>
      <c r="F53" s="21">
        <f t="shared" si="3"/>
        <v>1.05</v>
      </c>
    </row>
    <row r="54" spans="1:6" x14ac:dyDescent="0.2">
      <c r="A54" s="19">
        <v>19</v>
      </c>
      <c r="B54" s="181" t="s">
        <v>17</v>
      </c>
      <c r="C54" s="182"/>
      <c r="D54" s="14">
        <f>IF(F3="1",SUMIF(Data!A:A,'39'!$A$2,Data!DM:DM),0)</f>
        <v>164400</v>
      </c>
      <c r="E54" s="17">
        <f>IF($F$3="1",SUMIF(Data!$A:$A,$A$2,Data!JG:JG),0)</f>
        <v>81110</v>
      </c>
      <c r="F54" s="21">
        <f t="shared" si="3"/>
        <v>0.49</v>
      </c>
    </row>
    <row r="55" spans="1:6" x14ac:dyDescent="0.2">
      <c r="A55" s="19">
        <v>20</v>
      </c>
      <c r="B55" s="181" t="s">
        <v>18</v>
      </c>
      <c r="C55" s="182"/>
      <c r="D55" s="14">
        <f>IF(F3="1",SUMIF(Data!A:A,'39'!$A$2,Data!DN:DN),0)</f>
        <v>29568</v>
      </c>
      <c r="E55" s="17">
        <f>IF($F$3="1",SUMIF(Data!$A:$A,$A$2,Data!JH:JH),0)</f>
        <v>33822</v>
      </c>
      <c r="F55" s="21">
        <f t="shared" si="3"/>
        <v>1.1399999999999999</v>
      </c>
    </row>
    <row r="56" spans="1:6" ht="14.25" customHeight="1" x14ac:dyDescent="0.2">
      <c r="A56" s="19">
        <v>21</v>
      </c>
      <c r="B56" s="181" t="s">
        <v>461</v>
      </c>
      <c r="C56" s="182"/>
      <c r="D56" s="14">
        <f>IF(F3="1",SUMIF(Data!A:A,'39'!$A$2,Data!DO:DO),0)</f>
        <v>40048</v>
      </c>
      <c r="E56" s="17">
        <f>IF($F$3="1",SUMIF(Data!$A:$A,$A$2,Data!JI:JI),0)</f>
        <v>734055</v>
      </c>
      <c r="F56" s="21">
        <f t="shared" si="3"/>
        <v>18.329999999999998</v>
      </c>
    </row>
    <row r="57" spans="1:6" x14ac:dyDescent="0.2">
      <c r="A57" s="19">
        <v>22</v>
      </c>
      <c r="B57" s="181" t="s">
        <v>19</v>
      </c>
      <c r="C57" s="182"/>
      <c r="D57" s="14">
        <f>IF(F3="1",SUMIF(Data!A:A,'39'!$A$2,Data!DP:DP),0)</f>
        <v>1504</v>
      </c>
      <c r="E57" s="17">
        <f>IF($F$3="1",SUMIF(Data!$A:$A,$A$2,Data!JJ:JJ),0)</f>
        <v>4247</v>
      </c>
      <c r="F57" s="21">
        <f t="shared" si="3"/>
        <v>2.82</v>
      </c>
    </row>
    <row r="58" spans="1:6" x14ac:dyDescent="0.2">
      <c r="A58" s="19">
        <v>23</v>
      </c>
      <c r="B58" s="181" t="s">
        <v>20</v>
      </c>
      <c r="C58" s="182"/>
      <c r="D58" s="14">
        <f>IF(F3="1",SUMIF(Data!A:A,'39'!$A$2,Data!DQ:DQ),0)</f>
        <v>74922</v>
      </c>
      <c r="E58" s="17">
        <f>IF($F$3="1",SUMIF(Data!$A:$A,$A$2,Data!JK:JK),0)</f>
        <v>69764</v>
      </c>
      <c r="F58" s="21">
        <f t="shared" si="3"/>
        <v>0.93</v>
      </c>
    </row>
    <row r="59" spans="1:6" x14ac:dyDescent="0.2">
      <c r="A59" s="19">
        <v>24</v>
      </c>
      <c r="B59" s="181" t="s">
        <v>21</v>
      </c>
      <c r="C59" s="182"/>
      <c r="D59" s="14">
        <f>IF(F3="1",SUMIF(Data!A:A,'39'!$A$2,Data!DR:DR),0)</f>
        <v>59468</v>
      </c>
      <c r="E59" s="17">
        <f>IF($F$3="1",SUMIF(Data!$A:$A,$A$2,Data!JL:JL),0)</f>
        <v>106499</v>
      </c>
      <c r="F59" s="21">
        <f t="shared" si="3"/>
        <v>1.79</v>
      </c>
    </row>
    <row r="60" spans="1:6" x14ac:dyDescent="0.2">
      <c r="A60" s="19">
        <v>25</v>
      </c>
      <c r="B60" s="181" t="s">
        <v>22</v>
      </c>
      <c r="C60" s="182"/>
      <c r="D60" s="14">
        <f>IF(F3="1",SUMIF(Data!A:A,'39'!$A$2,Data!DS:DS),0)</f>
        <v>310224</v>
      </c>
      <c r="E60" s="17">
        <f>IF($F$3="1",SUMIF(Data!$A:$A,$A$2,Data!JM:JM),0)</f>
        <v>36204</v>
      </c>
      <c r="F60" s="21">
        <f t="shared" si="3"/>
        <v>0.12</v>
      </c>
    </row>
    <row r="61" spans="1:6" x14ac:dyDescent="0.2">
      <c r="A61" s="19">
        <v>26</v>
      </c>
      <c r="B61" s="181" t="s">
        <v>23</v>
      </c>
      <c r="C61" s="182"/>
      <c r="D61" s="14">
        <f>IF(F3="1",SUMIF(Data!A:A,'39'!$A$2,Data!DT:DT),0)</f>
        <v>61680</v>
      </c>
      <c r="E61" s="17">
        <f>IF($F$3="1",SUMIF(Data!$A:$A,$A$2,Data!JN:JN),0)</f>
        <v>12295</v>
      </c>
      <c r="F61" s="21">
        <f t="shared" si="3"/>
        <v>0.2</v>
      </c>
    </row>
    <row r="62" spans="1:6" x14ac:dyDescent="0.2">
      <c r="A62" s="19">
        <v>28</v>
      </c>
      <c r="B62" s="181" t="s">
        <v>24</v>
      </c>
      <c r="C62" s="182"/>
      <c r="D62" s="14">
        <f>IF(F3="1",SUMIF(Data!A:A,'39'!$A$2,Data!DV:DV),0)</f>
        <v>0</v>
      </c>
      <c r="E62" s="17">
        <f>IF($F$3="1",SUMIF(Data!$A:$A,$A$2,Data!JP:JP),0)</f>
        <v>0</v>
      </c>
      <c r="F62" s="21" t="str">
        <f t="shared" si="3"/>
        <v/>
      </c>
    </row>
    <row r="63" spans="1:6" ht="15.75" customHeight="1" thickBot="1" x14ac:dyDescent="0.25">
      <c r="A63" s="22">
        <v>29</v>
      </c>
      <c r="B63" s="183" t="s">
        <v>25</v>
      </c>
      <c r="C63" s="184"/>
      <c r="D63" s="23">
        <f>IF(F3="1",SUMIF(Data!A:A,'39'!$A$2,Data!DW:DW),0)</f>
        <v>0</v>
      </c>
      <c r="E63" s="24">
        <f>IF($F$3="1",SUMIF(Data!$A:$A,$A$2,Data!JQ:JQ),0)</f>
        <v>0</v>
      </c>
      <c r="F63" s="25" t="str">
        <f t="shared" si="3"/>
        <v/>
      </c>
    </row>
    <row r="64" spans="1:6" x14ac:dyDescent="0.2">
      <c r="B64" s="30" t="s">
        <v>35</v>
      </c>
      <c r="C64" s="30"/>
      <c r="D64" s="59">
        <f>SUM(D36:D63)</f>
        <v>1724066</v>
      </c>
      <c r="E64" s="31">
        <f>SUM(E36:E63)</f>
        <v>1855534</v>
      </c>
      <c r="F64" s="32">
        <f t="shared" si="3"/>
        <v>1.08</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20272</v>
      </c>
      <c r="E67" s="15">
        <f>IF(F3="1",SUMIF(Data!A:A,'39'!$A$2,Data!DY:DY),0)</f>
        <v>114337</v>
      </c>
      <c r="F67" s="20">
        <f t="shared" ref="F67:F95" si="4">IF(OR(D67=0,E67=0),"",ROUND(E67/D67,2))</f>
        <v>5.64</v>
      </c>
    </row>
    <row r="68" spans="1:6" x14ac:dyDescent="0.2">
      <c r="A68" s="19">
        <v>2</v>
      </c>
      <c r="B68" s="181" t="s">
        <v>1</v>
      </c>
      <c r="C68" s="182"/>
      <c r="D68" s="14">
        <f t="shared" ref="D68:D94" si="5">D37</f>
        <v>0</v>
      </c>
      <c r="E68" s="17">
        <f>IF(F3="1",SUMIF(Data!A:A,'39'!$A$2,Data!DZ:DZ),0)</f>
        <v>0</v>
      </c>
      <c r="F68" s="21" t="str">
        <f t="shared" si="4"/>
        <v/>
      </c>
    </row>
    <row r="69" spans="1:6" ht="14.25" customHeight="1" x14ac:dyDescent="0.2">
      <c r="A69" s="19">
        <v>3</v>
      </c>
      <c r="B69" s="181" t="s">
        <v>2</v>
      </c>
      <c r="C69" s="182"/>
      <c r="D69" s="14">
        <f t="shared" si="5"/>
        <v>156144</v>
      </c>
      <c r="E69" s="17">
        <f>IF(F3="1",SUMIF(Data!A:A,'39'!$A$2,Data!EA:EA),0)</f>
        <v>405887</v>
      </c>
      <c r="F69" s="21">
        <f t="shared" si="4"/>
        <v>2.6</v>
      </c>
    </row>
    <row r="70" spans="1:6" ht="14.25" customHeight="1" x14ac:dyDescent="0.2">
      <c r="A70" s="19">
        <v>4</v>
      </c>
      <c r="B70" s="181" t="s">
        <v>3</v>
      </c>
      <c r="C70" s="182"/>
      <c r="D70" s="14">
        <f t="shared" si="5"/>
        <v>162181</v>
      </c>
      <c r="E70" s="17">
        <f>IF(F3="1",SUMIF(Data!A:A,'39'!$A$2,Data!EB:EB),0)</f>
        <v>551949</v>
      </c>
      <c r="F70" s="21">
        <f t="shared" si="4"/>
        <v>3.4</v>
      </c>
    </row>
    <row r="71" spans="1:6" x14ac:dyDescent="0.2">
      <c r="A71" s="19">
        <v>5</v>
      </c>
      <c r="B71" s="181" t="s">
        <v>4</v>
      </c>
      <c r="C71" s="182"/>
      <c r="D71" s="14">
        <f t="shared" si="5"/>
        <v>6448</v>
      </c>
      <c r="E71" s="17">
        <f>IF(F3="1",SUMIF(Data!A:A,'39'!$A$2,Data!EC:EC),0)</f>
        <v>48252</v>
      </c>
      <c r="F71" s="21">
        <f t="shared" si="4"/>
        <v>7.48</v>
      </c>
    </row>
    <row r="72" spans="1:6" x14ac:dyDescent="0.2">
      <c r="A72" s="19">
        <v>6</v>
      </c>
      <c r="B72" s="181" t="s">
        <v>5</v>
      </c>
      <c r="C72" s="182"/>
      <c r="D72" s="14">
        <f t="shared" si="5"/>
        <v>7312</v>
      </c>
      <c r="E72" s="17">
        <f>IF(F3="1",SUMIF(Data!A:A,'39'!$A$2,Data!ED:ED),0)</f>
        <v>36259</v>
      </c>
      <c r="F72" s="21">
        <f t="shared" si="4"/>
        <v>4.96</v>
      </c>
    </row>
    <row r="73" spans="1:6" x14ac:dyDescent="0.2">
      <c r="A73" s="19">
        <v>7</v>
      </c>
      <c r="B73" s="181" t="s">
        <v>6</v>
      </c>
      <c r="C73" s="182"/>
      <c r="D73" s="14">
        <f t="shared" si="5"/>
        <v>102443</v>
      </c>
      <c r="E73" s="17">
        <f>IF(F3="1",SUMIF(Data!A:A,'39'!$A$2,Data!EE:EE),0)</f>
        <v>120957</v>
      </c>
      <c r="F73" s="21">
        <f t="shared" si="4"/>
        <v>1.18</v>
      </c>
    </row>
    <row r="74" spans="1:6" x14ac:dyDescent="0.2">
      <c r="A74" s="19">
        <v>8</v>
      </c>
      <c r="B74" s="181" t="s">
        <v>7</v>
      </c>
      <c r="C74" s="182"/>
      <c r="D74" s="14">
        <f t="shared" si="5"/>
        <v>0</v>
      </c>
      <c r="E74" s="17">
        <f>IF(F3="1",SUMIF(Data!A:A,'39'!$A$2,Data!EF:EF),0)</f>
        <v>0</v>
      </c>
      <c r="F74" s="21" t="str">
        <f t="shared" si="4"/>
        <v/>
      </c>
    </row>
    <row r="75" spans="1:6" x14ac:dyDescent="0.2">
      <c r="A75" s="19">
        <v>9</v>
      </c>
      <c r="B75" s="181" t="s">
        <v>8</v>
      </c>
      <c r="C75" s="182"/>
      <c r="D75" s="14">
        <f t="shared" si="5"/>
        <v>108000</v>
      </c>
      <c r="E75" s="17">
        <f>IF(F3="1",SUMIF(Data!A:A,'39'!$A$2,Data!EG:EG),0)</f>
        <v>155551</v>
      </c>
      <c r="F75" s="21">
        <f t="shared" si="4"/>
        <v>1.44</v>
      </c>
    </row>
    <row r="76" spans="1:6" x14ac:dyDescent="0.2">
      <c r="A76" s="19">
        <v>10</v>
      </c>
      <c r="B76" s="181" t="s">
        <v>9</v>
      </c>
      <c r="C76" s="182"/>
      <c r="D76" s="14">
        <f t="shared" si="5"/>
        <v>0</v>
      </c>
      <c r="E76" s="17">
        <f>IF(F3="1",SUMIF(Data!A:A,'39'!$A$2,Data!EH:EH),0)</f>
        <v>0</v>
      </c>
      <c r="F76" s="21" t="str">
        <f t="shared" si="4"/>
        <v/>
      </c>
    </row>
    <row r="77" spans="1:6" x14ac:dyDescent="0.2">
      <c r="A77" s="19">
        <v>11</v>
      </c>
      <c r="B77" s="181" t="s">
        <v>10</v>
      </c>
      <c r="C77" s="182"/>
      <c r="D77" s="14">
        <f t="shared" si="5"/>
        <v>13472</v>
      </c>
      <c r="E77" s="17">
        <f>IF(F3="1",SUMIF(Data!A:A,'39'!$A$2,Data!EI:EI),0)</f>
        <v>89602</v>
      </c>
      <c r="F77" s="21">
        <f t="shared" si="4"/>
        <v>6.65</v>
      </c>
    </row>
    <row r="78" spans="1:6" ht="14.25" customHeight="1" x14ac:dyDescent="0.2">
      <c r="A78" s="19">
        <v>12</v>
      </c>
      <c r="B78" s="181" t="s">
        <v>11</v>
      </c>
      <c r="C78" s="182"/>
      <c r="D78" s="14">
        <f t="shared" si="5"/>
        <v>315648</v>
      </c>
      <c r="E78" s="17">
        <f>IF(F3="1",SUMIF(Data!A:A,'39'!$A$2,Data!EJ:EJ),0)</f>
        <v>883414</v>
      </c>
      <c r="F78" s="21">
        <f t="shared" si="4"/>
        <v>2.8</v>
      </c>
    </row>
    <row r="79" spans="1:6" x14ac:dyDescent="0.2">
      <c r="A79" s="19">
        <v>13</v>
      </c>
      <c r="B79" s="181" t="s">
        <v>12</v>
      </c>
      <c r="C79" s="182"/>
      <c r="D79" s="14">
        <f t="shared" si="5"/>
        <v>18064</v>
      </c>
      <c r="E79" s="17">
        <f>IF(F3="1",SUMIF(Data!A:A,'39'!$A$2,Data!EK:EK),0)</f>
        <v>58698</v>
      </c>
      <c r="F79" s="21">
        <f t="shared" si="4"/>
        <v>3.25</v>
      </c>
    </row>
    <row r="80" spans="1:6" ht="14.25" customHeight="1" x14ac:dyDescent="0.2">
      <c r="A80" s="19">
        <v>14</v>
      </c>
      <c r="B80" s="181" t="s">
        <v>464</v>
      </c>
      <c r="C80" s="182"/>
      <c r="D80" s="14">
        <f t="shared" si="5"/>
        <v>0</v>
      </c>
      <c r="E80" s="17">
        <f>IF(F3="1",SUMIF(Data!A:A,'39'!$A$2,Data!EL:EL),0)</f>
        <v>0</v>
      </c>
      <c r="F80" s="21" t="str">
        <f t="shared" si="4"/>
        <v/>
      </c>
    </row>
    <row r="81" spans="1:6" x14ac:dyDescent="0.2">
      <c r="A81" s="19">
        <v>15</v>
      </c>
      <c r="B81" s="181" t="s">
        <v>13</v>
      </c>
      <c r="C81" s="182"/>
      <c r="D81" s="14">
        <f t="shared" si="5"/>
        <v>0</v>
      </c>
      <c r="E81" s="17">
        <f>IF(F3="1",SUMIF(Data!A:A,'39'!$A$2,Data!EM:EM),0)</f>
        <v>0</v>
      </c>
      <c r="F81" s="21" t="str">
        <f t="shared" si="4"/>
        <v/>
      </c>
    </row>
    <row r="82" spans="1:6" x14ac:dyDescent="0.2">
      <c r="A82" s="19">
        <v>16</v>
      </c>
      <c r="B82" s="181" t="s">
        <v>14</v>
      </c>
      <c r="C82" s="182"/>
      <c r="D82" s="14">
        <f t="shared" si="5"/>
        <v>4348</v>
      </c>
      <c r="E82" s="17">
        <f>IF(F3="1",SUMIF(Data!A:A,'39'!$A$2,Data!EN:EN),0)</f>
        <v>0</v>
      </c>
      <c r="F82" s="21" t="str">
        <f t="shared" si="4"/>
        <v/>
      </c>
    </row>
    <row r="83" spans="1:6" x14ac:dyDescent="0.2">
      <c r="A83" s="19">
        <v>17</v>
      </c>
      <c r="B83" s="181" t="s">
        <v>15</v>
      </c>
      <c r="C83" s="182"/>
      <c r="D83" s="14">
        <f t="shared" si="5"/>
        <v>0</v>
      </c>
      <c r="E83" s="17">
        <f>IF(F3="1",SUMIF(Data!A:A,'39'!$A$2,Data!EO:EO),0)</f>
        <v>0</v>
      </c>
      <c r="F83" s="21" t="str">
        <f t="shared" si="4"/>
        <v/>
      </c>
    </row>
    <row r="84" spans="1:6" x14ac:dyDescent="0.2">
      <c r="A84" s="19">
        <v>18</v>
      </c>
      <c r="B84" s="181" t="s">
        <v>16</v>
      </c>
      <c r="C84" s="182"/>
      <c r="D84" s="14">
        <f t="shared" si="5"/>
        <v>67920</v>
      </c>
      <c r="E84" s="17">
        <f>IF(F3="1",SUMIF(Data!A:A,'39'!$A$2,Data!EP:EP),0)</f>
        <v>220180</v>
      </c>
      <c r="F84" s="21">
        <f t="shared" si="4"/>
        <v>3.24</v>
      </c>
    </row>
    <row r="85" spans="1:6" x14ac:dyDescent="0.2">
      <c r="A85" s="19">
        <v>19</v>
      </c>
      <c r="B85" s="181" t="s">
        <v>17</v>
      </c>
      <c r="C85" s="182"/>
      <c r="D85" s="14">
        <f t="shared" si="5"/>
        <v>164400</v>
      </c>
      <c r="E85" s="17">
        <f>IF(F3="1",SUMIF(Data!A:A,'39'!$A$2,Data!EQ:EQ),0)</f>
        <v>338926</v>
      </c>
      <c r="F85" s="21">
        <f t="shared" si="4"/>
        <v>2.06</v>
      </c>
    </row>
    <row r="86" spans="1:6" x14ac:dyDescent="0.2">
      <c r="A86" s="19">
        <v>20</v>
      </c>
      <c r="B86" s="181" t="s">
        <v>18</v>
      </c>
      <c r="C86" s="182"/>
      <c r="D86" s="14">
        <f t="shared" si="5"/>
        <v>29568</v>
      </c>
      <c r="E86" s="17">
        <f>IF(F3="1",SUMIF(Data!A:A,'39'!$A$2,Data!ER:ER),0)</f>
        <v>79189</v>
      </c>
      <c r="F86" s="21">
        <f t="shared" si="4"/>
        <v>2.68</v>
      </c>
    </row>
    <row r="87" spans="1:6" ht="14.25" customHeight="1" x14ac:dyDescent="0.2">
      <c r="A87" s="19">
        <v>21</v>
      </c>
      <c r="B87" s="181" t="s">
        <v>461</v>
      </c>
      <c r="C87" s="182"/>
      <c r="D87" s="14">
        <f t="shared" si="5"/>
        <v>40048</v>
      </c>
      <c r="E87" s="17">
        <f>IF(F3="1",SUMIF(Data!A:A,'39'!$A$2,Data!ES:ES),0)</f>
        <v>0</v>
      </c>
      <c r="F87" s="21" t="str">
        <f t="shared" si="4"/>
        <v/>
      </c>
    </row>
    <row r="88" spans="1:6" x14ac:dyDescent="0.2">
      <c r="A88" s="19">
        <v>22</v>
      </c>
      <c r="B88" s="181" t="s">
        <v>19</v>
      </c>
      <c r="C88" s="182"/>
      <c r="D88" s="14">
        <f t="shared" si="5"/>
        <v>1504</v>
      </c>
      <c r="E88" s="17">
        <f>IF(F3="1",SUMIF(Data!A:A,'39'!$A$2,Data!ET:ET),0)</f>
        <v>0</v>
      </c>
      <c r="F88" s="21" t="str">
        <f t="shared" si="4"/>
        <v/>
      </c>
    </row>
    <row r="89" spans="1:6" x14ac:dyDescent="0.2">
      <c r="A89" s="19">
        <v>23</v>
      </c>
      <c r="B89" s="181" t="s">
        <v>20</v>
      </c>
      <c r="C89" s="182"/>
      <c r="D89" s="14">
        <f t="shared" si="5"/>
        <v>74922</v>
      </c>
      <c r="E89" s="17">
        <f>IF(F3="1",SUMIF(Data!A:A,'39'!$A$2,Data!EU:EU),0)</f>
        <v>185319</v>
      </c>
      <c r="F89" s="21">
        <f t="shared" si="4"/>
        <v>2.4700000000000002</v>
      </c>
    </row>
    <row r="90" spans="1:6" x14ac:dyDescent="0.2">
      <c r="A90" s="19">
        <v>24</v>
      </c>
      <c r="B90" s="181" t="s">
        <v>21</v>
      </c>
      <c r="C90" s="182"/>
      <c r="D90" s="14">
        <f t="shared" si="5"/>
        <v>59468</v>
      </c>
      <c r="E90" s="17">
        <f>IF(F3="1",SUMIF(Data!A:A,'39'!$A$2,Data!EV:EV),0)</f>
        <v>99067</v>
      </c>
      <c r="F90" s="21">
        <f t="shared" si="4"/>
        <v>1.67</v>
      </c>
    </row>
    <row r="91" spans="1:6" x14ac:dyDescent="0.2">
      <c r="A91" s="19">
        <v>25</v>
      </c>
      <c r="B91" s="181" t="s">
        <v>22</v>
      </c>
      <c r="C91" s="182"/>
      <c r="D91" s="14">
        <f t="shared" si="5"/>
        <v>310224</v>
      </c>
      <c r="E91" s="17">
        <f>IF(F3="1",SUMIF(Data!A:A,'39'!$A$2,Data!EW:EW),0)</f>
        <v>777185</v>
      </c>
      <c r="F91" s="21">
        <f t="shared" si="4"/>
        <v>2.5099999999999998</v>
      </c>
    </row>
    <row r="92" spans="1:6" x14ac:dyDescent="0.2">
      <c r="A92" s="19">
        <v>26</v>
      </c>
      <c r="B92" s="181" t="s">
        <v>23</v>
      </c>
      <c r="C92" s="182"/>
      <c r="D92" s="14">
        <f t="shared" si="5"/>
        <v>61680</v>
      </c>
      <c r="E92" s="17">
        <f>IF(F3="1",SUMIF(Data!A:A,'39'!$A$2,Data!EX:EX),0)</f>
        <v>141357</v>
      </c>
      <c r="F92" s="21">
        <f t="shared" si="4"/>
        <v>2.29</v>
      </c>
    </row>
    <row r="93" spans="1:6" x14ac:dyDescent="0.2">
      <c r="A93" s="19">
        <v>28</v>
      </c>
      <c r="B93" s="181" t="s">
        <v>24</v>
      </c>
      <c r="C93" s="182"/>
      <c r="D93" s="14">
        <f t="shared" si="5"/>
        <v>0</v>
      </c>
      <c r="E93" s="17">
        <f>IF(F3="1",SUMIF(Data!A:A,'39'!$A$2,Data!EZ:EZ),0)</f>
        <v>0</v>
      </c>
      <c r="F93" s="21" t="str">
        <f t="shared" si="4"/>
        <v/>
      </c>
    </row>
    <row r="94" spans="1:6" ht="15.75" customHeight="1" thickBot="1" x14ac:dyDescent="0.25">
      <c r="A94" s="22">
        <v>29</v>
      </c>
      <c r="B94" s="183" t="s">
        <v>25</v>
      </c>
      <c r="C94" s="184"/>
      <c r="D94" s="23">
        <f t="shared" si="5"/>
        <v>0</v>
      </c>
      <c r="E94" s="24">
        <f>IF(F3="1",SUMIF(Data!A:A,'39'!$A$2,Data!FA:FA),0)</f>
        <v>0</v>
      </c>
      <c r="F94" s="25" t="str">
        <f t="shared" si="4"/>
        <v/>
      </c>
    </row>
    <row r="95" spans="1:6" x14ac:dyDescent="0.2">
      <c r="B95" s="30" t="s">
        <v>35</v>
      </c>
      <c r="C95" s="30"/>
      <c r="D95" s="59">
        <f>SUM(D67:D94)</f>
        <v>1724066</v>
      </c>
      <c r="E95" s="31">
        <f>SUM(E67:E94)</f>
        <v>4306129</v>
      </c>
      <c r="F95" s="32">
        <f t="shared" si="4"/>
        <v>2.5</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IF(F3="1",SUMIF(Data!A:A,'39'!$A$2,Data!AH:AH),0)</f>
        <v>2243851</v>
      </c>
      <c r="F98" s="20">
        <f>IF(OR(E98=0,E98=0),"",ROUND(E98/$D$105,2))</f>
        <v>1.3</v>
      </c>
    </row>
    <row r="99" spans="2:6" x14ac:dyDescent="0.2">
      <c r="B99" s="187" t="s">
        <v>31</v>
      </c>
      <c r="C99" s="188"/>
      <c r="D99" s="36"/>
      <c r="E99" s="17">
        <f>IF(F3="1",SUMIF(Data!A:A,'39'!$A$2,Data!AI:AI),0)</f>
        <v>829361</v>
      </c>
      <c r="F99" s="21">
        <f t="shared" ref="F99:F104" si="6">IF(OR(E99=0,E99=0),"",ROUND(E99/$D$105,2))</f>
        <v>0.48</v>
      </c>
    </row>
    <row r="100" spans="2:6" x14ac:dyDescent="0.2">
      <c r="B100" s="187" t="s">
        <v>1078</v>
      </c>
      <c r="C100" s="188"/>
      <c r="D100" s="36"/>
      <c r="E100" s="17">
        <f>IF(F3="1",SUMIF(Data!A:A,'39'!$A$2,Data!AJ:AJ),0)</f>
        <v>480314</v>
      </c>
      <c r="F100" s="21">
        <f t="shared" si="6"/>
        <v>0.28000000000000003</v>
      </c>
    </row>
    <row r="101" spans="2:6" x14ac:dyDescent="0.2">
      <c r="B101" s="187" t="s">
        <v>1079</v>
      </c>
      <c r="C101" s="188"/>
      <c r="D101" s="36"/>
      <c r="E101" s="17">
        <f>IF(F3="1",SUMIF(Data!A:A,'39'!$A$2,Data!AK:AK),0)</f>
        <v>1044293</v>
      </c>
      <c r="F101" s="21">
        <f t="shared" si="6"/>
        <v>0.61</v>
      </c>
    </row>
    <row r="102" spans="2:6" x14ac:dyDescent="0.2">
      <c r="B102" s="187" t="s">
        <v>1080</v>
      </c>
      <c r="C102" s="188"/>
      <c r="D102" s="36"/>
      <c r="E102" s="17">
        <f>IF(F3="1",SUMIF(Data!A:A,'39'!$A$2,Data!AL:AL),0)</f>
        <v>0</v>
      </c>
      <c r="F102" s="21" t="str">
        <f t="shared" si="6"/>
        <v/>
      </c>
    </row>
    <row r="103" spans="2:6" x14ac:dyDescent="0.2">
      <c r="B103" s="189" t="s">
        <v>34</v>
      </c>
      <c r="C103" s="190"/>
      <c r="D103" s="36"/>
      <c r="E103" s="17">
        <f>IF(F3="1",SUMIF(Data!A:A,'39'!$A$2,Data!AM:AM),0)</f>
        <v>0</v>
      </c>
      <c r="F103" s="21" t="str">
        <f t="shared" si="6"/>
        <v/>
      </c>
    </row>
    <row r="104" spans="2:6" ht="15.75" customHeight="1" thickBot="1" x14ac:dyDescent="0.25">
      <c r="B104" s="179" t="s">
        <v>29</v>
      </c>
      <c r="C104" s="180"/>
      <c r="D104" s="37"/>
      <c r="E104" s="24">
        <f>IF(F3="1",SUMIF(Data!A:A,'39'!$A$2,Data!Q:Q),0)</f>
        <v>288231</v>
      </c>
      <c r="F104" s="25">
        <f t="shared" si="6"/>
        <v>0.17</v>
      </c>
    </row>
    <row r="105" spans="2:6" x14ac:dyDescent="0.2">
      <c r="B105" s="30" t="s">
        <v>35</v>
      </c>
      <c r="C105" s="30"/>
      <c r="D105" s="34">
        <f>D95</f>
        <v>1724066</v>
      </c>
      <c r="E105" s="31">
        <f>SUM(E98:E104)</f>
        <v>4886050</v>
      </c>
      <c r="F105" s="32">
        <f>IF($D$105=0,"",ROUND(E105/$D$105,2))</f>
        <v>2.83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4306129</v>
      </c>
      <c r="D109" s="15">
        <f>IF(F3="1",SUMIF(Data!$A:$A,$A$2,Data!HJ:HJ),0)</f>
        <v>0</v>
      </c>
      <c r="E109" s="15">
        <f>IF(F3="1",SUMIF(Data!$A:$A,$A$2,Data!IN:IN),0)</f>
        <v>0</v>
      </c>
      <c r="F109" s="47">
        <f>SUM(C109:E109)</f>
        <v>4306129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288231</v>
      </c>
      <c r="E117" s="52"/>
      <c r="F117" s="49">
        <f>SUM(C117:E117)</f>
        <v>288231</v>
      </c>
    </row>
    <row r="118" spans="1:6" x14ac:dyDescent="0.2">
      <c r="B118" s="13" t="s">
        <v>35</v>
      </c>
      <c r="C118" s="4">
        <f>SUM(C109:C116)</f>
        <v>4306129</v>
      </c>
      <c r="D118" s="4">
        <f>SUM(D109:D116)</f>
        <v>0</v>
      </c>
      <c r="E118" s="4">
        <f>SUM(E109:E116)</f>
        <v>0</v>
      </c>
      <c r="F118" s="4">
        <f>SUM(F109:F116)</f>
        <v>4306129</v>
      </c>
    </row>
    <row r="119" spans="1:6" ht="15" thickBot="1" x14ac:dyDescent="0.25"/>
    <row r="120" spans="1:6" ht="15" thickBot="1" x14ac:dyDescent="0.25">
      <c r="B120" s="55" t="s">
        <v>934</v>
      </c>
      <c r="C120" s="53"/>
      <c r="D120" s="53"/>
      <c r="E120" s="53">
        <f>IF(F3="1",SUMIF(Data!A:A,'39'!$A$2,Data!AM:AM),0)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2" width="13.42578125" style="10" bestFit="1" customWidth="1"/>
    <col min="13" max="13" width="13.5703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1070</v>
      </c>
      <c r="B2" s="58" t="str">
        <f>VLOOKUP(A2,Data!A:G,7,0)</f>
        <v>Tarrant County College District</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13552</v>
      </c>
      <c r="E5" s="15">
        <f>E36+E67+IFERROR($E$105/$D$105*D5,0)</f>
        <v>160372.22108560253</v>
      </c>
      <c r="F5" s="20">
        <f>IF(OR(D5=0,E5=0),"",ROUND(E5/D5,2))</f>
        <v>11.83</v>
      </c>
    </row>
    <row r="6" spans="1:6" x14ac:dyDescent="0.2">
      <c r="A6" s="19">
        <v>2</v>
      </c>
      <c r="B6" s="181" t="s">
        <v>1</v>
      </c>
      <c r="C6" s="182"/>
      <c r="D6" s="14">
        <f t="shared" ref="D6:D32" si="0">D37</f>
        <v>113840</v>
      </c>
      <c r="E6" s="17">
        <f t="shared" ref="E6:E32" si="1">E37+E68+IFERROR($E$105/$D$105*D6,0)</f>
        <v>1360260.2290720921</v>
      </c>
      <c r="F6" s="21">
        <f t="shared" ref="F6:F33" si="2">IF(OR(D6=0,E6=0),"",ROUND(E6/D6,2))</f>
        <v>11.95</v>
      </c>
    </row>
    <row r="7" spans="1:6" ht="14.25" customHeight="1" x14ac:dyDescent="0.2">
      <c r="A7" s="19">
        <v>3</v>
      </c>
      <c r="B7" s="181" t="s">
        <v>2</v>
      </c>
      <c r="C7" s="182"/>
      <c r="D7" s="14">
        <f t="shared" si="0"/>
        <v>1455104</v>
      </c>
      <c r="E7" s="17">
        <f t="shared" si="1"/>
        <v>10930987.482183041</v>
      </c>
      <c r="F7" s="21">
        <f t="shared" si="2"/>
        <v>7.51</v>
      </c>
    </row>
    <row r="8" spans="1:6" ht="14.25" customHeight="1" x14ac:dyDescent="0.2">
      <c r="A8" s="19">
        <v>4</v>
      </c>
      <c r="B8" s="181" t="s">
        <v>3</v>
      </c>
      <c r="C8" s="182"/>
      <c r="D8" s="14">
        <f t="shared" si="0"/>
        <v>754736</v>
      </c>
      <c r="E8" s="17">
        <f t="shared" si="1"/>
        <v>6510233.9820884969</v>
      </c>
      <c r="F8" s="21">
        <f t="shared" si="2"/>
        <v>8.6300000000000008</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52848</v>
      </c>
      <c r="E10" s="17">
        <f t="shared" si="1"/>
        <v>507874.8043043036</v>
      </c>
      <c r="F10" s="21">
        <f t="shared" si="2"/>
        <v>9.61</v>
      </c>
    </row>
    <row r="11" spans="1:6" x14ac:dyDescent="0.2">
      <c r="A11" s="19">
        <v>7</v>
      </c>
      <c r="B11" s="181" t="s">
        <v>6</v>
      </c>
      <c r="C11" s="182"/>
      <c r="D11" s="14">
        <f t="shared" si="0"/>
        <v>629120</v>
      </c>
      <c r="E11" s="17">
        <f t="shared" si="1"/>
        <v>5613035.9658629177</v>
      </c>
      <c r="F11" s="21">
        <f t="shared" si="2"/>
        <v>8.92</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122976</v>
      </c>
      <c r="E13" s="17">
        <f t="shared" si="1"/>
        <v>714194.15497513697</v>
      </c>
      <c r="F13" s="21">
        <f t="shared" si="2"/>
        <v>5.81</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172112</v>
      </c>
      <c r="E15" s="17">
        <f t="shared" si="1"/>
        <v>1553710.4937636675</v>
      </c>
      <c r="F15" s="21">
        <f t="shared" si="2"/>
        <v>9.0299999999999994</v>
      </c>
    </row>
    <row r="16" spans="1:6" ht="14.25" customHeight="1" x14ac:dyDescent="0.2">
      <c r="A16" s="19">
        <v>12</v>
      </c>
      <c r="B16" s="181" t="s">
        <v>11</v>
      </c>
      <c r="C16" s="182"/>
      <c r="D16" s="14">
        <f t="shared" si="0"/>
        <v>1797264</v>
      </c>
      <c r="E16" s="17">
        <f t="shared" si="1"/>
        <v>13819875.560005486</v>
      </c>
      <c r="F16" s="21">
        <f t="shared" si="2"/>
        <v>7.69</v>
      </c>
    </row>
    <row r="17" spans="1:6" x14ac:dyDescent="0.2">
      <c r="A17" s="19">
        <v>13</v>
      </c>
      <c r="B17" s="181" t="s">
        <v>12</v>
      </c>
      <c r="C17" s="182"/>
      <c r="D17" s="14">
        <f t="shared" si="0"/>
        <v>349424</v>
      </c>
      <c r="E17" s="17">
        <f t="shared" si="1"/>
        <v>2319699.411202448</v>
      </c>
      <c r="F17" s="21">
        <f t="shared" si="2"/>
        <v>6.64</v>
      </c>
    </row>
    <row r="18" spans="1:6" ht="14.25" customHeight="1" x14ac:dyDescent="0.2">
      <c r="A18" s="19">
        <v>14</v>
      </c>
      <c r="B18" s="181" t="s">
        <v>464</v>
      </c>
      <c r="C18" s="182"/>
      <c r="D18" s="14">
        <f t="shared" si="0"/>
        <v>189584</v>
      </c>
      <c r="E18" s="17">
        <f t="shared" si="1"/>
        <v>2514613.3573120479</v>
      </c>
      <c r="F18" s="21">
        <f t="shared" si="2"/>
        <v>13.26</v>
      </c>
    </row>
    <row r="19" spans="1:6" x14ac:dyDescent="0.2">
      <c r="A19" s="19">
        <v>15</v>
      </c>
      <c r="B19" s="181" t="s">
        <v>13</v>
      </c>
      <c r="C19" s="182"/>
      <c r="D19" s="14">
        <f t="shared" si="0"/>
        <v>37856</v>
      </c>
      <c r="E19" s="17">
        <f t="shared" si="1"/>
        <v>492727.20435482357</v>
      </c>
      <c r="F19" s="21">
        <f t="shared" si="2"/>
        <v>13.02</v>
      </c>
    </row>
    <row r="20" spans="1:6" x14ac:dyDescent="0.2">
      <c r="A20" s="19">
        <v>16</v>
      </c>
      <c r="B20" s="181" t="s">
        <v>14</v>
      </c>
      <c r="C20" s="182"/>
      <c r="D20" s="14">
        <f t="shared" si="0"/>
        <v>267472</v>
      </c>
      <c r="E20" s="17">
        <f t="shared" si="1"/>
        <v>2322966.6940826653</v>
      </c>
      <c r="F20" s="21">
        <f t="shared" si="2"/>
        <v>8.68</v>
      </c>
    </row>
    <row r="21" spans="1:6" x14ac:dyDescent="0.2">
      <c r="A21" s="19">
        <v>17</v>
      </c>
      <c r="B21" s="181" t="s">
        <v>15</v>
      </c>
      <c r="C21" s="182"/>
      <c r="D21" s="14">
        <f t="shared" si="0"/>
        <v>24128</v>
      </c>
      <c r="E21" s="17">
        <f t="shared" si="1"/>
        <v>348546.52585252491</v>
      </c>
      <c r="F21" s="21">
        <f t="shared" si="2"/>
        <v>14.45</v>
      </c>
    </row>
    <row r="22" spans="1:6" x14ac:dyDescent="0.2">
      <c r="A22" s="19">
        <v>18</v>
      </c>
      <c r="B22" s="181" t="s">
        <v>16</v>
      </c>
      <c r="C22" s="182"/>
      <c r="D22" s="14">
        <f t="shared" si="0"/>
        <v>0</v>
      </c>
      <c r="E22" s="17">
        <f t="shared" si="1"/>
        <v>0</v>
      </c>
      <c r="F22" s="21" t="str">
        <f t="shared" si="2"/>
        <v/>
      </c>
    </row>
    <row r="23" spans="1:6" x14ac:dyDescent="0.2">
      <c r="A23" s="19">
        <v>19</v>
      </c>
      <c r="B23" s="181" t="s">
        <v>17</v>
      </c>
      <c r="C23" s="182"/>
      <c r="D23" s="14">
        <f t="shared" si="0"/>
        <v>1359488</v>
      </c>
      <c r="E23" s="17">
        <f t="shared" si="1"/>
        <v>9128133.5256215762</v>
      </c>
      <c r="F23" s="21">
        <f t="shared" si="2"/>
        <v>6.71</v>
      </c>
    </row>
    <row r="24" spans="1:6" x14ac:dyDescent="0.2">
      <c r="A24" s="19">
        <v>20</v>
      </c>
      <c r="B24" s="181" t="s">
        <v>18</v>
      </c>
      <c r="C24" s="182"/>
      <c r="D24" s="14">
        <f t="shared" si="0"/>
        <v>79008</v>
      </c>
      <c r="E24" s="17">
        <f t="shared" si="1"/>
        <v>865121.52033141116</v>
      </c>
      <c r="F24" s="21">
        <f t="shared" si="2"/>
        <v>10.95</v>
      </c>
    </row>
    <row r="25" spans="1:6" ht="14.25" customHeight="1" x14ac:dyDescent="0.2">
      <c r="A25" s="19">
        <v>21</v>
      </c>
      <c r="B25" s="181" t="s">
        <v>461</v>
      </c>
      <c r="C25" s="182"/>
      <c r="D25" s="14">
        <f t="shared" si="0"/>
        <v>193552</v>
      </c>
      <c r="E25" s="17">
        <f t="shared" si="1"/>
        <v>2142189.5790702878</v>
      </c>
      <c r="F25" s="21">
        <f t="shared" si="2"/>
        <v>11.07</v>
      </c>
    </row>
    <row r="26" spans="1:6" x14ac:dyDescent="0.2">
      <c r="A26" s="19">
        <v>22</v>
      </c>
      <c r="B26" s="181" t="s">
        <v>19</v>
      </c>
      <c r="C26" s="182"/>
      <c r="D26" s="14">
        <f t="shared" si="0"/>
        <v>5824</v>
      </c>
      <c r="E26" s="17">
        <f t="shared" si="1"/>
        <v>81621.954516126701</v>
      </c>
      <c r="F26" s="21">
        <f t="shared" si="2"/>
        <v>14.01</v>
      </c>
    </row>
    <row r="27" spans="1:6" x14ac:dyDescent="0.2">
      <c r="A27" s="19">
        <v>23</v>
      </c>
      <c r="B27" s="181" t="s">
        <v>20</v>
      </c>
      <c r="C27" s="182"/>
      <c r="D27" s="14">
        <f t="shared" si="0"/>
        <v>339456</v>
      </c>
      <c r="E27" s="17">
        <f t="shared" si="1"/>
        <v>2669492.7775113853</v>
      </c>
      <c r="F27" s="21">
        <f t="shared" si="2"/>
        <v>7.86</v>
      </c>
    </row>
    <row r="28" spans="1:6" x14ac:dyDescent="0.2">
      <c r="A28" s="19">
        <v>24</v>
      </c>
      <c r="B28" s="181" t="s">
        <v>21</v>
      </c>
      <c r="C28" s="182"/>
      <c r="D28" s="14">
        <f t="shared" si="0"/>
        <v>161840</v>
      </c>
      <c r="E28" s="17">
        <f t="shared" si="1"/>
        <v>1667890.5245346748</v>
      </c>
      <c r="F28" s="21">
        <f t="shared" si="2"/>
        <v>10.31</v>
      </c>
    </row>
    <row r="29" spans="1:6" x14ac:dyDescent="0.2">
      <c r="A29" s="19">
        <v>25</v>
      </c>
      <c r="B29" s="181" t="s">
        <v>22</v>
      </c>
      <c r="C29" s="182"/>
      <c r="D29" s="14">
        <f t="shared" si="0"/>
        <v>2331520</v>
      </c>
      <c r="E29" s="17">
        <f t="shared" si="1"/>
        <v>13546010.978269186</v>
      </c>
      <c r="F29" s="21">
        <f t="shared" si="2"/>
        <v>5.81</v>
      </c>
    </row>
    <row r="30" spans="1:6" x14ac:dyDescent="0.2">
      <c r="A30" s="19">
        <v>26</v>
      </c>
      <c r="B30" s="181" t="s">
        <v>23</v>
      </c>
      <c r="C30" s="182"/>
      <c r="D30" s="14">
        <f t="shared" si="0"/>
        <v>634016</v>
      </c>
      <c r="E30" s="17">
        <f t="shared" si="1"/>
        <v>4898283.0540001011</v>
      </c>
      <c r="F30" s="21">
        <f t="shared" si="2"/>
        <v>7.73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11084720</v>
      </c>
      <c r="E33" s="31">
        <f>SUM(E5:E32)</f>
        <v>84167841.999999985</v>
      </c>
      <c r="F33" s="32">
        <f t="shared" si="2"/>
        <v>7.59</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IF(F3="1",SUMIF(Data!A:A,'40'!$A$2,Data!CU:CU),0)</f>
        <v>13552</v>
      </c>
      <c r="E36" s="15">
        <f>IF(F3="1",SUMIF(Data!$A:$A,$A$2,Data!IO:IO),0)</f>
        <v>24125</v>
      </c>
      <c r="F36" s="20">
        <f t="shared" ref="F36:F64" si="3">IF(OR(D36=0,E36=0),"",ROUND(E36/D36,2))</f>
        <v>1.78</v>
      </c>
    </row>
    <row r="37" spans="1:6" x14ac:dyDescent="0.2">
      <c r="A37" s="19">
        <v>2</v>
      </c>
      <c r="B37" s="181" t="s">
        <v>1</v>
      </c>
      <c r="C37" s="182"/>
      <c r="D37" s="14">
        <f>IF(F3="1",SUMIF(Data!A:A,'40'!$A$2,Data!CV:CV),0)</f>
        <v>113840</v>
      </c>
      <c r="E37" s="17">
        <f>IF(F3="1",SUMIF(Data!$A:$A,$A$2,Data!IP:IP),0)</f>
        <v>197120</v>
      </c>
      <c r="F37" s="21">
        <f t="shared" si="3"/>
        <v>1.73</v>
      </c>
    </row>
    <row r="38" spans="1:6" ht="14.25" customHeight="1" x14ac:dyDescent="0.2">
      <c r="A38" s="19">
        <v>3</v>
      </c>
      <c r="B38" s="181" t="s">
        <v>2</v>
      </c>
      <c r="C38" s="182"/>
      <c r="D38" s="14">
        <f>IF(F3="1",SUMIF(Data!A:A,'40'!$A$2,Data!CW:CW),0)</f>
        <v>1455104</v>
      </c>
      <c r="E38" s="17">
        <f>IF($F$3="1",SUMIF(Data!$A:$A,$A$2,Data!IQ:IQ),0)</f>
        <v>2086381</v>
      </c>
      <c r="F38" s="21">
        <f t="shared" si="3"/>
        <v>1.43</v>
      </c>
    </row>
    <row r="39" spans="1:6" ht="14.25" customHeight="1" x14ac:dyDescent="0.2">
      <c r="A39" s="19">
        <v>4</v>
      </c>
      <c r="B39" s="181" t="s">
        <v>3</v>
      </c>
      <c r="C39" s="182"/>
      <c r="D39" s="14">
        <f>IF(F3="1",SUMIF(Data!A:A,'40'!$A$2,Data!CX:CX),0)</f>
        <v>754736</v>
      </c>
      <c r="E39" s="17">
        <f>IF($F$3="1",SUMIF(Data!$A:$A,$A$2,Data!IR:IR),0)</f>
        <v>749202</v>
      </c>
      <c r="F39" s="21">
        <f t="shared" si="3"/>
        <v>0.99</v>
      </c>
    </row>
    <row r="40" spans="1:6" x14ac:dyDescent="0.2">
      <c r="A40" s="19">
        <v>5</v>
      </c>
      <c r="B40" s="181" t="s">
        <v>4</v>
      </c>
      <c r="C40" s="182"/>
      <c r="D40" s="14">
        <f>IF(F3="1",SUMIF(Data!A:A,'40'!$A$2,Data!CY:CY),0)</f>
        <v>0</v>
      </c>
      <c r="E40" s="17">
        <f>IF($F$3="1",SUMIF(Data!$A:$A,$A$2,Data!IS:IS),0)</f>
        <v>0</v>
      </c>
      <c r="F40" s="21" t="str">
        <f t="shared" si="3"/>
        <v/>
      </c>
    </row>
    <row r="41" spans="1:6" x14ac:dyDescent="0.2">
      <c r="A41" s="19">
        <v>6</v>
      </c>
      <c r="B41" s="181" t="s">
        <v>5</v>
      </c>
      <c r="C41" s="182"/>
      <c r="D41" s="14">
        <f>IF(F3="1",SUMIF(Data!A:A,'40'!$A$2,Data!CZ:CZ),0)</f>
        <v>52848</v>
      </c>
      <c r="E41" s="17">
        <f>IF($F$3="1",SUMIF(Data!$A:$A,$A$2,Data!IT:IT),0)</f>
        <v>111503</v>
      </c>
      <c r="F41" s="21">
        <f t="shared" si="3"/>
        <v>2.11</v>
      </c>
    </row>
    <row r="42" spans="1:6" x14ac:dyDescent="0.2">
      <c r="A42" s="19">
        <v>7</v>
      </c>
      <c r="B42" s="181" t="s">
        <v>6</v>
      </c>
      <c r="C42" s="182"/>
      <c r="D42" s="14">
        <f>IF(F3="1",SUMIF(Data!A:A,'40'!$A$2,Data!DA:DA),0)</f>
        <v>629120</v>
      </c>
      <c r="E42" s="17">
        <f>IF($F$3="1",SUMIF(Data!$A:$A,$A$2,Data!IU:IU),0)</f>
        <v>991053</v>
      </c>
      <c r="F42" s="21">
        <f t="shared" si="3"/>
        <v>1.58</v>
      </c>
    </row>
    <row r="43" spans="1:6" x14ac:dyDescent="0.2">
      <c r="A43" s="19">
        <v>8</v>
      </c>
      <c r="B43" s="181" t="s">
        <v>7</v>
      </c>
      <c r="C43" s="182"/>
      <c r="D43" s="14">
        <f>IF(F3="1",SUMIF(Data!A:A,'40'!$A$2,Data!DB:DB),0)</f>
        <v>0</v>
      </c>
      <c r="E43" s="17">
        <f>IF($F$3="1",SUMIF(Data!$A:$A,$A$2,Data!IV:IV),0)</f>
        <v>0</v>
      </c>
      <c r="F43" s="21" t="str">
        <f t="shared" si="3"/>
        <v/>
      </c>
    </row>
    <row r="44" spans="1:6" x14ac:dyDescent="0.2">
      <c r="A44" s="19">
        <v>9</v>
      </c>
      <c r="B44" s="181" t="s">
        <v>8</v>
      </c>
      <c r="C44" s="182"/>
      <c r="D44" s="14">
        <f>IF(F3="1",SUMIF(Data!A:A,'40'!$A$2,Data!DC:DC),0)</f>
        <v>122976</v>
      </c>
      <c r="E44" s="17">
        <f>IF($F$3="1",SUMIF(Data!$A:$A,$A$2,Data!IW:IW),0)</f>
        <v>52535</v>
      </c>
      <c r="F44" s="21">
        <f t="shared" si="3"/>
        <v>0.43</v>
      </c>
    </row>
    <row r="45" spans="1:6" x14ac:dyDescent="0.2">
      <c r="A45" s="19">
        <v>10</v>
      </c>
      <c r="B45" s="181" t="s">
        <v>9</v>
      </c>
      <c r="C45" s="182"/>
      <c r="D45" s="14">
        <f>IF(F3="1",SUMIF(Data!A:A,'40'!$A$2,Data!DD:DD),0)</f>
        <v>0</v>
      </c>
      <c r="E45" s="17">
        <f>IF($F$3="1",SUMIF(Data!$A:$A,$A$2,Data!IX:IX),0)</f>
        <v>0</v>
      </c>
      <c r="F45" s="21" t="str">
        <f t="shared" si="3"/>
        <v/>
      </c>
    </row>
    <row r="46" spans="1:6" x14ac:dyDescent="0.2">
      <c r="A46" s="19">
        <v>11</v>
      </c>
      <c r="B46" s="181" t="s">
        <v>10</v>
      </c>
      <c r="C46" s="182"/>
      <c r="D46" s="14">
        <f>IF(F3="1",SUMIF(Data!A:A,'40'!$A$2,Data!DE:DE),0)</f>
        <v>172112</v>
      </c>
      <c r="E46" s="17">
        <f>IF($F$3="1",SUMIF(Data!$A:$A,$A$2,Data!IY:IY),0)</f>
        <v>386155</v>
      </c>
      <c r="F46" s="21">
        <f t="shared" si="3"/>
        <v>2.2400000000000002</v>
      </c>
    </row>
    <row r="47" spans="1:6" ht="14.25" customHeight="1" x14ac:dyDescent="0.2">
      <c r="A47" s="19">
        <v>12</v>
      </c>
      <c r="B47" s="181" t="s">
        <v>11</v>
      </c>
      <c r="C47" s="182"/>
      <c r="D47" s="14">
        <f>IF(F3="1",SUMIF(Data!A:A,'40'!$A$2,Data!DF:DF),0)</f>
        <v>1797264</v>
      </c>
      <c r="E47" s="17">
        <f>IF($F$3="1",SUMIF(Data!$A:$A,$A$2,Data!IZ:IZ),0)</f>
        <v>2059691</v>
      </c>
      <c r="F47" s="21">
        <f t="shared" si="3"/>
        <v>1.1499999999999999</v>
      </c>
    </row>
    <row r="48" spans="1:6" x14ac:dyDescent="0.2">
      <c r="A48" s="19">
        <v>13</v>
      </c>
      <c r="B48" s="181" t="s">
        <v>12</v>
      </c>
      <c r="C48" s="182"/>
      <c r="D48" s="14">
        <f>IF(F3="1",SUMIF(Data!A:A,'40'!$A$2,Data!DG:DG),0)</f>
        <v>349424</v>
      </c>
      <c r="E48" s="17">
        <f>IF($F$3="1",SUMIF(Data!$A:$A,$A$2,Data!JA:JA),0)</f>
        <v>150189</v>
      </c>
      <c r="F48" s="21">
        <f t="shared" si="3"/>
        <v>0.43</v>
      </c>
    </row>
    <row r="49" spans="1:6" ht="14.25" customHeight="1" x14ac:dyDescent="0.2">
      <c r="A49" s="19">
        <v>14</v>
      </c>
      <c r="B49" s="181" t="s">
        <v>464</v>
      </c>
      <c r="C49" s="182"/>
      <c r="D49" s="14">
        <f>IF(F3="1",SUMIF(Data!A:A,'40'!$A$2,Data!DH:DH),0)</f>
        <v>189584</v>
      </c>
      <c r="E49" s="17">
        <f>IF($F$3="1",SUMIF(Data!$A:$A,$A$2,Data!JB:JB),0)</f>
        <v>247928</v>
      </c>
      <c r="F49" s="21">
        <f t="shared" si="3"/>
        <v>1.31</v>
      </c>
    </row>
    <row r="50" spans="1:6" x14ac:dyDescent="0.2">
      <c r="A50" s="19">
        <v>15</v>
      </c>
      <c r="B50" s="181" t="s">
        <v>13</v>
      </c>
      <c r="C50" s="182"/>
      <c r="D50" s="14">
        <f>IF(F3="1",SUMIF(Data!A:A,'40'!$A$2,Data!DI:DI),0)</f>
        <v>37856</v>
      </c>
      <c r="E50" s="17">
        <f>IF($F$3="1",SUMIF(Data!$A:$A,$A$2,Data!JC:JC),0)</f>
        <v>0</v>
      </c>
      <c r="F50" s="21" t="str">
        <f t="shared" si="3"/>
        <v/>
      </c>
    </row>
    <row r="51" spans="1:6" x14ac:dyDescent="0.2">
      <c r="A51" s="19">
        <v>16</v>
      </c>
      <c r="B51" s="181" t="s">
        <v>14</v>
      </c>
      <c r="C51" s="182"/>
      <c r="D51" s="14">
        <f>IF(F3="1",SUMIF(Data!A:A,'40'!$A$2,Data!DJ:DJ),0)</f>
        <v>267472</v>
      </c>
      <c r="E51" s="17">
        <f>IF($F$3="1",SUMIF(Data!$A:$A,$A$2,Data!JD:JD),0)</f>
        <v>124007</v>
      </c>
      <c r="F51" s="21">
        <f t="shared" si="3"/>
        <v>0.46</v>
      </c>
    </row>
    <row r="52" spans="1:6" x14ac:dyDescent="0.2">
      <c r="A52" s="19">
        <v>17</v>
      </c>
      <c r="B52" s="181" t="s">
        <v>15</v>
      </c>
      <c r="C52" s="182"/>
      <c r="D52" s="14">
        <f>IF(F3="1",SUMIF(Data!A:A,'40'!$A$2,Data!DK:DK),0)</f>
        <v>24128</v>
      </c>
      <c r="E52" s="17">
        <f>IF($F$3="1",SUMIF(Data!$A:$A,$A$2,Data!JE:JE),0)</f>
        <v>19368</v>
      </c>
      <c r="F52" s="21">
        <f t="shared" si="3"/>
        <v>0.8</v>
      </c>
    </row>
    <row r="53" spans="1:6" x14ac:dyDescent="0.2">
      <c r="A53" s="19">
        <v>18</v>
      </c>
      <c r="B53" s="181" t="s">
        <v>16</v>
      </c>
      <c r="C53" s="182"/>
      <c r="D53" s="14">
        <f>IF(F3="1",SUMIF(Data!A:A,'40'!$A$2,Data!DL:DL),0)</f>
        <v>0</v>
      </c>
      <c r="E53" s="17">
        <f>IF($F$3="1",SUMIF(Data!$A:$A,$A$2,Data!JF:JF),0)</f>
        <v>0</v>
      </c>
      <c r="F53" s="21" t="str">
        <f t="shared" si="3"/>
        <v/>
      </c>
    </row>
    <row r="54" spans="1:6" x14ac:dyDescent="0.2">
      <c r="A54" s="19">
        <v>19</v>
      </c>
      <c r="B54" s="181" t="s">
        <v>17</v>
      </c>
      <c r="C54" s="182"/>
      <c r="D54" s="14">
        <f>IF(F3="1",SUMIF(Data!A:A,'40'!$A$2,Data!DM:DM),0)</f>
        <v>1359488</v>
      </c>
      <c r="E54" s="17">
        <f>IF($F$3="1",SUMIF(Data!$A:$A,$A$2,Data!JG:JG),0)</f>
        <v>1009438</v>
      </c>
      <c r="F54" s="21">
        <f t="shared" si="3"/>
        <v>0.74</v>
      </c>
    </row>
    <row r="55" spans="1:6" x14ac:dyDescent="0.2">
      <c r="A55" s="19">
        <v>20</v>
      </c>
      <c r="B55" s="181" t="s">
        <v>18</v>
      </c>
      <c r="C55" s="182"/>
      <c r="D55" s="14">
        <f>IF(F3="1",SUMIF(Data!A:A,'40'!$A$2,Data!DN:DN),0)</f>
        <v>79008</v>
      </c>
      <c r="E55" s="17">
        <f>IF($F$3="1",SUMIF(Data!$A:$A,$A$2,Data!JH:JH),0)</f>
        <v>115301</v>
      </c>
      <c r="F55" s="21">
        <f t="shared" si="3"/>
        <v>1.46</v>
      </c>
    </row>
    <row r="56" spans="1:6" ht="14.25" customHeight="1" x14ac:dyDescent="0.2">
      <c r="A56" s="19">
        <v>21</v>
      </c>
      <c r="B56" s="181" t="s">
        <v>461</v>
      </c>
      <c r="C56" s="182"/>
      <c r="D56" s="14">
        <f>IF(F3="1",SUMIF(Data!A:A,'40'!$A$2,Data!DO:DO),0)</f>
        <v>193552</v>
      </c>
      <c r="E56" s="17">
        <f>IF($F$3="1",SUMIF(Data!$A:$A,$A$2,Data!JI:JI),0)</f>
        <v>720325</v>
      </c>
      <c r="F56" s="21">
        <f t="shared" si="3"/>
        <v>3.72</v>
      </c>
    </row>
    <row r="57" spans="1:6" x14ac:dyDescent="0.2">
      <c r="A57" s="19">
        <v>22</v>
      </c>
      <c r="B57" s="181" t="s">
        <v>19</v>
      </c>
      <c r="C57" s="182"/>
      <c r="D57" s="14">
        <f>IF(F3="1",SUMIF(Data!A:A,'40'!$A$2,Data!DP:DP),0)</f>
        <v>5824</v>
      </c>
      <c r="E57" s="17">
        <f>IF($F$3="1",SUMIF(Data!$A:$A,$A$2,Data!JJ:JJ),0)</f>
        <v>30282</v>
      </c>
      <c r="F57" s="21">
        <f t="shared" si="3"/>
        <v>5.2</v>
      </c>
    </row>
    <row r="58" spans="1:6" x14ac:dyDescent="0.2">
      <c r="A58" s="19">
        <v>23</v>
      </c>
      <c r="B58" s="181" t="s">
        <v>20</v>
      </c>
      <c r="C58" s="182"/>
      <c r="D58" s="14">
        <f>IF(F3="1",SUMIF(Data!A:A,'40'!$A$2,Data!DQ:DQ),0)</f>
        <v>339456</v>
      </c>
      <c r="E58" s="17">
        <f>IF($F$3="1",SUMIF(Data!$A:$A,$A$2,Data!JK:JK),0)</f>
        <v>164347</v>
      </c>
      <c r="F58" s="21">
        <f t="shared" si="3"/>
        <v>0.48</v>
      </c>
    </row>
    <row r="59" spans="1:6" x14ac:dyDescent="0.2">
      <c r="A59" s="19">
        <v>24</v>
      </c>
      <c r="B59" s="181" t="s">
        <v>21</v>
      </c>
      <c r="C59" s="182"/>
      <c r="D59" s="14">
        <f>IF(F3="1",SUMIF(Data!A:A,'40'!$A$2,Data!DR:DR),0)</f>
        <v>161840</v>
      </c>
      <c r="E59" s="17">
        <f>IF($F$3="1",SUMIF(Data!$A:$A,$A$2,Data!JL:JL),0)</f>
        <v>233368</v>
      </c>
      <c r="F59" s="21">
        <f t="shared" si="3"/>
        <v>1.44</v>
      </c>
    </row>
    <row r="60" spans="1:6" x14ac:dyDescent="0.2">
      <c r="A60" s="19">
        <v>25</v>
      </c>
      <c r="B60" s="181" t="s">
        <v>22</v>
      </c>
      <c r="C60" s="182"/>
      <c r="D60" s="14">
        <f>IF(F3="1",SUMIF(Data!A:A,'40'!$A$2,Data!DS:DS),0)</f>
        <v>2331520</v>
      </c>
      <c r="E60" s="17">
        <f>IF($F$3="1",SUMIF(Data!$A:$A,$A$2,Data!JM:JM),0)</f>
        <v>542991</v>
      </c>
      <c r="F60" s="21">
        <f t="shared" si="3"/>
        <v>0.23</v>
      </c>
    </row>
    <row r="61" spans="1:6" x14ac:dyDescent="0.2">
      <c r="A61" s="19">
        <v>26</v>
      </c>
      <c r="B61" s="181" t="s">
        <v>23</v>
      </c>
      <c r="C61" s="182"/>
      <c r="D61" s="14">
        <f>IF(F3="1",SUMIF(Data!A:A,'40'!$A$2,Data!DT:DT),0)</f>
        <v>634016</v>
      </c>
      <c r="E61" s="17">
        <f>IF($F$3="1",SUMIF(Data!$A:$A,$A$2,Data!JN:JN),0)</f>
        <v>299435</v>
      </c>
      <c r="F61" s="21">
        <f t="shared" si="3"/>
        <v>0.47</v>
      </c>
    </row>
    <row r="62" spans="1:6" x14ac:dyDescent="0.2">
      <c r="A62" s="19">
        <v>28</v>
      </c>
      <c r="B62" s="181" t="s">
        <v>24</v>
      </c>
      <c r="C62" s="182"/>
      <c r="D62" s="14">
        <f>IF(F3="1",SUMIF(Data!A:A,'40'!$A$2,Data!DV:DV),0)</f>
        <v>0</v>
      </c>
      <c r="E62" s="17">
        <f>IF($F$3="1",SUMIF(Data!$A:$A,$A$2,Data!JP:JP),0)</f>
        <v>0</v>
      </c>
      <c r="F62" s="21" t="str">
        <f t="shared" si="3"/>
        <v/>
      </c>
    </row>
    <row r="63" spans="1:6" ht="15.75" customHeight="1" thickBot="1" x14ac:dyDescent="0.25">
      <c r="A63" s="22">
        <v>29</v>
      </c>
      <c r="B63" s="183" t="s">
        <v>25</v>
      </c>
      <c r="C63" s="184"/>
      <c r="D63" s="23">
        <f>IF(F3="1",SUMIF(Data!A:A,'40'!$A$2,Data!DW:DW),0)</f>
        <v>0</v>
      </c>
      <c r="E63" s="24">
        <f>IF($F$3="1",SUMIF(Data!$A:$A,$A$2,Data!JQ:JQ),0)</f>
        <v>0</v>
      </c>
      <c r="F63" s="25" t="str">
        <f t="shared" si="3"/>
        <v/>
      </c>
    </row>
    <row r="64" spans="1:6" x14ac:dyDescent="0.2">
      <c r="B64" s="30" t="s">
        <v>35</v>
      </c>
      <c r="C64" s="30"/>
      <c r="D64" s="59">
        <f>SUM(D36:D63)</f>
        <v>11084720</v>
      </c>
      <c r="E64" s="31">
        <f>SUM(E36:E63)</f>
        <v>10314744</v>
      </c>
      <c r="F64" s="32">
        <f t="shared" si="3"/>
        <v>0.93</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13552</v>
      </c>
      <c r="E67" s="15">
        <f>IF(F3="1",SUMIF(Data!A:A,'40'!$A$2,Data!DY:DY),0)</f>
        <v>88087</v>
      </c>
      <c r="F67" s="20">
        <f t="shared" ref="F67:F95" si="4">IF(OR(D67=0,E67=0),"",ROUND(E67/D67,2))</f>
        <v>6.5</v>
      </c>
    </row>
    <row r="68" spans="1:6" x14ac:dyDescent="0.2">
      <c r="A68" s="19">
        <v>2</v>
      </c>
      <c r="B68" s="181" t="s">
        <v>1</v>
      </c>
      <c r="C68" s="182"/>
      <c r="D68" s="14">
        <f t="shared" ref="D68:D94" si="5">D37</f>
        <v>113840</v>
      </c>
      <c r="E68" s="17">
        <f>IF(F3="1",SUMIF(Data!A:A,'40'!$A$2,Data!DZ:DZ),0)</f>
        <v>758583</v>
      </c>
      <c r="F68" s="21">
        <f t="shared" si="4"/>
        <v>6.66</v>
      </c>
    </row>
    <row r="69" spans="1:6" ht="14.25" customHeight="1" x14ac:dyDescent="0.2">
      <c r="A69" s="19">
        <v>3</v>
      </c>
      <c r="B69" s="181" t="s">
        <v>2</v>
      </c>
      <c r="C69" s="182"/>
      <c r="D69" s="14">
        <f t="shared" si="5"/>
        <v>1455104</v>
      </c>
      <c r="E69" s="17">
        <f>IF(F3="1",SUMIF(Data!A:A,'40'!$A$2,Data!EA:EA),0)</f>
        <v>3673552</v>
      </c>
      <c r="F69" s="21">
        <f t="shared" si="4"/>
        <v>2.52</v>
      </c>
    </row>
    <row r="70" spans="1:6" ht="14.25" customHeight="1" x14ac:dyDescent="0.2">
      <c r="A70" s="19">
        <v>4</v>
      </c>
      <c r="B70" s="181" t="s">
        <v>3</v>
      </c>
      <c r="C70" s="182"/>
      <c r="D70" s="14">
        <f t="shared" si="5"/>
        <v>754736</v>
      </c>
      <c r="E70" s="17">
        <f>IF(F3="1",SUMIF(Data!A:A,'40'!$A$2,Data!EB:EB),0)</f>
        <v>3078900</v>
      </c>
      <c r="F70" s="21">
        <f t="shared" si="4"/>
        <v>4.08</v>
      </c>
    </row>
    <row r="71" spans="1:6" x14ac:dyDescent="0.2">
      <c r="A71" s="19">
        <v>5</v>
      </c>
      <c r="B71" s="181" t="s">
        <v>4</v>
      </c>
      <c r="C71" s="182"/>
      <c r="D71" s="14">
        <f t="shared" si="5"/>
        <v>0</v>
      </c>
      <c r="E71" s="17">
        <f>IF(F3="1",SUMIF(Data!A:A,'40'!$A$2,Data!EC:EC),0)</f>
        <v>0</v>
      </c>
      <c r="F71" s="21" t="str">
        <f t="shared" si="4"/>
        <v/>
      </c>
    </row>
    <row r="72" spans="1:6" x14ac:dyDescent="0.2">
      <c r="A72" s="19">
        <v>6</v>
      </c>
      <c r="B72" s="181" t="s">
        <v>5</v>
      </c>
      <c r="C72" s="182"/>
      <c r="D72" s="14">
        <f t="shared" si="5"/>
        <v>52848</v>
      </c>
      <c r="E72" s="17">
        <f>IF(F3="1",SUMIF(Data!A:A,'40'!$A$2,Data!ED:ED),0)</f>
        <v>208564</v>
      </c>
      <c r="F72" s="21">
        <f t="shared" si="4"/>
        <v>3.95</v>
      </c>
    </row>
    <row r="73" spans="1:6" x14ac:dyDescent="0.2">
      <c r="A73" s="19">
        <v>7</v>
      </c>
      <c r="B73" s="181" t="s">
        <v>6</v>
      </c>
      <c r="C73" s="182"/>
      <c r="D73" s="14">
        <f t="shared" si="5"/>
        <v>629120</v>
      </c>
      <c r="E73" s="17">
        <f>IF(F3="1",SUMIF(Data!A:A,'40'!$A$2,Data!EE:EE),0)</f>
        <v>2386257</v>
      </c>
      <c r="F73" s="21">
        <f t="shared" si="4"/>
        <v>3.79</v>
      </c>
    </row>
    <row r="74" spans="1:6" x14ac:dyDescent="0.2">
      <c r="A74" s="19">
        <v>8</v>
      </c>
      <c r="B74" s="181" t="s">
        <v>7</v>
      </c>
      <c r="C74" s="182"/>
      <c r="D74" s="14">
        <f t="shared" si="5"/>
        <v>0</v>
      </c>
      <c r="E74" s="17">
        <f>IF(F3="1",SUMIF(Data!A:A,'40'!$A$2,Data!EF:EF),0)</f>
        <v>0</v>
      </c>
      <c r="F74" s="21" t="str">
        <f t="shared" si="4"/>
        <v/>
      </c>
    </row>
    <row r="75" spans="1:6" x14ac:dyDescent="0.2">
      <c r="A75" s="19">
        <v>9</v>
      </c>
      <c r="B75" s="181" t="s">
        <v>8</v>
      </c>
      <c r="C75" s="182"/>
      <c r="D75" s="14">
        <f t="shared" si="5"/>
        <v>122976</v>
      </c>
      <c r="E75" s="17">
        <f>IF(F3="1",SUMIF(Data!A:A,'40'!$A$2,Data!EG:EG),0)</f>
        <v>224635</v>
      </c>
      <c r="F75" s="21">
        <f t="shared" si="4"/>
        <v>1.83</v>
      </c>
    </row>
    <row r="76" spans="1:6" x14ac:dyDescent="0.2">
      <c r="A76" s="19">
        <v>10</v>
      </c>
      <c r="B76" s="181" t="s">
        <v>9</v>
      </c>
      <c r="C76" s="182"/>
      <c r="D76" s="14">
        <f t="shared" si="5"/>
        <v>0</v>
      </c>
      <c r="E76" s="17">
        <f>IF(F3="1",SUMIF(Data!A:A,'40'!$A$2,Data!EH:EH),0)</f>
        <v>0</v>
      </c>
      <c r="F76" s="21" t="str">
        <f t="shared" si="4"/>
        <v/>
      </c>
    </row>
    <row r="77" spans="1:6" x14ac:dyDescent="0.2">
      <c r="A77" s="19">
        <v>11</v>
      </c>
      <c r="B77" s="181" t="s">
        <v>10</v>
      </c>
      <c r="C77" s="182"/>
      <c r="D77" s="14">
        <f t="shared" si="5"/>
        <v>172112</v>
      </c>
      <c r="E77" s="17">
        <f>IF(F3="1",SUMIF(Data!A:A,'40'!$A$2,Data!EI:EI),0)</f>
        <v>555915</v>
      </c>
      <c r="F77" s="21">
        <f t="shared" si="4"/>
        <v>3.23</v>
      </c>
    </row>
    <row r="78" spans="1:6" ht="14.25" customHeight="1" x14ac:dyDescent="0.2">
      <c r="A78" s="19">
        <v>12</v>
      </c>
      <c r="B78" s="181" t="s">
        <v>11</v>
      </c>
      <c r="C78" s="182"/>
      <c r="D78" s="14">
        <f t="shared" si="5"/>
        <v>1797264</v>
      </c>
      <c r="E78" s="17">
        <f>IF(F3="1",SUMIF(Data!A:A,'40'!$A$2,Data!EJ:EJ),0)</f>
        <v>5373184</v>
      </c>
      <c r="F78" s="21">
        <f t="shared" si="4"/>
        <v>2.99</v>
      </c>
    </row>
    <row r="79" spans="1:6" x14ac:dyDescent="0.2">
      <c r="A79" s="19">
        <v>13</v>
      </c>
      <c r="B79" s="181" t="s">
        <v>12</v>
      </c>
      <c r="C79" s="182"/>
      <c r="D79" s="14">
        <f t="shared" si="5"/>
        <v>349424</v>
      </c>
      <c r="E79" s="17">
        <f>IF(F3="1",SUMIF(Data!A:A,'40'!$A$2,Data!EK:EK),0)</f>
        <v>927750</v>
      </c>
      <c r="F79" s="21">
        <f t="shared" si="4"/>
        <v>2.66</v>
      </c>
    </row>
    <row r="80" spans="1:6" ht="14.25" customHeight="1" x14ac:dyDescent="0.2">
      <c r="A80" s="19">
        <v>14</v>
      </c>
      <c r="B80" s="181" t="s">
        <v>464</v>
      </c>
      <c r="C80" s="182"/>
      <c r="D80" s="14">
        <f t="shared" si="5"/>
        <v>189584</v>
      </c>
      <c r="E80" s="17">
        <f>IF(F3="1",SUMIF(Data!A:A,'40'!$A$2,Data!EL:EL),0)</f>
        <v>1592954</v>
      </c>
      <c r="F80" s="21">
        <f t="shared" si="4"/>
        <v>8.4</v>
      </c>
    </row>
    <row r="81" spans="1:6" x14ac:dyDescent="0.2">
      <c r="A81" s="19">
        <v>15</v>
      </c>
      <c r="B81" s="181" t="s">
        <v>13</v>
      </c>
      <c r="C81" s="182"/>
      <c r="D81" s="14">
        <f t="shared" si="5"/>
        <v>37856</v>
      </c>
      <c r="E81" s="17">
        <f>IF(F3="1",SUMIF(Data!A:A,'40'!$A$2,Data!EM:EM),0)</f>
        <v>358197</v>
      </c>
      <c r="F81" s="21">
        <f t="shared" si="4"/>
        <v>9.4600000000000009</v>
      </c>
    </row>
    <row r="82" spans="1:6" x14ac:dyDescent="0.2">
      <c r="A82" s="19">
        <v>16</v>
      </c>
      <c r="B82" s="181" t="s">
        <v>14</v>
      </c>
      <c r="C82" s="182"/>
      <c r="D82" s="14">
        <f t="shared" si="5"/>
        <v>267472</v>
      </c>
      <c r="E82" s="17">
        <f>IF(F3="1",SUMIF(Data!A:A,'40'!$A$2,Data!EN:EN),0)</f>
        <v>1248435</v>
      </c>
      <c r="F82" s="21">
        <f t="shared" si="4"/>
        <v>4.67</v>
      </c>
    </row>
    <row r="83" spans="1:6" x14ac:dyDescent="0.2">
      <c r="A83" s="19">
        <v>17</v>
      </c>
      <c r="B83" s="181" t="s">
        <v>15</v>
      </c>
      <c r="C83" s="182"/>
      <c r="D83" s="14">
        <f t="shared" si="5"/>
        <v>24128</v>
      </c>
      <c r="E83" s="17">
        <f>IF(F3="1",SUMIF(Data!A:A,'40'!$A$2,Data!EO:EO),0)</f>
        <v>243434</v>
      </c>
      <c r="F83" s="21">
        <f t="shared" si="4"/>
        <v>10.09</v>
      </c>
    </row>
    <row r="84" spans="1:6" x14ac:dyDescent="0.2">
      <c r="A84" s="19">
        <v>18</v>
      </c>
      <c r="B84" s="181" t="s">
        <v>16</v>
      </c>
      <c r="C84" s="182"/>
      <c r="D84" s="14">
        <f t="shared" si="5"/>
        <v>0</v>
      </c>
      <c r="E84" s="17">
        <f>IF(F3="1",SUMIF(Data!A:A,'40'!$A$2,Data!EP:EP),0)</f>
        <v>0</v>
      </c>
      <c r="F84" s="21" t="str">
        <f t="shared" si="4"/>
        <v/>
      </c>
    </row>
    <row r="85" spans="1:6" x14ac:dyDescent="0.2">
      <c r="A85" s="19">
        <v>19</v>
      </c>
      <c r="B85" s="181" t="s">
        <v>17</v>
      </c>
      <c r="C85" s="182"/>
      <c r="D85" s="14">
        <f t="shared" si="5"/>
        <v>1359488</v>
      </c>
      <c r="E85" s="17">
        <f>IF(F3="1",SUMIF(Data!A:A,'40'!$A$2,Data!EQ:EQ),0)</f>
        <v>3287435</v>
      </c>
      <c r="F85" s="21">
        <f t="shared" si="4"/>
        <v>2.42</v>
      </c>
    </row>
    <row r="86" spans="1:6" x14ac:dyDescent="0.2">
      <c r="A86" s="19">
        <v>20</v>
      </c>
      <c r="B86" s="181" t="s">
        <v>18</v>
      </c>
      <c r="C86" s="182"/>
      <c r="D86" s="14">
        <f t="shared" si="5"/>
        <v>79008</v>
      </c>
      <c r="E86" s="17">
        <f>IF(F3="1",SUMIF(Data!A:A,'40'!$A$2,Data!ER:ER),0)</f>
        <v>469047</v>
      </c>
      <c r="F86" s="21">
        <f t="shared" si="4"/>
        <v>5.94</v>
      </c>
    </row>
    <row r="87" spans="1:6" ht="14.25" customHeight="1" x14ac:dyDescent="0.2">
      <c r="A87" s="19">
        <v>21</v>
      </c>
      <c r="B87" s="181" t="s">
        <v>461</v>
      </c>
      <c r="C87" s="182"/>
      <c r="D87" s="14">
        <f t="shared" si="5"/>
        <v>193552</v>
      </c>
      <c r="E87" s="17">
        <f>IF(F3="1",SUMIF(Data!A:A,'40'!$A$2,Data!ES:ES),0)</f>
        <v>734032</v>
      </c>
      <c r="F87" s="21">
        <f t="shared" si="4"/>
        <v>3.79</v>
      </c>
    </row>
    <row r="88" spans="1:6" x14ac:dyDescent="0.2">
      <c r="A88" s="19">
        <v>22</v>
      </c>
      <c r="B88" s="181" t="s">
        <v>19</v>
      </c>
      <c r="C88" s="182"/>
      <c r="D88" s="14">
        <f t="shared" si="5"/>
        <v>5824</v>
      </c>
      <c r="E88" s="17">
        <f>IF(F3="1",SUMIF(Data!A:A,'40'!$A$2,Data!ET:ET),0)</f>
        <v>30643</v>
      </c>
      <c r="F88" s="21">
        <f t="shared" si="4"/>
        <v>5.26</v>
      </c>
    </row>
    <row r="89" spans="1:6" x14ac:dyDescent="0.2">
      <c r="A89" s="19">
        <v>23</v>
      </c>
      <c r="B89" s="181" t="s">
        <v>20</v>
      </c>
      <c r="C89" s="182"/>
      <c r="D89" s="14">
        <f t="shared" si="5"/>
        <v>339456</v>
      </c>
      <c r="E89" s="17">
        <f>IF(F3="1",SUMIF(Data!A:A,'40'!$A$2,Data!EU:EU),0)</f>
        <v>1298809</v>
      </c>
      <c r="F89" s="21">
        <f t="shared" si="4"/>
        <v>3.83</v>
      </c>
    </row>
    <row r="90" spans="1:6" x14ac:dyDescent="0.2">
      <c r="A90" s="19">
        <v>24</v>
      </c>
      <c r="B90" s="181" t="s">
        <v>21</v>
      </c>
      <c r="C90" s="182"/>
      <c r="D90" s="14">
        <f t="shared" si="5"/>
        <v>161840</v>
      </c>
      <c r="E90" s="17">
        <f>IF(F3="1",SUMIF(Data!A:A,'40'!$A$2,Data!EV:EV),0)</f>
        <v>859386</v>
      </c>
      <c r="F90" s="21">
        <f t="shared" si="4"/>
        <v>5.31</v>
      </c>
    </row>
    <row r="91" spans="1:6" x14ac:dyDescent="0.2">
      <c r="A91" s="19">
        <v>25</v>
      </c>
      <c r="B91" s="181" t="s">
        <v>22</v>
      </c>
      <c r="C91" s="182"/>
      <c r="D91" s="14">
        <f t="shared" si="5"/>
        <v>2331520</v>
      </c>
      <c r="E91" s="17">
        <f>IF(F3="1",SUMIF(Data!A:A,'40'!$A$2,Data!EW:EW),0)</f>
        <v>4717415</v>
      </c>
      <c r="F91" s="21">
        <f t="shared" si="4"/>
        <v>2.02</v>
      </c>
    </row>
    <row r="92" spans="1:6" x14ac:dyDescent="0.2">
      <c r="A92" s="19">
        <v>26</v>
      </c>
      <c r="B92" s="181" t="s">
        <v>23</v>
      </c>
      <c r="C92" s="182"/>
      <c r="D92" s="14">
        <f t="shared" si="5"/>
        <v>634016</v>
      </c>
      <c r="E92" s="17">
        <f>IF(F3="1",SUMIF(Data!A:A,'40'!$A$2,Data!EX:EX),0)</f>
        <v>2345723</v>
      </c>
      <c r="F92" s="21">
        <f t="shared" si="4"/>
        <v>3.7</v>
      </c>
    </row>
    <row r="93" spans="1:6" x14ac:dyDescent="0.2">
      <c r="A93" s="19">
        <v>28</v>
      </c>
      <c r="B93" s="181" t="s">
        <v>24</v>
      </c>
      <c r="C93" s="182"/>
      <c r="D93" s="14">
        <f t="shared" si="5"/>
        <v>0</v>
      </c>
      <c r="E93" s="17">
        <f>IF(F3="1",SUMIF(Data!A:A,'40'!$A$2,Data!EZ:EZ),0)</f>
        <v>0</v>
      </c>
      <c r="F93" s="21" t="str">
        <f t="shared" si="4"/>
        <v/>
      </c>
    </row>
    <row r="94" spans="1:6" ht="15.75" customHeight="1" thickBot="1" x14ac:dyDescent="0.25">
      <c r="A94" s="22">
        <v>29</v>
      </c>
      <c r="B94" s="183" t="s">
        <v>25</v>
      </c>
      <c r="C94" s="184"/>
      <c r="D94" s="23">
        <f t="shared" si="5"/>
        <v>0</v>
      </c>
      <c r="E94" s="24">
        <f>IF(F3="1",SUMIF(Data!A:A,'40'!$A$2,Data!FA:FA),0)</f>
        <v>0</v>
      </c>
      <c r="F94" s="25" t="str">
        <f t="shared" si="4"/>
        <v/>
      </c>
    </row>
    <row r="95" spans="1:6" x14ac:dyDescent="0.2">
      <c r="B95" s="30" t="s">
        <v>35</v>
      </c>
      <c r="C95" s="30"/>
      <c r="D95" s="59">
        <f>SUM(D67:D94)</f>
        <v>11084720</v>
      </c>
      <c r="E95" s="31">
        <f>SUM(E67:E94)</f>
        <v>34460937</v>
      </c>
      <c r="F95" s="32">
        <f t="shared" si="4"/>
        <v>3.11</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IF(F3="1",SUMIF(Data!A:A,'40'!$A$2,Data!AH:AH),0)</f>
        <v>13943462</v>
      </c>
      <c r="F98" s="20">
        <f>IF(OR(E98=0,E98=0),"",ROUND(E98/$D$105,2))</f>
        <v>1.26</v>
      </c>
    </row>
    <row r="99" spans="2:6" x14ac:dyDescent="0.2">
      <c r="B99" s="187" t="s">
        <v>31</v>
      </c>
      <c r="C99" s="188"/>
      <c r="D99" s="36"/>
      <c r="E99" s="17">
        <f>IF(F3="1",SUMIF(Data!A:A,'40'!$A$2,Data!AI:AI),0)</f>
        <v>10043738</v>
      </c>
      <c r="F99" s="21">
        <f t="shared" ref="F99:F104" si="6">IF(OR(E99=0,E99=0),"",ROUND(E99/$D$105,2))</f>
        <v>0.91</v>
      </c>
    </row>
    <row r="100" spans="2:6" x14ac:dyDescent="0.2">
      <c r="B100" s="187" t="s">
        <v>1078</v>
      </c>
      <c r="C100" s="188"/>
      <c r="D100" s="36"/>
      <c r="E100" s="17">
        <f>IF(F3="1",SUMIF(Data!A:A,'40'!$A$2,Data!AJ:AJ),0)</f>
        <v>4757445</v>
      </c>
      <c r="F100" s="21">
        <f t="shared" si="6"/>
        <v>0.43</v>
      </c>
    </row>
    <row r="101" spans="2:6" x14ac:dyDescent="0.2">
      <c r="B101" s="187" t="s">
        <v>1079</v>
      </c>
      <c r="C101" s="188"/>
      <c r="D101" s="36"/>
      <c r="E101" s="17">
        <f>IF(F3="1",SUMIF(Data!A:A,'40'!$A$2,Data!AK:AK),0)</f>
        <v>2556037</v>
      </c>
      <c r="F101" s="21">
        <f t="shared" si="6"/>
        <v>0.23</v>
      </c>
    </row>
    <row r="102" spans="2:6" x14ac:dyDescent="0.2">
      <c r="B102" s="187" t="s">
        <v>1080</v>
      </c>
      <c r="C102" s="188"/>
      <c r="D102" s="36"/>
      <c r="E102" s="17">
        <f>IF(F3="1",SUMIF(Data!A:A,'40'!$A$2,Data!AL:AL),0)</f>
        <v>0</v>
      </c>
      <c r="F102" s="21" t="str">
        <f t="shared" si="6"/>
        <v/>
      </c>
    </row>
    <row r="103" spans="2:6" x14ac:dyDescent="0.2">
      <c r="B103" s="189" t="s">
        <v>34</v>
      </c>
      <c r="C103" s="190"/>
      <c r="D103" s="36"/>
      <c r="E103" s="17">
        <f>IF(F3="1",SUMIF(Data!A:A,'40'!$A$2,Data!AM:AM),0)</f>
        <v>0</v>
      </c>
      <c r="F103" s="21" t="str">
        <f t="shared" si="6"/>
        <v/>
      </c>
    </row>
    <row r="104" spans="2:6" ht="15.75" customHeight="1" thickBot="1" x14ac:dyDescent="0.25">
      <c r="B104" s="179" t="s">
        <v>29</v>
      </c>
      <c r="C104" s="180"/>
      <c r="D104" s="37"/>
      <c r="E104" s="24">
        <f>IF(F3="1",SUMIF(Data!A:A,'40'!$A$2,Data!Q:Q),0)</f>
        <v>8091479</v>
      </c>
      <c r="F104" s="25">
        <f t="shared" si="6"/>
        <v>0.73</v>
      </c>
    </row>
    <row r="105" spans="2:6" x14ac:dyDescent="0.2">
      <c r="B105" s="30" t="s">
        <v>35</v>
      </c>
      <c r="C105" s="30"/>
      <c r="D105" s="34">
        <f>D95</f>
        <v>11084720</v>
      </c>
      <c r="E105" s="31">
        <f>SUM(E98:E104)</f>
        <v>39392161</v>
      </c>
      <c r="F105" s="32">
        <f>IF($D$105=0,"",ROUND(E105/$D$105,2))</f>
        <v>3.55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34460937</v>
      </c>
      <c r="D109" s="15">
        <f>IF(F3="1",SUMIF(Data!$A:$A,$A$2,Data!HJ:HJ),0)</f>
        <v>0</v>
      </c>
      <c r="E109" s="15">
        <f>IF(F3="1",SUMIF(Data!$A:$A,$A$2,Data!IN:IN),0)</f>
        <v>0</v>
      </c>
      <c r="F109" s="47">
        <f>SUM(C109:E109)</f>
        <v>34460937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8091479</v>
      </c>
      <c r="E117" s="52"/>
      <c r="F117" s="49">
        <f>SUM(C117:E117)</f>
        <v>8091479</v>
      </c>
    </row>
    <row r="118" spans="1:6" x14ac:dyDescent="0.2">
      <c r="B118" s="13" t="s">
        <v>35</v>
      </c>
      <c r="C118" s="4">
        <f>SUM(C109:C116)</f>
        <v>34460937</v>
      </c>
      <c r="D118" s="4">
        <f>SUM(D109:D116)</f>
        <v>0</v>
      </c>
      <c r="E118" s="4">
        <f>SUM(E109:E116)</f>
        <v>0</v>
      </c>
      <c r="F118" s="4">
        <f>SUM(F109:F116)</f>
        <v>34460937</v>
      </c>
    </row>
    <row r="119" spans="1:6" ht="15" thickBot="1" x14ac:dyDescent="0.25"/>
    <row r="120" spans="1:6" ht="15" thickBot="1" x14ac:dyDescent="0.25">
      <c r="B120" s="55" t="s">
        <v>934</v>
      </c>
      <c r="C120" s="53"/>
      <c r="D120" s="53"/>
      <c r="E120" s="53">
        <f>IF(F3="1",SUMIF(Data!A:A,'40'!$A$2,Data!AM:AM),0)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403</v>
      </c>
      <c r="B2" s="58" t="str">
        <f>VLOOKUP(A2,Data!A:G,7,0)</f>
        <v>Temple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11752</v>
      </c>
      <c r="E5" s="15">
        <f>E36+E67+IFERROR($E$105/$D$105*D5,0)</f>
        <v>88323.149199848354</v>
      </c>
      <c r="F5" s="20">
        <f>IF(OR(D5=0,E5=0),"",ROUND(E5/D5,2))</f>
        <v>7.52</v>
      </c>
    </row>
    <row r="6" spans="1:6" x14ac:dyDescent="0.2">
      <c r="A6" s="19">
        <v>2</v>
      </c>
      <c r="B6" s="181" t="s">
        <v>1</v>
      </c>
      <c r="C6" s="182"/>
      <c r="D6" s="14">
        <f t="shared" ref="D6:D32" si="0">D37</f>
        <v>40733</v>
      </c>
      <c r="E6" s="17">
        <f t="shared" ref="E6:E32" si="1">E37+E68+IFERROR($E$105/$D$105*D6,0)</f>
        <v>382921.4855647909</v>
      </c>
      <c r="F6" s="21">
        <f t="shared" ref="F6:F33" si="2">IF(OR(D6=0,E6=0),"",ROUND(E6/D6,2))</f>
        <v>9.4</v>
      </c>
    </row>
    <row r="7" spans="1:6" ht="14.25" customHeight="1" x14ac:dyDescent="0.2">
      <c r="A7" s="19">
        <v>3</v>
      </c>
      <c r="B7" s="181" t="s">
        <v>2</v>
      </c>
      <c r="C7" s="182"/>
      <c r="D7" s="14">
        <f t="shared" si="0"/>
        <v>159488</v>
      </c>
      <c r="E7" s="17">
        <f t="shared" si="1"/>
        <v>930524.25762299297</v>
      </c>
      <c r="F7" s="21">
        <f t="shared" si="2"/>
        <v>5.83</v>
      </c>
    </row>
    <row r="8" spans="1:6" ht="14.25" customHeight="1" x14ac:dyDescent="0.2">
      <c r="A8" s="19">
        <v>4</v>
      </c>
      <c r="B8" s="181" t="s">
        <v>3</v>
      </c>
      <c r="C8" s="182"/>
      <c r="D8" s="14">
        <f t="shared" si="0"/>
        <v>171608</v>
      </c>
      <c r="E8" s="17">
        <f t="shared" si="1"/>
        <v>973380.42306735669</v>
      </c>
      <c r="F8" s="21">
        <f t="shared" si="2"/>
        <v>5.67</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448</v>
      </c>
      <c r="E10" s="17">
        <f t="shared" si="1"/>
        <v>4220.5849933230138</v>
      </c>
      <c r="F10" s="21">
        <f t="shared" si="2"/>
        <v>9.42</v>
      </c>
    </row>
    <row r="11" spans="1:6" x14ac:dyDescent="0.2">
      <c r="A11" s="19">
        <v>7</v>
      </c>
      <c r="B11" s="181" t="s">
        <v>6</v>
      </c>
      <c r="C11" s="182"/>
      <c r="D11" s="14">
        <f t="shared" si="0"/>
        <v>119156</v>
      </c>
      <c r="E11" s="17">
        <f t="shared" si="1"/>
        <v>799219.92291160056</v>
      </c>
      <c r="F11" s="21">
        <f t="shared" si="2"/>
        <v>6.71</v>
      </c>
    </row>
    <row r="12" spans="1:6" x14ac:dyDescent="0.2">
      <c r="A12" s="19">
        <v>8</v>
      </c>
      <c r="B12" s="181" t="s">
        <v>7</v>
      </c>
      <c r="C12" s="182"/>
      <c r="D12" s="14">
        <f t="shared" si="0"/>
        <v>1620</v>
      </c>
      <c r="E12" s="17">
        <f t="shared" si="1"/>
        <v>5357.5171633555419</v>
      </c>
      <c r="F12" s="21">
        <f t="shared" si="2"/>
        <v>3.31</v>
      </c>
    </row>
    <row r="13" spans="1:6" x14ac:dyDescent="0.2">
      <c r="A13" s="19">
        <v>9</v>
      </c>
      <c r="B13" s="181" t="s">
        <v>8</v>
      </c>
      <c r="C13" s="182"/>
      <c r="D13" s="14">
        <f t="shared" si="0"/>
        <v>14432</v>
      </c>
      <c r="E13" s="17">
        <f t="shared" si="1"/>
        <v>75590.202284905667</v>
      </c>
      <c r="F13" s="21">
        <f t="shared" si="2"/>
        <v>5.24</v>
      </c>
    </row>
    <row r="14" spans="1:6" x14ac:dyDescent="0.2">
      <c r="A14" s="19">
        <v>10</v>
      </c>
      <c r="B14" s="181" t="s">
        <v>9</v>
      </c>
      <c r="C14" s="182"/>
      <c r="D14" s="14">
        <f t="shared" si="0"/>
        <v>3979</v>
      </c>
      <c r="E14" s="17">
        <f t="shared" si="1"/>
        <v>23992.98814382204</v>
      </c>
      <c r="F14" s="21">
        <f t="shared" si="2"/>
        <v>6.03</v>
      </c>
    </row>
    <row r="15" spans="1:6" x14ac:dyDescent="0.2">
      <c r="A15" s="19">
        <v>11</v>
      </c>
      <c r="B15" s="181" t="s">
        <v>10</v>
      </c>
      <c r="C15" s="182"/>
      <c r="D15" s="14">
        <f t="shared" si="0"/>
        <v>25960</v>
      </c>
      <c r="E15" s="17">
        <f t="shared" si="1"/>
        <v>156450.55898809253</v>
      </c>
      <c r="F15" s="21">
        <f t="shared" si="2"/>
        <v>6.03</v>
      </c>
    </row>
    <row r="16" spans="1:6" ht="14.25" customHeight="1" x14ac:dyDescent="0.2">
      <c r="A16" s="19">
        <v>12</v>
      </c>
      <c r="B16" s="181" t="s">
        <v>11</v>
      </c>
      <c r="C16" s="182"/>
      <c r="D16" s="14">
        <f t="shared" si="0"/>
        <v>229096</v>
      </c>
      <c r="E16" s="17">
        <f t="shared" si="1"/>
        <v>1472435.5259605562</v>
      </c>
      <c r="F16" s="21">
        <f t="shared" si="2"/>
        <v>6.43</v>
      </c>
    </row>
    <row r="17" spans="1:6" x14ac:dyDescent="0.2">
      <c r="A17" s="19">
        <v>13</v>
      </c>
      <c r="B17" s="181" t="s">
        <v>12</v>
      </c>
      <c r="C17" s="182"/>
      <c r="D17" s="14">
        <f t="shared" si="0"/>
        <v>19336</v>
      </c>
      <c r="E17" s="17">
        <f t="shared" si="1"/>
        <v>138400.26658681652</v>
      </c>
      <c r="F17" s="21">
        <f t="shared" si="2"/>
        <v>7.16</v>
      </c>
    </row>
    <row r="18" spans="1:6" ht="14.25" customHeight="1" x14ac:dyDescent="0.2">
      <c r="A18" s="19">
        <v>14</v>
      </c>
      <c r="B18" s="181" t="s">
        <v>464</v>
      </c>
      <c r="C18" s="182"/>
      <c r="D18" s="14">
        <f t="shared" si="0"/>
        <v>78736</v>
      </c>
      <c r="E18" s="17">
        <f t="shared" si="1"/>
        <v>788231.56257651979</v>
      </c>
      <c r="F18" s="21">
        <f t="shared" si="2"/>
        <v>10.01</v>
      </c>
    </row>
    <row r="19" spans="1:6" x14ac:dyDescent="0.2">
      <c r="A19" s="19">
        <v>15</v>
      </c>
      <c r="B19" s="181" t="s">
        <v>13</v>
      </c>
      <c r="C19" s="182"/>
      <c r="D19" s="14">
        <f t="shared" si="0"/>
        <v>17456</v>
      </c>
      <c r="E19" s="17">
        <f t="shared" si="1"/>
        <v>368810.90098983602</v>
      </c>
      <c r="F19" s="21">
        <f t="shared" si="2"/>
        <v>21.13</v>
      </c>
    </row>
    <row r="20" spans="1:6" x14ac:dyDescent="0.2">
      <c r="A20" s="19">
        <v>16</v>
      </c>
      <c r="B20" s="181" t="s">
        <v>14</v>
      </c>
      <c r="C20" s="182"/>
      <c r="D20" s="14">
        <f t="shared" si="0"/>
        <v>98510</v>
      </c>
      <c r="E20" s="17">
        <f t="shared" si="1"/>
        <v>865286.34306305833</v>
      </c>
      <c r="F20" s="21">
        <f t="shared" si="2"/>
        <v>8.7799999999999994</v>
      </c>
    </row>
    <row r="21" spans="1:6" x14ac:dyDescent="0.2">
      <c r="A21" s="19">
        <v>17</v>
      </c>
      <c r="B21" s="181" t="s">
        <v>15</v>
      </c>
      <c r="C21" s="182"/>
      <c r="D21" s="14">
        <f t="shared" si="0"/>
        <v>15054</v>
      </c>
      <c r="E21" s="17">
        <f t="shared" si="1"/>
        <v>227420.22430688539</v>
      </c>
      <c r="F21" s="21">
        <f t="shared" si="2"/>
        <v>15.11</v>
      </c>
    </row>
    <row r="22" spans="1:6" x14ac:dyDescent="0.2">
      <c r="A22" s="19">
        <v>18</v>
      </c>
      <c r="B22" s="181" t="s">
        <v>16</v>
      </c>
      <c r="C22" s="182"/>
      <c r="D22" s="14">
        <f t="shared" si="0"/>
        <v>84260</v>
      </c>
      <c r="E22" s="17">
        <f t="shared" si="1"/>
        <v>604077.03468169016</v>
      </c>
      <c r="F22" s="21">
        <f t="shared" si="2"/>
        <v>7.17</v>
      </c>
    </row>
    <row r="23" spans="1:6" x14ac:dyDescent="0.2">
      <c r="A23" s="19">
        <v>19</v>
      </c>
      <c r="B23" s="181" t="s">
        <v>17</v>
      </c>
      <c r="C23" s="182"/>
      <c r="D23" s="14">
        <f t="shared" si="0"/>
        <v>120800</v>
      </c>
      <c r="E23" s="17">
        <f t="shared" si="1"/>
        <v>950183.8106995984</v>
      </c>
      <c r="F23" s="21">
        <f t="shared" si="2"/>
        <v>7.87</v>
      </c>
    </row>
    <row r="24" spans="1:6" x14ac:dyDescent="0.2">
      <c r="A24" s="19">
        <v>20</v>
      </c>
      <c r="B24" s="181" t="s">
        <v>18</v>
      </c>
      <c r="C24" s="182"/>
      <c r="D24" s="14">
        <f t="shared" si="0"/>
        <v>13088</v>
      </c>
      <c r="E24" s="17">
        <f t="shared" si="1"/>
        <v>118745.44730493662</v>
      </c>
      <c r="F24" s="21">
        <f t="shared" si="2"/>
        <v>9.07</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48</v>
      </c>
      <c r="E26" s="17">
        <f t="shared" si="1"/>
        <v>1130.7412492846086</v>
      </c>
      <c r="F26" s="21">
        <f t="shared" si="2"/>
        <v>23.56</v>
      </c>
    </row>
    <row r="27" spans="1:6" x14ac:dyDescent="0.2">
      <c r="A27" s="19">
        <v>23</v>
      </c>
      <c r="B27" s="181" t="s">
        <v>20</v>
      </c>
      <c r="C27" s="182"/>
      <c r="D27" s="14">
        <f t="shared" si="0"/>
        <v>65664</v>
      </c>
      <c r="E27" s="17">
        <f t="shared" si="1"/>
        <v>445096.02902134461</v>
      </c>
      <c r="F27" s="21">
        <f t="shared" si="2"/>
        <v>6.78</v>
      </c>
    </row>
    <row r="28" spans="1:6" x14ac:dyDescent="0.2">
      <c r="A28" s="19">
        <v>24</v>
      </c>
      <c r="B28" s="181" t="s">
        <v>21</v>
      </c>
      <c r="C28" s="182"/>
      <c r="D28" s="14">
        <f t="shared" si="0"/>
        <v>50916</v>
      </c>
      <c r="E28" s="17">
        <f t="shared" si="1"/>
        <v>272107.78017864865</v>
      </c>
      <c r="F28" s="21">
        <f t="shared" si="2"/>
        <v>5.34</v>
      </c>
    </row>
    <row r="29" spans="1:6" x14ac:dyDescent="0.2">
      <c r="A29" s="19">
        <v>25</v>
      </c>
      <c r="B29" s="181" t="s">
        <v>22</v>
      </c>
      <c r="C29" s="182"/>
      <c r="D29" s="14">
        <f t="shared" si="0"/>
        <v>223976</v>
      </c>
      <c r="E29" s="17">
        <f t="shared" si="1"/>
        <v>1294791.1260368647</v>
      </c>
      <c r="F29" s="21">
        <f t="shared" si="2"/>
        <v>5.78</v>
      </c>
    </row>
    <row r="30" spans="1:6" x14ac:dyDescent="0.2">
      <c r="A30" s="19">
        <v>26</v>
      </c>
      <c r="B30" s="181" t="s">
        <v>23</v>
      </c>
      <c r="C30" s="182"/>
      <c r="D30" s="14">
        <f t="shared" si="0"/>
        <v>90320</v>
      </c>
      <c r="E30" s="17">
        <f t="shared" si="1"/>
        <v>956892.11740387196</v>
      </c>
      <c r="F30" s="21">
        <f t="shared" si="2"/>
        <v>10.59</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1656436</v>
      </c>
      <c r="E33" s="31">
        <f>SUM(E5:E32)</f>
        <v>11943590</v>
      </c>
      <c r="F33" s="32">
        <f t="shared" si="2"/>
        <v>7.21</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IF(F3="1",SUMIF(Data!A:A,'41'!$A$2,Data!CU:CU),0)</f>
        <v>11752</v>
      </c>
      <c r="E36" s="15">
        <f>IF(F3="1",SUMIF(Data!$A:$A,$A$2,Data!IO:IO),0)</f>
        <v>3847</v>
      </c>
      <c r="F36" s="20">
        <f t="shared" ref="F36:F64" si="3">IF(OR(D36=0,E36=0),"",ROUND(E36/D36,2))</f>
        <v>0.33</v>
      </c>
    </row>
    <row r="37" spans="1:6" x14ac:dyDescent="0.2">
      <c r="A37" s="19">
        <v>2</v>
      </c>
      <c r="B37" s="181" t="s">
        <v>1</v>
      </c>
      <c r="C37" s="182"/>
      <c r="D37" s="14">
        <f>IF(F3="1",SUMIF(Data!A:A,'41'!$A$2,Data!CV:CV),0)</f>
        <v>40733</v>
      </c>
      <c r="E37" s="17">
        <f>IF(F3="1",SUMIF(Data!$A:$A,$A$2,Data!IP:IP),0)</f>
        <v>122347</v>
      </c>
      <c r="F37" s="21">
        <f t="shared" si="3"/>
        <v>3</v>
      </c>
    </row>
    <row r="38" spans="1:6" ht="14.25" customHeight="1" x14ac:dyDescent="0.2">
      <c r="A38" s="19">
        <v>3</v>
      </c>
      <c r="B38" s="181" t="s">
        <v>2</v>
      </c>
      <c r="C38" s="182"/>
      <c r="D38" s="14">
        <f>IF(F3="1",SUMIF(Data!A:A,'41'!$A$2,Data!CW:CW),0)</f>
        <v>159488</v>
      </c>
      <c r="E38" s="17">
        <f>IF($F$3="1",SUMIF(Data!$A:$A,$A$2,Data!IQ:IQ),0)</f>
        <v>42512</v>
      </c>
      <c r="F38" s="21">
        <f t="shared" si="3"/>
        <v>0.27</v>
      </c>
    </row>
    <row r="39" spans="1:6" ht="14.25" customHeight="1" x14ac:dyDescent="0.2">
      <c r="A39" s="19">
        <v>4</v>
      </c>
      <c r="B39" s="181" t="s">
        <v>3</v>
      </c>
      <c r="C39" s="182"/>
      <c r="D39" s="14">
        <f>IF(F3="1",SUMIF(Data!A:A,'41'!$A$2,Data!CX:CX),0)</f>
        <v>171608</v>
      </c>
      <c r="E39" s="17">
        <f>IF($F$3="1",SUMIF(Data!$A:$A,$A$2,Data!IR:IR),0)</f>
        <v>48102</v>
      </c>
      <c r="F39" s="21">
        <f t="shared" si="3"/>
        <v>0.28000000000000003</v>
      </c>
    </row>
    <row r="40" spans="1:6" x14ac:dyDescent="0.2">
      <c r="A40" s="19">
        <v>5</v>
      </c>
      <c r="B40" s="181" t="s">
        <v>4</v>
      </c>
      <c r="C40" s="182"/>
      <c r="D40" s="14">
        <f>IF(F3="1",SUMIF(Data!A:A,'41'!$A$2,Data!CY:CY),0)</f>
        <v>0</v>
      </c>
      <c r="E40" s="17">
        <f>IF($F$3="1",SUMIF(Data!$A:$A,$A$2,Data!IS:IS),0)</f>
        <v>0</v>
      </c>
      <c r="F40" s="21" t="str">
        <f t="shared" si="3"/>
        <v/>
      </c>
    </row>
    <row r="41" spans="1:6" x14ac:dyDescent="0.2">
      <c r="A41" s="19">
        <v>6</v>
      </c>
      <c r="B41" s="181" t="s">
        <v>5</v>
      </c>
      <c r="C41" s="182"/>
      <c r="D41" s="14">
        <f>IF(F3="1",SUMIF(Data!A:A,'41'!$A$2,Data!CZ:CZ),0)</f>
        <v>448</v>
      </c>
      <c r="E41" s="17">
        <f>IF($F$3="1",SUMIF(Data!$A:$A,$A$2,Data!IT:IT),0)</f>
        <v>332</v>
      </c>
      <c r="F41" s="21">
        <f t="shared" si="3"/>
        <v>0.74</v>
      </c>
    </row>
    <row r="42" spans="1:6" x14ac:dyDescent="0.2">
      <c r="A42" s="19">
        <v>7</v>
      </c>
      <c r="B42" s="181" t="s">
        <v>6</v>
      </c>
      <c r="C42" s="182"/>
      <c r="D42" s="14">
        <f>IF(F3="1",SUMIF(Data!A:A,'41'!$A$2,Data!DA:DA),0)</f>
        <v>119156</v>
      </c>
      <c r="E42" s="17">
        <f>IF($F$3="1",SUMIF(Data!$A:$A,$A$2,Data!IU:IU),0)</f>
        <v>62058</v>
      </c>
      <c r="F42" s="21">
        <f t="shared" si="3"/>
        <v>0.52</v>
      </c>
    </row>
    <row r="43" spans="1:6" x14ac:dyDescent="0.2">
      <c r="A43" s="19">
        <v>8</v>
      </c>
      <c r="B43" s="181" t="s">
        <v>7</v>
      </c>
      <c r="C43" s="182"/>
      <c r="D43" s="14">
        <f>IF(F3="1",SUMIF(Data!A:A,'41'!$A$2,Data!DB:DB),0)</f>
        <v>1620</v>
      </c>
      <c r="E43" s="17">
        <f>IF($F$3="1",SUMIF(Data!$A:$A,$A$2,Data!IV:IV),0)</f>
        <v>0</v>
      </c>
      <c r="F43" s="21" t="str">
        <f t="shared" si="3"/>
        <v/>
      </c>
    </row>
    <row r="44" spans="1:6" x14ac:dyDescent="0.2">
      <c r="A44" s="19">
        <v>9</v>
      </c>
      <c r="B44" s="181" t="s">
        <v>8</v>
      </c>
      <c r="C44" s="182"/>
      <c r="D44" s="14">
        <f>IF(F3="1",SUMIF(Data!A:A,'41'!$A$2,Data!DC:DC),0)</f>
        <v>14432</v>
      </c>
      <c r="E44" s="17">
        <f>IF($F$3="1",SUMIF(Data!$A:$A,$A$2,Data!IW:IW),0)</f>
        <v>1578</v>
      </c>
      <c r="F44" s="21">
        <f t="shared" si="3"/>
        <v>0.11</v>
      </c>
    </row>
    <row r="45" spans="1:6" x14ac:dyDescent="0.2">
      <c r="A45" s="19">
        <v>10</v>
      </c>
      <c r="B45" s="181" t="s">
        <v>9</v>
      </c>
      <c r="C45" s="182"/>
      <c r="D45" s="14">
        <f>IF(F3="1",SUMIF(Data!A:A,'41'!$A$2,Data!DD:DD),0)</f>
        <v>3979</v>
      </c>
      <c r="E45" s="17">
        <f>IF($F$3="1",SUMIF(Data!$A:$A,$A$2,Data!IX:IX),0)</f>
        <v>7171</v>
      </c>
      <c r="F45" s="21">
        <f t="shared" si="3"/>
        <v>1.8</v>
      </c>
    </row>
    <row r="46" spans="1:6" x14ac:dyDescent="0.2">
      <c r="A46" s="19">
        <v>11</v>
      </c>
      <c r="B46" s="181" t="s">
        <v>10</v>
      </c>
      <c r="C46" s="182"/>
      <c r="D46" s="14">
        <f>IF(F3="1",SUMIF(Data!A:A,'41'!$A$2,Data!DE:DE),0)</f>
        <v>25960</v>
      </c>
      <c r="E46" s="17">
        <f>IF($F$3="1",SUMIF(Data!$A:$A,$A$2,Data!IY:IY),0)</f>
        <v>21086</v>
      </c>
      <c r="F46" s="21">
        <f t="shared" si="3"/>
        <v>0.81</v>
      </c>
    </row>
    <row r="47" spans="1:6" ht="14.25" customHeight="1" x14ac:dyDescent="0.2">
      <c r="A47" s="19">
        <v>12</v>
      </c>
      <c r="B47" s="181" t="s">
        <v>11</v>
      </c>
      <c r="C47" s="182"/>
      <c r="D47" s="14">
        <f>IF(F3="1",SUMIF(Data!A:A,'41'!$A$2,Data!DF:DF),0)</f>
        <v>229096</v>
      </c>
      <c r="E47" s="17">
        <f>IF($F$3="1",SUMIF(Data!$A:$A,$A$2,Data!IZ:IZ),0)</f>
        <v>115368</v>
      </c>
      <c r="F47" s="21">
        <f t="shared" si="3"/>
        <v>0.5</v>
      </c>
    </row>
    <row r="48" spans="1:6" x14ac:dyDescent="0.2">
      <c r="A48" s="19">
        <v>13</v>
      </c>
      <c r="B48" s="181" t="s">
        <v>12</v>
      </c>
      <c r="C48" s="182"/>
      <c r="D48" s="14">
        <f>IF(F3="1",SUMIF(Data!A:A,'41'!$A$2,Data!DG:DG),0)</f>
        <v>19336</v>
      </c>
      <c r="E48" s="17">
        <f>IF($F$3="1",SUMIF(Data!$A:$A,$A$2,Data!JA:JA),0)</f>
        <v>5857</v>
      </c>
      <c r="F48" s="21">
        <f t="shared" si="3"/>
        <v>0.3</v>
      </c>
    </row>
    <row r="49" spans="1:6" ht="14.25" customHeight="1" x14ac:dyDescent="0.2">
      <c r="A49" s="19">
        <v>14</v>
      </c>
      <c r="B49" s="181" t="s">
        <v>464</v>
      </c>
      <c r="C49" s="182"/>
      <c r="D49" s="14">
        <f>IF(F3="1",SUMIF(Data!A:A,'41'!$A$2,Data!DH:DH),0)</f>
        <v>78736</v>
      </c>
      <c r="E49" s="17">
        <f>IF($F$3="1",SUMIF(Data!$A:$A,$A$2,Data!JB:JB),0)</f>
        <v>130424</v>
      </c>
      <c r="F49" s="21">
        <f t="shared" si="3"/>
        <v>1.66</v>
      </c>
    </row>
    <row r="50" spans="1:6" x14ac:dyDescent="0.2">
      <c r="A50" s="19">
        <v>15</v>
      </c>
      <c r="B50" s="181" t="s">
        <v>13</v>
      </c>
      <c r="C50" s="182"/>
      <c r="D50" s="14">
        <f>IF(F3="1",SUMIF(Data!A:A,'41'!$A$2,Data!DI:DI),0)</f>
        <v>17456</v>
      </c>
      <c r="E50" s="17">
        <f>IF($F$3="1",SUMIF(Data!$A:$A,$A$2,Data!JC:JC),0)</f>
        <v>120562</v>
      </c>
      <c r="F50" s="21">
        <f t="shared" si="3"/>
        <v>6.91</v>
      </c>
    </row>
    <row r="51" spans="1:6" x14ac:dyDescent="0.2">
      <c r="A51" s="19">
        <v>16</v>
      </c>
      <c r="B51" s="181" t="s">
        <v>14</v>
      </c>
      <c r="C51" s="182"/>
      <c r="D51" s="14">
        <f>IF(F3="1",SUMIF(Data!A:A,'41'!$A$2,Data!DJ:DJ),0)</f>
        <v>98510</v>
      </c>
      <c r="E51" s="17">
        <f>IF($F$3="1",SUMIF(Data!$A:$A,$A$2,Data!JD:JD),0)</f>
        <v>106526</v>
      </c>
      <c r="F51" s="21">
        <f t="shared" si="3"/>
        <v>1.08</v>
      </c>
    </row>
    <row r="52" spans="1:6" x14ac:dyDescent="0.2">
      <c r="A52" s="19">
        <v>17</v>
      </c>
      <c r="B52" s="181" t="s">
        <v>15</v>
      </c>
      <c r="C52" s="182"/>
      <c r="D52" s="14">
        <f>IF(F3="1",SUMIF(Data!A:A,'41'!$A$2,Data!DK:DK),0)</f>
        <v>15054</v>
      </c>
      <c r="E52" s="17">
        <f>IF($F$3="1",SUMIF(Data!$A:$A,$A$2,Data!JE:JE),0)</f>
        <v>21149</v>
      </c>
      <c r="F52" s="21">
        <f t="shared" si="3"/>
        <v>1.4</v>
      </c>
    </row>
    <row r="53" spans="1:6" x14ac:dyDescent="0.2">
      <c r="A53" s="19">
        <v>18</v>
      </c>
      <c r="B53" s="181" t="s">
        <v>16</v>
      </c>
      <c r="C53" s="182"/>
      <c r="D53" s="14">
        <f>IF(F3="1",SUMIF(Data!A:A,'41'!$A$2,Data!DL:DL),0)</f>
        <v>84260</v>
      </c>
      <c r="E53" s="17">
        <f>IF($F$3="1",SUMIF(Data!$A:$A,$A$2,Data!JF:JF),0)</f>
        <v>35962</v>
      </c>
      <c r="F53" s="21">
        <f t="shared" si="3"/>
        <v>0.43</v>
      </c>
    </row>
    <row r="54" spans="1:6" x14ac:dyDescent="0.2">
      <c r="A54" s="19">
        <v>19</v>
      </c>
      <c r="B54" s="181" t="s">
        <v>17</v>
      </c>
      <c r="C54" s="182"/>
      <c r="D54" s="14">
        <f>IF(F3="1",SUMIF(Data!A:A,'41'!$A$2,Data!DM:DM),0)</f>
        <v>120800</v>
      </c>
      <c r="E54" s="17">
        <f>IF($F$3="1",SUMIF(Data!$A:$A,$A$2,Data!JG:JG),0)</f>
        <v>116899</v>
      </c>
      <c r="F54" s="21">
        <f t="shared" si="3"/>
        <v>0.97</v>
      </c>
    </row>
    <row r="55" spans="1:6" x14ac:dyDescent="0.2">
      <c r="A55" s="19">
        <v>20</v>
      </c>
      <c r="B55" s="181" t="s">
        <v>18</v>
      </c>
      <c r="C55" s="182"/>
      <c r="D55" s="14">
        <f>IF(F3="1",SUMIF(Data!A:A,'41'!$A$2,Data!DN:DN),0)</f>
        <v>13088</v>
      </c>
      <c r="E55" s="17">
        <f>IF($F$3="1",SUMIF(Data!$A:$A,$A$2,Data!JH:JH),0)</f>
        <v>14253</v>
      </c>
      <c r="F55" s="21">
        <f t="shared" si="3"/>
        <v>1.0900000000000001</v>
      </c>
    </row>
    <row r="56" spans="1:6" ht="14.25" customHeight="1" x14ac:dyDescent="0.2">
      <c r="A56" s="19">
        <v>21</v>
      </c>
      <c r="B56" s="181" t="s">
        <v>461</v>
      </c>
      <c r="C56" s="182"/>
      <c r="D56" s="14">
        <f>IF(F3="1",SUMIF(Data!A:A,'41'!$A$2,Data!DO:DO),0)</f>
        <v>0</v>
      </c>
      <c r="E56" s="17">
        <f>IF($F$3="1",SUMIF(Data!$A:$A,$A$2,Data!JI:JI),0)</f>
        <v>0</v>
      </c>
      <c r="F56" s="21" t="str">
        <f t="shared" si="3"/>
        <v/>
      </c>
    </row>
    <row r="57" spans="1:6" x14ac:dyDescent="0.2">
      <c r="A57" s="19">
        <v>22</v>
      </c>
      <c r="B57" s="181" t="s">
        <v>19</v>
      </c>
      <c r="C57" s="182"/>
      <c r="D57" s="14">
        <f>IF(F3="1",SUMIF(Data!A:A,'41'!$A$2,Data!DP:DP),0)</f>
        <v>48</v>
      </c>
      <c r="E57" s="17">
        <f>IF($F$3="1",SUMIF(Data!$A:$A,$A$2,Data!JJ:JJ),0)</f>
        <v>514</v>
      </c>
      <c r="F57" s="21">
        <f t="shared" si="3"/>
        <v>10.71</v>
      </c>
    </row>
    <row r="58" spans="1:6" x14ac:dyDescent="0.2">
      <c r="A58" s="19">
        <v>23</v>
      </c>
      <c r="B58" s="181" t="s">
        <v>20</v>
      </c>
      <c r="C58" s="182"/>
      <c r="D58" s="14">
        <f>IF(F3="1",SUMIF(Data!A:A,'41'!$A$2,Data!DQ:DQ),0)</f>
        <v>65664</v>
      </c>
      <c r="E58" s="17">
        <f>IF($F$3="1",SUMIF(Data!$A:$A,$A$2,Data!JK:JK),0)</f>
        <v>13223</v>
      </c>
      <c r="F58" s="21">
        <f t="shared" si="3"/>
        <v>0.2</v>
      </c>
    </row>
    <row r="59" spans="1:6" x14ac:dyDescent="0.2">
      <c r="A59" s="19">
        <v>24</v>
      </c>
      <c r="B59" s="181" t="s">
        <v>21</v>
      </c>
      <c r="C59" s="182"/>
      <c r="D59" s="14">
        <f>IF(F3="1",SUMIF(Data!A:A,'41'!$A$2,Data!DR:DR),0)</f>
        <v>50916</v>
      </c>
      <c r="E59" s="17">
        <f>IF($F$3="1",SUMIF(Data!$A:$A,$A$2,Data!JL:JL),0)</f>
        <v>19280</v>
      </c>
      <c r="F59" s="21">
        <f t="shared" si="3"/>
        <v>0.38</v>
      </c>
    </row>
    <row r="60" spans="1:6" x14ac:dyDescent="0.2">
      <c r="A60" s="19">
        <v>25</v>
      </c>
      <c r="B60" s="181" t="s">
        <v>22</v>
      </c>
      <c r="C60" s="182"/>
      <c r="D60" s="14">
        <f>IF(F3="1",SUMIF(Data!A:A,'41'!$A$2,Data!DS:DS),0)</f>
        <v>223976</v>
      </c>
      <c r="E60" s="17">
        <f>IF($F$3="1",SUMIF(Data!$A:$A,$A$2,Data!JM:JM),0)</f>
        <v>45198</v>
      </c>
      <c r="F60" s="21">
        <f t="shared" si="3"/>
        <v>0.2</v>
      </c>
    </row>
    <row r="61" spans="1:6" x14ac:dyDescent="0.2">
      <c r="A61" s="19">
        <v>26</v>
      </c>
      <c r="B61" s="181" t="s">
        <v>23</v>
      </c>
      <c r="C61" s="182"/>
      <c r="D61" s="14">
        <f>IF(F3="1",SUMIF(Data!A:A,'41'!$A$2,Data!DT:DT),0)</f>
        <v>90320</v>
      </c>
      <c r="E61" s="17">
        <f>IF($F$3="1",SUMIF(Data!$A:$A,$A$2,Data!JN:JN),0)</f>
        <v>177541</v>
      </c>
      <c r="F61" s="21">
        <f t="shared" si="3"/>
        <v>1.97</v>
      </c>
    </row>
    <row r="62" spans="1:6" x14ac:dyDescent="0.2">
      <c r="A62" s="19">
        <v>28</v>
      </c>
      <c r="B62" s="181" t="s">
        <v>24</v>
      </c>
      <c r="C62" s="182"/>
      <c r="D62" s="14">
        <f>IF(F3="1",SUMIF(Data!A:A,'41'!$A$2,Data!DV:DV),0)</f>
        <v>0</v>
      </c>
      <c r="E62" s="17">
        <f>IF($F$3="1",SUMIF(Data!$A:$A,$A$2,Data!JP:JP),0)</f>
        <v>0</v>
      </c>
      <c r="F62" s="21" t="str">
        <f t="shared" si="3"/>
        <v/>
      </c>
    </row>
    <row r="63" spans="1:6" ht="15.75" customHeight="1" thickBot="1" x14ac:dyDescent="0.25">
      <c r="A63" s="22">
        <v>29</v>
      </c>
      <c r="B63" s="183" t="s">
        <v>25</v>
      </c>
      <c r="C63" s="184"/>
      <c r="D63" s="23">
        <f>IF(F3="1",SUMIF(Data!A:A,'41'!$A$2,Data!DW:DW),0)</f>
        <v>0</v>
      </c>
      <c r="E63" s="24">
        <f>IF($F$3="1",SUMIF(Data!$A:$A,$A$2,Data!JQ:JQ),0)</f>
        <v>0</v>
      </c>
      <c r="F63" s="25" t="str">
        <f t="shared" si="3"/>
        <v/>
      </c>
    </row>
    <row r="64" spans="1:6" x14ac:dyDescent="0.2">
      <c r="B64" s="30" t="s">
        <v>35</v>
      </c>
      <c r="C64" s="30"/>
      <c r="D64" s="59">
        <f>SUM(D36:D63)</f>
        <v>1656436</v>
      </c>
      <c r="E64" s="31">
        <f>SUM(E36:E63)</f>
        <v>1231789</v>
      </c>
      <c r="F64" s="32">
        <f t="shared" si="3"/>
        <v>0.74</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11752</v>
      </c>
      <c r="E67" s="15">
        <f>IF(F3="1",SUMIF(Data!A:A,'41'!$A$2,Data!DY:DY),0)</f>
        <v>45611</v>
      </c>
      <c r="F67" s="20">
        <f t="shared" ref="F67:F95" si="4">IF(OR(D67=0,E67=0),"",ROUND(E67/D67,2))</f>
        <v>3.88</v>
      </c>
    </row>
    <row r="68" spans="1:6" x14ac:dyDescent="0.2">
      <c r="A68" s="19">
        <v>2</v>
      </c>
      <c r="B68" s="181" t="s">
        <v>1</v>
      </c>
      <c r="C68" s="182"/>
      <c r="D68" s="14">
        <f t="shared" ref="D68:D94" si="5">D37</f>
        <v>40733</v>
      </c>
      <c r="E68" s="17">
        <f>IF(F3="1",SUMIF(Data!A:A,'41'!$A$2,Data!DZ:DZ),0)</f>
        <v>125866</v>
      </c>
      <c r="F68" s="21">
        <f t="shared" si="4"/>
        <v>3.09</v>
      </c>
    </row>
    <row r="69" spans="1:6" ht="14.25" customHeight="1" x14ac:dyDescent="0.2">
      <c r="A69" s="19">
        <v>3</v>
      </c>
      <c r="B69" s="181" t="s">
        <v>2</v>
      </c>
      <c r="C69" s="182"/>
      <c r="D69" s="14">
        <f t="shared" si="5"/>
        <v>159488</v>
      </c>
      <c r="E69" s="17">
        <f>IF(F3="1",SUMIF(Data!A:A,'41'!$A$2,Data!EA:EA),0)</f>
        <v>360568</v>
      </c>
      <c r="F69" s="21">
        <f t="shared" si="4"/>
        <v>2.2599999999999998</v>
      </c>
    </row>
    <row r="70" spans="1:6" ht="14.25" customHeight="1" x14ac:dyDescent="0.2">
      <c r="A70" s="19">
        <v>4</v>
      </c>
      <c r="B70" s="181" t="s">
        <v>3</v>
      </c>
      <c r="C70" s="182"/>
      <c r="D70" s="14">
        <f t="shared" si="5"/>
        <v>171608</v>
      </c>
      <c r="E70" s="17">
        <f>IF(F3="1",SUMIF(Data!A:A,'41'!$A$2,Data!EB:EB),0)</f>
        <v>357752</v>
      </c>
      <c r="F70" s="21">
        <f t="shared" si="4"/>
        <v>2.08</v>
      </c>
    </row>
    <row r="71" spans="1:6" x14ac:dyDescent="0.2">
      <c r="A71" s="19">
        <v>5</v>
      </c>
      <c r="B71" s="181" t="s">
        <v>4</v>
      </c>
      <c r="C71" s="182"/>
      <c r="D71" s="14">
        <f t="shared" si="5"/>
        <v>0</v>
      </c>
      <c r="E71" s="17">
        <f>IF(F3="1",SUMIF(Data!A:A,'41'!$A$2,Data!EC:EC),0)</f>
        <v>0</v>
      </c>
      <c r="F71" s="21" t="str">
        <f t="shared" si="4"/>
        <v/>
      </c>
    </row>
    <row r="72" spans="1:6" x14ac:dyDescent="0.2">
      <c r="A72" s="19">
        <v>6</v>
      </c>
      <c r="B72" s="181" t="s">
        <v>5</v>
      </c>
      <c r="C72" s="182"/>
      <c r="D72" s="14">
        <f t="shared" si="5"/>
        <v>448</v>
      </c>
      <c r="E72" s="17">
        <f>IF(F3="1",SUMIF(Data!A:A,'41'!$A$2,Data!ED:ED),0)</f>
        <v>2407</v>
      </c>
      <c r="F72" s="21">
        <f t="shared" si="4"/>
        <v>5.37</v>
      </c>
    </row>
    <row r="73" spans="1:6" x14ac:dyDescent="0.2">
      <c r="A73" s="19">
        <v>7</v>
      </c>
      <c r="B73" s="181" t="s">
        <v>6</v>
      </c>
      <c r="C73" s="182"/>
      <c r="D73" s="14">
        <f t="shared" si="5"/>
        <v>119156</v>
      </c>
      <c r="E73" s="17">
        <f>IF(F3="1",SUMIF(Data!A:A,'41'!$A$2,Data!EE:EE),0)</f>
        <v>343100</v>
      </c>
      <c r="F73" s="21">
        <f t="shared" si="4"/>
        <v>2.88</v>
      </c>
    </row>
    <row r="74" spans="1:6" x14ac:dyDescent="0.2">
      <c r="A74" s="19">
        <v>8</v>
      </c>
      <c r="B74" s="181" t="s">
        <v>7</v>
      </c>
      <c r="C74" s="182"/>
      <c r="D74" s="14">
        <f t="shared" si="5"/>
        <v>1620</v>
      </c>
      <c r="E74" s="17">
        <f>IF(F3="1",SUMIF(Data!A:A,'41'!$A$2,Data!EF:EF),0)</f>
        <v>0</v>
      </c>
      <c r="F74" s="21" t="str">
        <f t="shared" si="4"/>
        <v/>
      </c>
    </row>
    <row r="75" spans="1:6" x14ac:dyDescent="0.2">
      <c r="A75" s="19">
        <v>9</v>
      </c>
      <c r="B75" s="181" t="s">
        <v>8</v>
      </c>
      <c r="C75" s="182"/>
      <c r="D75" s="14">
        <f t="shared" si="5"/>
        <v>14432</v>
      </c>
      <c r="E75" s="17">
        <f>IF(F3="1",SUMIF(Data!A:A,'41'!$A$2,Data!EG:EG),0)</f>
        <v>26284</v>
      </c>
      <c r="F75" s="21">
        <f t="shared" si="4"/>
        <v>1.82</v>
      </c>
    </row>
    <row r="76" spans="1:6" x14ac:dyDescent="0.2">
      <c r="A76" s="19">
        <v>10</v>
      </c>
      <c r="B76" s="181" t="s">
        <v>9</v>
      </c>
      <c r="C76" s="182"/>
      <c r="D76" s="14">
        <f t="shared" si="5"/>
        <v>3979</v>
      </c>
      <c r="E76" s="17">
        <f>IF(F3="1",SUMIF(Data!A:A,'41'!$A$2,Data!EH:EH),0)</f>
        <v>3663</v>
      </c>
      <c r="F76" s="21">
        <f t="shared" si="4"/>
        <v>0.92</v>
      </c>
    </row>
    <row r="77" spans="1:6" x14ac:dyDescent="0.2">
      <c r="A77" s="19">
        <v>11</v>
      </c>
      <c r="B77" s="181" t="s">
        <v>10</v>
      </c>
      <c r="C77" s="182"/>
      <c r="D77" s="14">
        <f t="shared" si="5"/>
        <v>25960</v>
      </c>
      <c r="E77" s="17">
        <f>IF(F3="1",SUMIF(Data!A:A,'41'!$A$2,Data!EI:EI),0)</f>
        <v>49512</v>
      </c>
      <c r="F77" s="21">
        <f t="shared" si="4"/>
        <v>1.91</v>
      </c>
    </row>
    <row r="78" spans="1:6" ht="14.25" customHeight="1" x14ac:dyDescent="0.2">
      <c r="A78" s="19">
        <v>12</v>
      </c>
      <c r="B78" s="181" t="s">
        <v>11</v>
      </c>
      <c r="C78" s="182"/>
      <c r="D78" s="14">
        <f t="shared" si="5"/>
        <v>229096</v>
      </c>
      <c r="E78" s="17">
        <f>IF(F3="1",SUMIF(Data!A:A,'41'!$A$2,Data!EJ:EJ),0)</f>
        <v>599422</v>
      </c>
      <c r="F78" s="21">
        <f t="shared" si="4"/>
        <v>2.62</v>
      </c>
    </row>
    <row r="79" spans="1:6" x14ac:dyDescent="0.2">
      <c r="A79" s="19">
        <v>13</v>
      </c>
      <c r="B79" s="181" t="s">
        <v>12</v>
      </c>
      <c r="C79" s="182"/>
      <c r="D79" s="14">
        <f t="shared" si="5"/>
        <v>19336</v>
      </c>
      <c r="E79" s="17">
        <f>IF(F3="1",SUMIF(Data!A:A,'41'!$A$2,Data!EK:EK),0)</f>
        <v>68597</v>
      </c>
      <c r="F79" s="21">
        <f t="shared" si="4"/>
        <v>3.55</v>
      </c>
    </row>
    <row r="80" spans="1:6" ht="14.25" customHeight="1" x14ac:dyDescent="0.2">
      <c r="A80" s="19">
        <v>14</v>
      </c>
      <c r="B80" s="181" t="s">
        <v>464</v>
      </c>
      <c r="C80" s="182"/>
      <c r="D80" s="14">
        <f t="shared" si="5"/>
        <v>78736</v>
      </c>
      <c r="E80" s="17">
        <f>IF(F3="1",SUMIF(Data!A:A,'41'!$A$2,Data!EL:EL),0)</f>
        <v>397419</v>
      </c>
      <c r="F80" s="21">
        <f t="shared" si="4"/>
        <v>5.05</v>
      </c>
    </row>
    <row r="81" spans="1:6" x14ac:dyDescent="0.2">
      <c r="A81" s="19">
        <v>15</v>
      </c>
      <c r="B81" s="181" t="s">
        <v>13</v>
      </c>
      <c r="C81" s="182"/>
      <c r="D81" s="14">
        <f t="shared" si="5"/>
        <v>17456</v>
      </c>
      <c r="E81" s="17">
        <f>IF(F3="1",SUMIF(Data!A:A,'41'!$A$2,Data!EM:EM),0)</f>
        <v>190520</v>
      </c>
      <c r="F81" s="21">
        <f t="shared" si="4"/>
        <v>10.91</v>
      </c>
    </row>
    <row r="82" spans="1:6" x14ac:dyDescent="0.2">
      <c r="A82" s="19">
        <v>16</v>
      </c>
      <c r="B82" s="181" t="s">
        <v>14</v>
      </c>
      <c r="C82" s="182"/>
      <c r="D82" s="14">
        <f t="shared" si="5"/>
        <v>98510</v>
      </c>
      <c r="E82" s="17">
        <f>IF(F3="1",SUMIF(Data!A:A,'41'!$A$2,Data!EN:EN),0)</f>
        <v>432977</v>
      </c>
      <c r="F82" s="21">
        <f t="shared" si="4"/>
        <v>4.4000000000000004</v>
      </c>
    </row>
    <row r="83" spans="1:6" x14ac:dyDescent="0.2">
      <c r="A83" s="19">
        <v>17</v>
      </c>
      <c r="B83" s="181" t="s">
        <v>15</v>
      </c>
      <c r="C83" s="182"/>
      <c r="D83" s="14">
        <f t="shared" si="5"/>
        <v>15054</v>
      </c>
      <c r="E83" s="17">
        <f>IF(F3="1",SUMIF(Data!A:A,'41'!$A$2,Data!EO:EO),0)</f>
        <v>156486</v>
      </c>
      <c r="F83" s="21">
        <f t="shared" si="4"/>
        <v>10.39</v>
      </c>
    </row>
    <row r="84" spans="1:6" x14ac:dyDescent="0.2">
      <c r="A84" s="19">
        <v>18</v>
      </c>
      <c r="B84" s="181" t="s">
        <v>16</v>
      </c>
      <c r="C84" s="182"/>
      <c r="D84" s="14">
        <f t="shared" si="5"/>
        <v>84260</v>
      </c>
      <c r="E84" s="17">
        <f>IF(F3="1",SUMIF(Data!A:A,'41'!$A$2,Data!EP:EP),0)</f>
        <v>289458</v>
      </c>
      <c r="F84" s="21">
        <f t="shared" si="4"/>
        <v>3.44</v>
      </c>
    </row>
    <row r="85" spans="1:6" x14ac:dyDescent="0.2">
      <c r="A85" s="19">
        <v>19</v>
      </c>
      <c r="B85" s="181" t="s">
        <v>17</v>
      </c>
      <c r="C85" s="182"/>
      <c r="D85" s="14">
        <f t="shared" si="5"/>
        <v>120800</v>
      </c>
      <c r="E85" s="17">
        <f>IF(F3="1",SUMIF(Data!A:A,'41'!$A$2,Data!EQ:EQ),0)</f>
        <v>433786</v>
      </c>
      <c r="F85" s="21">
        <f t="shared" si="4"/>
        <v>3.59</v>
      </c>
    </row>
    <row r="86" spans="1:6" x14ac:dyDescent="0.2">
      <c r="A86" s="19">
        <v>20</v>
      </c>
      <c r="B86" s="181" t="s">
        <v>18</v>
      </c>
      <c r="C86" s="182"/>
      <c r="D86" s="14">
        <f t="shared" si="5"/>
        <v>13088</v>
      </c>
      <c r="E86" s="17">
        <f>IF(F3="1",SUMIF(Data!A:A,'41'!$A$2,Data!ER:ER),0)</f>
        <v>61209</v>
      </c>
      <c r="F86" s="21">
        <f t="shared" si="4"/>
        <v>4.68</v>
      </c>
    </row>
    <row r="87" spans="1:6" ht="14.25" customHeight="1" x14ac:dyDescent="0.2">
      <c r="A87" s="19">
        <v>21</v>
      </c>
      <c r="B87" s="181" t="s">
        <v>461</v>
      </c>
      <c r="C87" s="182"/>
      <c r="D87" s="14">
        <f t="shared" si="5"/>
        <v>0</v>
      </c>
      <c r="E87" s="17">
        <f>IF(F3="1",SUMIF(Data!A:A,'41'!$A$2,Data!ES:ES),0)</f>
        <v>0</v>
      </c>
      <c r="F87" s="21" t="str">
        <f t="shared" si="4"/>
        <v/>
      </c>
    </row>
    <row r="88" spans="1:6" x14ac:dyDescent="0.2">
      <c r="A88" s="19">
        <v>22</v>
      </c>
      <c r="B88" s="181" t="s">
        <v>19</v>
      </c>
      <c r="C88" s="182"/>
      <c r="D88" s="14">
        <f t="shared" si="5"/>
        <v>48</v>
      </c>
      <c r="E88" s="17">
        <f>IF(F3="1",SUMIF(Data!A:A,'41'!$A$2,Data!ET:ET),0)</f>
        <v>458</v>
      </c>
      <c r="F88" s="21">
        <f t="shared" si="4"/>
        <v>9.5399999999999991</v>
      </c>
    </row>
    <row r="89" spans="1:6" x14ac:dyDescent="0.2">
      <c r="A89" s="19">
        <v>23</v>
      </c>
      <c r="B89" s="181" t="s">
        <v>20</v>
      </c>
      <c r="C89" s="182"/>
      <c r="D89" s="14">
        <f t="shared" si="5"/>
        <v>65664</v>
      </c>
      <c r="E89" s="17">
        <f>IF(F3="1",SUMIF(Data!A:A,'41'!$A$2,Data!EU:EU),0)</f>
        <v>214715</v>
      </c>
      <c r="F89" s="21">
        <f t="shared" si="4"/>
        <v>3.27</v>
      </c>
    </row>
    <row r="90" spans="1:6" x14ac:dyDescent="0.2">
      <c r="A90" s="19">
        <v>24</v>
      </c>
      <c r="B90" s="181" t="s">
        <v>21</v>
      </c>
      <c r="C90" s="182"/>
      <c r="D90" s="14">
        <f t="shared" si="5"/>
        <v>50916</v>
      </c>
      <c r="E90" s="17">
        <f>IF(F3="1",SUMIF(Data!A:A,'41'!$A$2,Data!EV:EV),0)</f>
        <v>84443</v>
      </c>
      <c r="F90" s="21">
        <f t="shared" si="4"/>
        <v>1.66</v>
      </c>
    </row>
    <row r="91" spans="1:6" x14ac:dyDescent="0.2">
      <c r="A91" s="19">
        <v>25</v>
      </c>
      <c r="B91" s="181" t="s">
        <v>22</v>
      </c>
      <c r="C91" s="182"/>
      <c r="D91" s="14">
        <f t="shared" si="5"/>
        <v>223976</v>
      </c>
      <c r="E91" s="17">
        <f>IF(F3="1",SUMIF(Data!A:A,'41'!$A$2,Data!EW:EW),0)</f>
        <v>508880</v>
      </c>
      <c r="F91" s="21">
        <f t="shared" si="4"/>
        <v>2.27</v>
      </c>
    </row>
    <row r="92" spans="1:6" x14ac:dyDescent="0.2">
      <c r="A92" s="19">
        <v>26</v>
      </c>
      <c r="B92" s="181" t="s">
        <v>23</v>
      </c>
      <c r="C92" s="182"/>
      <c r="D92" s="14">
        <f t="shared" si="5"/>
        <v>90320</v>
      </c>
      <c r="E92" s="17">
        <f>IF(F3="1",SUMIF(Data!A:A,'41'!$A$2,Data!EX:EX),0)</f>
        <v>480653</v>
      </c>
      <c r="F92" s="21">
        <f t="shared" si="4"/>
        <v>5.32</v>
      </c>
    </row>
    <row r="93" spans="1:6" x14ac:dyDescent="0.2">
      <c r="A93" s="19">
        <v>28</v>
      </c>
      <c r="B93" s="181" t="s">
        <v>24</v>
      </c>
      <c r="C93" s="182"/>
      <c r="D93" s="14">
        <f t="shared" si="5"/>
        <v>0</v>
      </c>
      <c r="E93" s="17">
        <f>IF(F3="1",SUMIF(Data!A:A,'41'!$A$2,Data!EZ:EZ),0)</f>
        <v>0</v>
      </c>
      <c r="F93" s="21" t="str">
        <f t="shared" si="4"/>
        <v/>
      </c>
    </row>
    <row r="94" spans="1:6" ht="15.75" customHeight="1" thickBot="1" x14ac:dyDescent="0.25">
      <c r="A94" s="22">
        <v>29</v>
      </c>
      <c r="B94" s="183" t="s">
        <v>25</v>
      </c>
      <c r="C94" s="184"/>
      <c r="D94" s="23">
        <f t="shared" si="5"/>
        <v>0</v>
      </c>
      <c r="E94" s="24">
        <f>IF(F3="1",SUMIF(Data!A:A,'41'!$A$2,Data!FA:FA),0)</f>
        <v>0</v>
      </c>
      <c r="F94" s="25" t="str">
        <f t="shared" si="4"/>
        <v/>
      </c>
    </row>
    <row r="95" spans="1:6" x14ac:dyDescent="0.2">
      <c r="B95" s="30" t="s">
        <v>35</v>
      </c>
      <c r="C95" s="30"/>
      <c r="D95" s="59">
        <f>SUM(D67:D94)</f>
        <v>1656436</v>
      </c>
      <c r="E95" s="31">
        <f>SUM(E67:E94)</f>
        <v>5233786</v>
      </c>
      <c r="F95" s="32">
        <f t="shared" si="4"/>
        <v>3.16</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IF(F3="1",SUMIF(Data!A:A,'41'!$A$2,Data!AH:AH),0)</f>
        <v>3087817</v>
      </c>
      <c r="F98" s="20">
        <f>IF(OR(E98=0,E98=0),"",ROUND(E98/$D$105,2))</f>
        <v>1.86</v>
      </c>
    </row>
    <row r="99" spans="2:6" x14ac:dyDescent="0.2">
      <c r="B99" s="187" t="s">
        <v>31</v>
      </c>
      <c r="C99" s="188"/>
      <c r="D99" s="36"/>
      <c r="E99" s="17">
        <f>IF(F3="1",SUMIF(Data!A:A,'41'!$A$2,Data!AI:AI),0)</f>
        <v>639017</v>
      </c>
      <c r="F99" s="21">
        <f t="shared" ref="F99:F104" si="6">IF(OR(E99=0,E99=0),"",ROUND(E99/$D$105,2))</f>
        <v>0.39</v>
      </c>
    </row>
    <row r="100" spans="2:6" x14ac:dyDescent="0.2">
      <c r="B100" s="187" t="s">
        <v>1078</v>
      </c>
      <c r="C100" s="188"/>
      <c r="D100" s="36"/>
      <c r="E100" s="17">
        <f>IF(F3="1",SUMIF(Data!A:A,'41'!$A$2,Data!AJ:AJ),0)</f>
        <v>525350</v>
      </c>
      <c r="F100" s="21">
        <f t="shared" si="6"/>
        <v>0.32</v>
      </c>
    </row>
    <row r="101" spans="2:6" x14ac:dyDescent="0.2">
      <c r="B101" s="187" t="s">
        <v>1079</v>
      </c>
      <c r="C101" s="188"/>
      <c r="D101" s="36"/>
      <c r="E101" s="17">
        <f>IF(F3="1",SUMIF(Data!A:A,'41'!$A$2,Data!AK:AK),0)</f>
        <v>221323</v>
      </c>
      <c r="F101" s="21">
        <f t="shared" si="6"/>
        <v>0.13</v>
      </c>
    </row>
    <row r="102" spans="2:6" x14ac:dyDescent="0.2">
      <c r="B102" s="187" t="s">
        <v>1080</v>
      </c>
      <c r="C102" s="188"/>
      <c r="D102" s="36"/>
      <c r="E102" s="17">
        <f>IF(F3="1",SUMIF(Data!A:A,'41'!$A$2,Data!AL:AL),0)</f>
        <v>0</v>
      </c>
      <c r="F102" s="21" t="str">
        <f t="shared" si="6"/>
        <v/>
      </c>
    </row>
    <row r="103" spans="2:6" x14ac:dyDescent="0.2">
      <c r="B103" s="189" t="s">
        <v>34</v>
      </c>
      <c r="C103" s="190"/>
      <c r="D103" s="36"/>
      <c r="E103" s="17">
        <f>IF(F3="1",SUMIF(Data!A:A,'41'!$A$2,Data!AM:AM),0)</f>
        <v>0</v>
      </c>
      <c r="F103" s="21" t="str">
        <f t="shared" si="6"/>
        <v/>
      </c>
    </row>
    <row r="104" spans="2:6" ht="15.75" customHeight="1" thickBot="1" x14ac:dyDescent="0.25">
      <c r="B104" s="179" t="s">
        <v>29</v>
      </c>
      <c r="C104" s="180"/>
      <c r="D104" s="37"/>
      <c r="E104" s="24">
        <f>IF(F3="1",SUMIF(Data!A:A,'41'!$A$2,Data!Q:Q),0)</f>
        <v>1004508</v>
      </c>
      <c r="F104" s="25">
        <f t="shared" si="6"/>
        <v>0.61</v>
      </c>
    </row>
    <row r="105" spans="2:6" x14ac:dyDescent="0.2">
      <c r="B105" s="30" t="s">
        <v>35</v>
      </c>
      <c r="C105" s="30"/>
      <c r="D105" s="34">
        <f>D95</f>
        <v>1656436</v>
      </c>
      <c r="E105" s="31">
        <f>SUM(E98:E104)</f>
        <v>5478015</v>
      </c>
      <c r="F105" s="32">
        <f>IF($D$105=0,"",ROUND(E105/$D$105,2))</f>
        <v>3.31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5233786</v>
      </c>
      <c r="D109" s="15">
        <f>IF(F3="1",SUMIF(Data!$A:$A,$A$2,Data!HJ:HJ),0)</f>
        <v>0</v>
      </c>
      <c r="E109" s="15">
        <f>IF(F3="1",SUMIF(Data!$A:$A,$A$2,Data!IN:IN),0)</f>
        <v>0</v>
      </c>
      <c r="F109" s="47">
        <f>SUM(C109:E109)</f>
        <v>5233786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1004508</v>
      </c>
      <c r="E117" s="52"/>
      <c r="F117" s="49">
        <f>SUM(C117:E117)</f>
        <v>1004508</v>
      </c>
    </row>
    <row r="118" spans="1:6" x14ac:dyDescent="0.2">
      <c r="B118" s="13" t="s">
        <v>35</v>
      </c>
      <c r="C118" s="4">
        <f>SUM(C109:C116)</f>
        <v>5233786</v>
      </c>
      <c r="D118" s="4">
        <f>SUM(D109:D116)</f>
        <v>0</v>
      </c>
      <c r="E118" s="4">
        <f>SUM(E109:E116)</f>
        <v>0</v>
      </c>
      <c r="F118" s="4">
        <f>SUM(F109:F116)</f>
        <v>5233786</v>
      </c>
    </row>
    <row r="119" spans="1:6" ht="15" thickBot="1" x14ac:dyDescent="0.25"/>
    <row r="120" spans="1:6" ht="15" thickBot="1" x14ac:dyDescent="0.25">
      <c r="B120" s="55" t="s">
        <v>934</v>
      </c>
      <c r="C120" s="53"/>
      <c r="D120" s="53"/>
      <c r="E120" s="53">
        <f>IF(F3="1",SUMIF(Data!A:A,'41'!$A$2,Data!AM:AM),0)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405</v>
      </c>
      <c r="B2" s="58" t="str">
        <f>VLOOKUP(A2,Data!A:G,7,0)</f>
        <v>Texarkana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27077</v>
      </c>
      <c r="E5" s="15">
        <f>E36+E67+IFERROR($E$105/$D$105*D5,0)</f>
        <v>219634.36744632956</v>
      </c>
      <c r="F5" s="20">
        <f>IF(OR(D5=0,E5=0),"",ROUND(E5/D5,2))</f>
        <v>8.11</v>
      </c>
    </row>
    <row r="6" spans="1:6" x14ac:dyDescent="0.2">
      <c r="A6" s="19">
        <v>2</v>
      </c>
      <c r="B6" s="181" t="s">
        <v>1</v>
      </c>
      <c r="C6" s="182"/>
      <c r="D6" s="14">
        <f t="shared" ref="D6:D32" si="0">D37</f>
        <v>171223</v>
      </c>
      <c r="E6" s="17">
        <f t="shared" ref="E6:E32" si="1">E37+E68+IFERROR($E$105/$D$105*D6,0)</f>
        <v>695976.54848258256</v>
      </c>
      <c r="F6" s="21">
        <f t="shared" ref="F6:F33" si="2">IF(OR(D6=0,E6=0),"",ROUND(E6/D6,2))</f>
        <v>4.0599999999999996</v>
      </c>
    </row>
    <row r="7" spans="1:6" ht="14.25" customHeight="1" x14ac:dyDescent="0.2">
      <c r="A7" s="19">
        <v>3</v>
      </c>
      <c r="B7" s="181" t="s">
        <v>2</v>
      </c>
      <c r="C7" s="182"/>
      <c r="D7" s="14">
        <f t="shared" si="0"/>
        <v>197536</v>
      </c>
      <c r="E7" s="17">
        <f t="shared" si="1"/>
        <v>917265.74372634175</v>
      </c>
      <c r="F7" s="21">
        <f t="shared" si="2"/>
        <v>4.6399999999999997</v>
      </c>
    </row>
    <row r="8" spans="1:6" ht="14.25" customHeight="1" x14ac:dyDescent="0.2">
      <c r="A8" s="19">
        <v>4</v>
      </c>
      <c r="B8" s="181" t="s">
        <v>3</v>
      </c>
      <c r="C8" s="182"/>
      <c r="D8" s="14">
        <f t="shared" si="0"/>
        <v>275308</v>
      </c>
      <c r="E8" s="17">
        <f t="shared" si="1"/>
        <v>1177272.4564728034</v>
      </c>
      <c r="F8" s="21">
        <f t="shared" si="2"/>
        <v>4.28</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12048</v>
      </c>
      <c r="E10" s="17">
        <f t="shared" si="1"/>
        <v>53220.794105454028</v>
      </c>
      <c r="F10" s="21">
        <f t="shared" si="2"/>
        <v>4.42</v>
      </c>
    </row>
    <row r="11" spans="1:6" x14ac:dyDescent="0.2">
      <c r="A11" s="19">
        <v>7</v>
      </c>
      <c r="B11" s="181" t="s">
        <v>6</v>
      </c>
      <c r="C11" s="182"/>
      <c r="D11" s="14">
        <f t="shared" si="0"/>
        <v>46739</v>
      </c>
      <c r="E11" s="17">
        <f t="shared" si="1"/>
        <v>252645.74159153516</v>
      </c>
      <c r="F11" s="21">
        <f t="shared" si="2"/>
        <v>5.41</v>
      </c>
    </row>
    <row r="12" spans="1:6" x14ac:dyDescent="0.2">
      <c r="A12" s="19">
        <v>8</v>
      </c>
      <c r="B12" s="181" t="s">
        <v>7</v>
      </c>
      <c r="C12" s="182"/>
      <c r="D12" s="14">
        <f t="shared" si="0"/>
        <v>112104</v>
      </c>
      <c r="E12" s="17">
        <f t="shared" si="1"/>
        <v>400135.19973421464</v>
      </c>
      <c r="F12" s="21">
        <f t="shared" si="2"/>
        <v>3.57</v>
      </c>
    </row>
    <row r="13" spans="1:6" x14ac:dyDescent="0.2">
      <c r="A13" s="19">
        <v>9</v>
      </c>
      <c r="B13" s="181" t="s">
        <v>8</v>
      </c>
      <c r="C13" s="182"/>
      <c r="D13" s="14">
        <f t="shared" si="0"/>
        <v>124709</v>
      </c>
      <c r="E13" s="17">
        <f t="shared" si="1"/>
        <v>357452.53561562632</v>
      </c>
      <c r="F13" s="21">
        <f t="shared" si="2"/>
        <v>2.87</v>
      </c>
    </row>
    <row r="14" spans="1:6" x14ac:dyDescent="0.2">
      <c r="A14" s="19">
        <v>10</v>
      </c>
      <c r="B14" s="181" t="s">
        <v>9</v>
      </c>
      <c r="C14" s="182"/>
      <c r="D14" s="14">
        <f t="shared" si="0"/>
        <v>96</v>
      </c>
      <c r="E14" s="17">
        <f t="shared" si="1"/>
        <v>2044.5242558203508</v>
      </c>
      <c r="F14" s="21">
        <f t="shared" si="2"/>
        <v>21.3</v>
      </c>
    </row>
    <row r="15" spans="1:6" x14ac:dyDescent="0.2">
      <c r="A15" s="19">
        <v>11</v>
      </c>
      <c r="B15" s="181" t="s">
        <v>10</v>
      </c>
      <c r="C15" s="182"/>
      <c r="D15" s="14">
        <f t="shared" si="0"/>
        <v>142736</v>
      </c>
      <c r="E15" s="17">
        <f t="shared" si="1"/>
        <v>522519.48102889152</v>
      </c>
      <c r="F15" s="21">
        <f t="shared" si="2"/>
        <v>3.66</v>
      </c>
    </row>
    <row r="16" spans="1:6" ht="14.25" customHeight="1" x14ac:dyDescent="0.2">
      <c r="A16" s="19">
        <v>12</v>
      </c>
      <c r="B16" s="181" t="s">
        <v>11</v>
      </c>
      <c r="C16" s="182"/>
      <c r="D16" s="14">
        <f t="shared" si="0"/>
        <v>220160</v>
      </c>
      <c r="E16" s="17">
        <f t="shared" si="1"/>
        <v>843573.29334800446</v>
      </c>
      <c r="F16" s="21">
        <f t="shared" si="2"/>
        <v>3.83</v>
      </c>
    </row>
    <row r="17" spans="1:6" x14ac:dyDescent="0.2">
      <c r="A17" s="19">
        <v>13</v>
      </c>
      <c r="B17" s="181" t="s">
        <v>12</v>
      </c>
      <c r="C17" s="182"/>
      <c r="D17" s="14">
        <f t="shared" si="0"/>
        <v>26544</v>
      </c>
      <c r="E17" s="17">
        <f t="shared" si="1"/>
        <v>109785.95673432699</v>
      </c>
      <c r="F17" s="21">
        <f t="shared" si="2"/>
        <v>4.1399999999999997</v>
      </c>
    </row>
    <row r="18" spans="1:6" ht="14.25" customHeight="1" x14ac:dyDescent="0.2">
      <c r="A18" s="19">
        <v>14</v>
      </c>
      <c r="B18" s="181" t="s">
        <v>464</v>
      </c>
      <c r="C18" s="182"/>
      <c r="D18" s="14">
        <f t="shared" si="0"/>
        <v>115795</v>
      </c>
      <c r="E18" s="17">
        <f t="shared" si="1"/>
        <v>890799.8562783075</v>
      </c>
      <c r="F18" s="21">
        <f t="shared" si="2"/>
        <v>7.69</v>
      </c>
    </row>
    <row r="19" spans="1:6" x14ac:dyDescent="0.2">
      <c r="A19" s="19">
        <v>15</v>
      </c>
      <c r="B19" s="181" t="s">
        <v>13</v>
      </c>
      <c r="C19" s="182"/>
      <c r="D19" s="14">
        <f t="shared" si="0"/>
        <v>3373</v>
      </c>
      <c r="E19" s="17">
        <f t="shared" si="1"/>
        <v>14077.919946687951</v>
      </c>
      <c r="F19" s="21">
        <f t="shared" si="2"/>
        <v>4.17</v>
      </c>
    </row>
    <row r="20" spans="1:6" x14ac:dyDescent="0.2">
      <c r="A20" s="19">
        <v>16</v>
      </c>
      <c r="B20" s="181" t="s">
        <v>14</v>
      </c>
      <c r="C20" s="182"/>
      <c r="D20" s="14">
        <f t="shared" si="0"/>
        <v>50642</v>
      </c>
      <c r="E20" s="17">
        <f t="shared" si="1"/>
        <v>221784.55586723128</v>
      </c>
      <c r="F20" s="21">
        <f t="shared" si="2"/>
        <v>4.38</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138216</v>
      </c>
      <c r="E22" s="17">
        <f t="shared" si="1"/>
        <v>580875.79731735005</v>
      </c>
      <c r="F22" s="21">
        <f t="shared" si="2"/>
        <v>4.2</v>
      </c>
    </row>
    <row r="23" spans="1:6" x14ac:dyDescent="0.2">
      <c r="A23" s="19">
        <v>19</v>
      </c>
      <c r="B23" s="181" t="s">
        <v>17</v>
      </c>
      <c r="C23" s="182"/>
      <c r="D23" s="14">
        <f t="shared" si="0"/>
        <v>162300</v>
      </c>
      <c r="E23" s="17">
        <f t="shared" si="1"/>
        <v>610741.3199962806</v>
      </c>
      <c r="F23" s="21">
        <f t="shared" si="2"/>
        <v>3.76</v>
      </c>
    </row>
    <row r="24" spans="1:6" x14ac:dyDescent="0.2">
      <c r="A24" s="19">
        <v>20</v>
      </c>
      <c r="B24" s="181" t="s">
        <v>18</v>
      </c>
      <c r="C24" s="182"/>
      <c r="D24" s="14">
        <f t="shared" si="0"/>
        <v>80703</v>
      </c>
      <c r="E24" s="17">
        <f t="shared" si="1"/>
        <v>375260.21893197676</v>
      </c>
      <c r="F24" s="21">
        <f t="shared" si="2"/>
        <v>4.6500000000000004</v>
      </c>
    </row>
    <row r="25" spans="1:6" ht="14.25" customHeight="1" x14ac:dyDescent="0.2">
      <c r="A25" s="19">
        <v>21</v>
      </c>
      <c r="B25" s="181" t="s">
        <v>461</v>
      </c>
      <c r="C25" s="182"/>
      <c r="D25" s="14">
        <f t="shared" si="0"/>
        <v>24080</v>
      </c>
      <c r="E25" s="17">
        <f t="shared" si="1"/>
        <v>106955.50083493799</v>
      </c>
      <c r="F25" s="21">
        <f t="shared" si="2"/>
        <v>4.4400000000000004</v>
      </c>
    </row>
    <row r="26" spans="1:6" x14ac:dyDescent="0.2">
      <c r="A26" s="19">
        <v>22</v>
      </c>
      <c r="B26" s="181" t="s">
        <v>19</v>
      </c>
      <c r="C26" s="182"/>
      <c r="D26" s="14">
        <f t="shared" si="0"/>
        <v>11032</v>
      </c>
      <c r="E26" s="17">
        <f t="shared" si="1"/>
        <v>100541.2457313553</v>
      </c>
      <c r="F26" s="21">
        <f t="shared" si="2"/>
        <v>9.11</v>
      </c>
    </row>
    <row r="27" spans="1:6" x14ac:dyDescent="0.2">
      <c r="A27" s="19">
        <v>23</v>
      </c>
      <c r="B27" s="181" t="s">
        <v>20</v>
      </c>
      <c r="C27" s="182"/>
      <c r="D27" s="14">
        <f t="shared" si="0"/>
        <v>20848</v>
      </c>
      <c r="E27" s="17">
        <f t="shared" si="1"/>
        <v>51635.850888986177</v>
      </c>
      <c r="F27" s="21">
        <f t="shared" si="2"/>
        <v>2.48</v>
      </c>
    </row>
    <row r="28" spans="1:6" x14ac:dyDescent="0.2">
      <c r="A28" s="19">
        <v>24</v>
      </c>
      <c r="B28" s="181" t="s">
        <v>21</v>
      </c>
      <c r="C28" s="182"/>
      <c r="D28" s="14">
        <f t="shared" si="0"/>
        <v>43550</v>
      </c>
      <c r="E28" s="17">
        <f t="shared" si="1"/>
        <v>190971.82646850287</v>
      </c>
      <c r="F28" s="21">
        <f t="shared" si="2"/>
        <v>4.3899999999999997</v>
      </c>
    </row>
    <row r="29" spans="1:6" x14ac:dyDescent="0.2">
      <c r="A29" s="19">
        <v>25</v>
      </c>
      <c r="B29" s="181" t="s">
        <v>22</v>
      </c>
      <c r="C29" s="182"/>
      <c r="D29" s="14">
        <f t="shared" si="0"/>
        <v>251420</v>
      </c>
      <c r="E29" s="17">
        <f t="shared" si="1"/>
        <v>1009351.0041495061</v>
      </c>
      <c r="F29" s="21">
        <f t="shared" si="2"/>
        <v>4.01</v>
      </c>
    </row>
    <row r="30" spans="1:6" x14ac:dyDescent="0.2">
      <c r="A30" s="19">
        <v>26</v>
      </c>
      <c r="B30" s="181" t="s">
        <v>23</v>
      </c>
      <c r="C30" s="182"/>
      <c r="D30" s="14">
        <f t="shared" si="0"/>
        <v>64688</v>
      </c>
      <c r="E30" s="17">
        <f t="shared" si="1"/>
        <v>236542.26104694637</v>
      </c>
      <c r="F30" s="21">
        <f t="shared" si="2"/>
        <v>3.66</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2322927</v>
      </c>
      <c r="E33" s="31">
        <f>SUM(E5:E32)</f>
        <v>9941064</v>
      </c>
      <c r="F33" s="32">
        <f t="shared" si="2"/>
        <v>4.28</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IF(F3="1",SUMIF(Data!A:A,'42'!$A$2,Data!CU:CU),0)</f>
        <v>27077</v>
      </c>
      <c r="E36" s="15">
        <f>IF(F3="1",SUMIF(Data!$A:$A,$A$2,Data!IO:IO),0)</f>
        <v>35621</v>
      </c>
      <c r="F36" s="20">
        <f t="shared" ref="F36:F64" si="3">IF(OR(D36=0,E36=0),"",ROUND(E36/D36,2))</f>
        <v>1.32</v>
      </c>
    </row>
    <row r="37" spans="1:6" x14ac:dyDescent="0.2">
      <c r="A37" s="19">
        <v>2</v>
      </c>
      <c r="B37" s="181" t="s">
        <v>1</v>
      </c>
      <c r="C37" s="182"/>
      <c r="D37" s="14">
        <f>IF(F3="1",SUMIF(Data!A:A,'42'!$A$2,Data!CV:CV),0)</f>
        <v>171223</v>
      </c>
      <c r="E37" s="17">
        <f>IF(F3="1",SUMIF(Data!$A:$A,$A$2,Data!IP:IP),0)</f>
        <v>94687</v>
      </c>
      <c r="F37" s="21">
        <f t="shared" si="3"/>
        <v>0.55000000000000004</v>
      </c>
    </row>
    <row r="38" spans="1:6" ht="14.25" customHeight="1" x14ac:dyDescent="0.2">
      <c r="A38" s="19">
        <v>3</v>
      </c>
      <c r="B38" s="181" t="s">
        <v>2</v>
      </c>
      <c r="C38" s="182"/>
      <c r="D38" s="14">
        <f>IF(F3="1",SUMIF(Data!A:A,'42'!$A$2,Data!CW:CW),0)</f>
        <v>197536</v>
      </c>
      <c r="E38" s="17">
        <f>IF($F$3="1",SUMIF(Data!$A:$A,$A$2,Data!IQ:IQ),0)</f>
        <v>65862</v>
      </c>
      <c r="F38" s="21">
        <f t="shared" si="3"/>
        <v>0.33</v>
      </c>
    </row>
    <row r="39" spans="1:6" ht="14.25" customHeight="1" x14ac:dyDescent="0.2">
      <c r="A39" s="19">
        <v>4</v>
      </c>
      <c r="B39" s="181" t="s">
        <v>3</v>
      </c>
      <c r="C39" s="182"/>
      <c r="D39" s="14">
        <f>IF(F3="1",SUMIF(Data!A:A,'42'!$A$2,Data!CX:CX),0)</f>
        <v>275308</v>
      </c>
      <c r="E39" s="17">
        <f>IF($F$3="1",SUMIF(Data!$A:$A,$A$2,Data!IR:IR),0)</f>
        <v>38317</v>
      </c>
      <c r="F39" s="21">
        <f t="shared" si="3"/>
        <v>0.14000000000000001</v>
      </c>
    </row>
    <row r="40" spans="1:6" x14ac:dyDescent="0.2">
      <c r="A40" s="19">
        <v>5</v>
      </c>
      <c r="B40" s="181" t="s">
        <v>4</v>
      </c>
      <c r="C40" s="182"/>
      <c r="D40" s="14">
        <f>IF(F3="1",SUMIF(Data!A:A,'42'!$A$2,Data!CY:CY),0)</f>
        <v>0</v>
      </c>
      <c r="E40" s="17">
        <f>IF($F$3="1",SUMIF(Data!$A:$A,$A$2,Data!IS:IS),0)</f>
        <v>0</v>
      </c>
      <c r="F40" s="21" t="str">
        <f t="shared" si="3"/>
        <v/>
      </c>
    </row>
    <row r="41" spans="1:6" x14ac:dyDescent="0.2">
      <c r="A41" s="19">
        <v>6</v>
      </c>
      <c r="B41" s="181" t="s">
        <v>5</v>
      </c>
      <c r="C41" s="182"/>
      <c r="D41" s="14">
        <f>IF(F3="1",SUMIF(Data!A:A,'42'!$A$2,Data!CZ:CZ),0)</f>
        <v>12048</v>
      </c>
      <c r="E41" s="17">
        <f>IF($F$3="1",SUMIF(Data!$A:$A,$A$2,Data!IT:IT),0)</f>
        <v>14852</v>
      </c>
      <c r="F41" s="21">
        <f t="shared" si="3"/>
        <v>1.23</v>
      </c>
    </row>
    <row r="42" spans="1:6" x14ac:dyDescent="0.2">
      <c r="A42" s="19">
        <v>7</v>
      </c>
      <c r="B42" s="181" t="s">
        <v>6</v>
      </c>
      <c r="C42" s="182"/>
      <c r="D42" s="14">
        <f>IF(F3="1",SUMIF(Data!A:A,'42'!$A$2,Data!DA:DA),0)</f>
        <v>46739</v>
      </c>
      <c r="E42" s="17">
        <f>IF($F$3="1",SUMIF(Data!$A:$A,$A$2,Data!IU:IU),0)</f>
        <v>22171</v>
      </c>
      <c r="F42" s="21">
        <f t="shared" si="3"/>
        <v>0.47</v>
      </c>
    </row>
    <row r="43" spans="1:6" x14ac:dyDescent="0.2">
      <c r="A43" s="19">
        <v>8</v>
      </c>
      <c r="B43" s="181" t="s">
        <v>7</v>
      </c>
      <c r="C43" s="182"/>
      <c r="D43" s="14">
        <f>IF(F3="1",SUMIF(Data!A:A,'42'!$A$2,Data!DB:DB),0)</f>
        <v>112104</v>
      </c>
      <c r="E43" s="17">
        <f>IF($F$3="1",SUMIF(Data!$A:$A,$A$2,Data!IV:IV),0)</f>
        <v>13813</v>
      </c>
      <c r="F43" s="21">
        <f t="shared" si="3"/>
        <v>0.12</v>
      </c>
    </row>
    <row r="44" spans="1:6" x14ac:dyDescent="0.2">
      <c r="A44" s="19">
        <v>9</v>
      </c>
      <c r="B44" s="181" t="s">
        <v>8</v>
      </c>
      <c r="C44" s="182"/>
      <c r="D44" s="14">
        <f>IF(F3="1",SUMIF(Data!A:A,'42'!$A$2,Data!DC:DC),0)</f>
        <v>124709</v>
      </c>
      <c r="E44" s="17">
        <f>IF($F$3="1",SUMIF(Data!$A:$A,$A$2,Data!IW:IW),0)</f>
        <v>13205</v>
      </c>
      <c r="F44" s="21">
        <f t="shared" si="3"/>
        <v>0.11</v>
      </c>
    </row>
    <row r="45" spans="1:6" x14ac:dyDescent="0.2">
      <c r="A45" s="19">
        <v>10</v>
      </c>
      <c r="B45" s="181" t="s">
        <v>9</v>
      </c>
      <c r="C45" s="182"/>
      <c r="D45" s="14">
        <f>IF(F3="1",SUMIF(Data!A:A,'42'!$A$2,Data!DD:DD),0)</f>
        <v>96</v>
      </c>
      <c r="E45" s="17">
        <f>IF($F$3="1",SUMIF(Data!$A:$A,$A$2,Data!IX:IX),0)</f>
        <v>0</v>
      </c>
      <c r="F45" s="21" t="str">
        <f t="shared" si="3"/>
        <v/>
      </c>
    </row>
    <row r="46" spans="1:6" x14ac:dyDescent="0.2">
      <c r="A46" s="19">
        <v>11</v>
      </c>
      <c r="B46" s="181" t="s">
        <v>10</v>
      </c>
      <c r="C46" s="182"/>
      <c r="D46" s="14">
        <f>IF(F3="1",SUMIF(Data!A:A,'42'!$A$2,Data!DE:DE),0)</f>
        <v>142736</v>
      </c>
      <c r="E46" s="17">
        <f>IF($F$3="1",SUMIF(Data!$A:$A,$A$2,Data!IY:IY),0)</f>
        <v>60239</v>
      </c>
      <c r="F46" s="21">
        <f t="shared" si="3"/>
        <v>0.42</v>
      </c>
    </row>
    <row r="47" spans="1:6" ht="14.25" customHeight="1" x14ac:dyDescent="0.2">
      <c r="A47" s="19">
        <v>12</v>
      </c>
      <c r="B47" s="181" t="s">
        <v>11</v>
      </c>
      <c r="C47" s="182"/>
      <c r="D47" s="14">
        <f>IF(F3="1",SUMIF(Data!A:A,'42'!$A$2,Data!DF:DF),0)</f>
        <v>220160</v>
      </c>
      <c r="E47" s="17">
        <f>IF($F$3="1",SUMIF(Data!$A:$A,$A$2,Data!IZ:IZ),0)</f>
        <v>21543</v>
      </c>
      <c r="F47" s="21">
        <f t="shared" si="3"/>
        <v>0.1</v>
      </c>
    </row>
    <row r="48" spans="1:6" x14ac:dyDescent="0.2">
      <c r="A48" s="19">
        <v>13</v>
      </c>
      <c r="B48" s="181" t="s">
        <v>12</v>
      </c>
      <c r="C48" s="182"/>
      <c r="D48" s="14">
        <f>IF(F3="1",SUMIF(Data!A:A,'42'!$A$2,Data!DG:DG),0)</f>
        <v>26544</v>
      </c>
      <c r="E48" s="17">
        <f>IF($F$3="1",SUMIF(Data!$A:$A,$A$2,Data!JA:JA),0)</f>
        <v>966</v>
      </c>
      <c r="F48" s="21">
        <f t="shared" si="3"/>
        <v>0.04</v>
      </c>
    </row>
    <row r="49" spans="1:6" ht="14.25" customHeight="1" x14ac:dyDescent="0.2">
      <c r="A49" s="19">
        <v>14</v>
      </c>
      <c r="B49" s="181" t="s">
        <v>464</v>
      </c>
      <c r="C49" s="182"/>
      <c r="D49" s="14">
        <f>IF(F3="1",SUMIF(Data!A:A,'42'!$A$2,Data!DH:DH),0)</f>
        <v>115795</v>
      </c>
      <c r="E49" s="17">
        <f>IF($F$3="1",SUMIF(Data!$A:$A,$A$2,Data!JB:JB),0)</f>
        <v>19019</v>
      </c>
      <c r="F49" s="21">
        <f t="shared" si="3"/>
        <v>0.16</v>
      </c>
    </row>
    <row r="50" spans="1:6" x14ac:dyDescent="0.2">
      <c r="A50" s="19">
        <v>15</v>
      </c>
      <c r="B50" s="181" t="s">
        <v>13</v>
      </c>
      <c r="C50" s="182"/>
      <c r="D50" s="14">
        <f>IF(F3="1",SUMIF(Data!A:A,'42'!$A$2,Data!DI:DI),0)</f>
        <v>3373</v>
      </c>
      <c r="E50" s="17">
        <f>IF($F$3="1",SUMIF(Data!$A:$A,$A$2,Data!JC:JC),0)</f>
        <v>0</v>
      </c>
      <c r="F50" s="21" t="str">
        <f t="shared" si="3"/>
        <v/>
      </c>
    </row>
    <row r="51" spans="1:6" x14ac:dyDescent="0.2">
      <c r="A51" s="19">
        <v>16</v>
      </c>
      <c r="B51" s="181" t="s">
        <v>14</v>
      </c>
      <c r="C51" s="182"/>
      <c r="D51" s="14">
        <f>IF(F3="1",SUMIF(Data!A:A,'42'!$A$2,Data!DJ:DJ),0)</f>
        <v>50642</v>
      </c>
      <c r="E51" s="17">
        <f>IF($F$3="1",SUMIF(Data!$A:$A,$A$2,Data!JD:JD),0)</f>
        <v>9314</v>
      </c>
      <c r="F51" s="21">
        <f t="shared" si="3"/>
        <v>0.18</v>
      </c>
    </row>
    <row r="52" spans="1:6" x14ac:dyDescent="0.2">
      <c r="A52" s="19">
        <v>17</v>
      </c>
      <c r="B52" s="181" t="s">
        <v>15</v>
      </c>
      <c r="C52" s="182"/>
      <c r="D52" s="14">
        <f>IF(F3="1",SUMIF(Data!A:A,'42'!$A$2,Data!DK:DK),0)</f>
        <v>0</v>
      </c>
      <c r="E52" s="17">
        <f>IF($F$3="1",SUMIF(Data!$A:$A,$A$2,Data!JE:JE),0)</f>
        <v>0</v>
      </c>
      <c r="F52" s="21" t="str">
        <f t="shared" si="3"/>
        <v/>
      </c>
    </row>
    <row r="53" spans="1:6" x14ac:dyDescent="0.2">
      <c r="A53" s="19">
        <v>18</v>
      </c>
      <c r="B53" s="181" t="s">
        <v>16</v>
      </c>
      <c r="C53" s="182"/>
      <c r="D53" s="14">
        <f>IF(F3="1",SUMIF(Data!A:A,'42'!$A$2,Data!DL:DL),0)</f>
        <v>138216</v>
      </c>
      <c r="E53" s="17">
        <f>IF($F$3="1",SUMIF(Data!$A:$A,$A$2,Data!JF:JF),0)</f>
        <v>41273</v>
      </c>
      <c r="F53" s="21">
        <f t="shared" si="3"/>
        <v>0.3</v>
      </c>
    </row>
    <row r="54" spans="1:6" x14ac:dyDescent="0.2">
      <c r="A54" s="19">
        <v>19</v>
      </c>
      <c r="B54" s="181" t="s">
        <v>17</v>
      </c>
      <c r="C54" s="182"/>
      <c r="D54" s="14">
        <f>IF(F3="1",SUMIF(Data!A:A,'42'!$A$2,Data!DM:DM),0)</f>
        <v>162300</v>
      </c>
      <c r="E54" s="17">
        <f>IF($F$3="1",SUMIF(Data!$A:$A,$A$2,Data!JG:JG),0)</f>
        <v>7229</v>
      </c>
      <c r="F54" s="21">
        <f t="shared" si="3"/>
        <v>0.04</v>
      </c>
    </row>
    <row r="55" spans="1:6" x14ac:dyDescent="0.2">
      <c r="A55" s="19">
        <v>20</v>
      </c>
      <c r="B55" s="181" t="s">
        <v>18</v>
      </c>
      <c r="C55" s="182"/>
      <c r="D55" s="14">
        <f>IF(F3="1",SUMIF(Data!A:A,'42'!$A$2,Data!DN:DN),0)</f>
        <v>80703</v>
      </c>
      <c r="E55" s="17">
        <f>IF($F$3="1",SUMIF(Data!$A:$A,$A$2,Data!JH:JH),0)</f>
        <v>43957</v>
      </c>
      <c r="F55" s="21">
        <f t="shared" si="3"/>
        <v>0.54</v>
      </c>
    </row>
    <row r="56" spans="1:6" ht="14.25" customHeight="1" x14ac:dyDescent="0.2">
      <c r="A56" s="19">
        <v>21</v>
      </c>
      <c r="B56" s="181" t="s">
        <v>461</v>
      </c>
      <c r="C56" s="182"/>
      <c r="D56" s="14">
        <f>IF(F3="1",SUMIF(Data!A:A,'42'!$A$2,Data!DO:DO),0)</f>
        <v>24080</v>
      </c>
      <c r="E56" s="17">
        <f>IF($F$3="1",SUMIF(Data!$A:$A,$A$2,Data!JI:JI),0)</f>
        <v>16623</v>
      </c>
      <c r="F56" s="21">
        <f t="shared" si="3"/>
        <v>0.69</v>
      </c>
    </row>
    <row r="57" spans="1:6" x14ac:dyDescent="0.2">
      <c r="A57" s="19">
        <v>22</v>
      </c>
      <c r="B57" s="181" t="s">
        <v>19</v>
      </c>
      <c r="C57" s="182"/>
      <c r="D57" s="14">
        <f>IF(F3="1",SUMIF(Data!A:A,'42'!$A$2,Data!DP:DP),0)</f>
        <v>11032</v>
      </c>
      <c r="E57" s="17">
        <f>IF($F$3="1",SUMIF(Data!$A:$A,$A$2,Data!JJ:JJ),0)</f>
        <v>40270</v>
      </c>
      <c r="F57" s="21">
        <f t="shared" si="3"/>
        <v>3.65</v>
      </c>
    </row>
    <row r="58" spans="1:6" x14ac:dyDescent="0.2">
      <c r="A58" s="19">
        <v>23</v>
      </c>
      <c r="B58" s="181" t="s">
        <v>20</v>
      </c>
      <c r="C58" s="182"/>
      <c r="D58" s="14">
        <f>IF(F3="1",SUMIF(Data!A:A,'42'!$A$2,Data!DQ:DQ),0)</f>
        <v>20848</v>
      </c>
      <c r="E58" s="17">
        <f>IF($F$3="1",SUMIF(Data!$A:$A,$A$2,Data!JK:JK),0)</f>
        <v>0</v>
      </c>
      <c r="F58" s="21" t="str">
        <f t="shared" si="3"/>
        <v/>
      </c>
    </row>
    <row r="59" spans="1:6" x14ac:dyDescent="0.2">
      <c r="A59" s="19">
        <v>24</v>
      </c>
      <c r="B59" s="181" t="s">
        <v>21</v>
      </c>
      <c r="C59" s="182"/>
      <c r="D59" s="14">
        <f>IF(F3="1",SUMIF(Data!A:A,'42'!$A$2,Data!DR:DR),0)</f>
        <v>43550</v>
      </c>
      <c r="E59" s="17">
        <f>IF($F$3="1",SUMIF(Data!$A:$A,$A$2,Data!JL:JL),0)</f>
        <v>43982</v>
      </c>
      <c r="F59" s="21">
        <f t="shared" si="3"/>
        <v>1.01</v>
      </c>
    </row>
    <row r="60" spans="1:6" x14ac:dyDescent="0.2">
      <c r="A60" s="19">
        <v>25</v>
      </c>
      <c r="B60" s="181" t="s">
        <v>22</v>
      </c>
      <c r="C60" s="182"/>
      <c r="D60" s="14">
        <f>IF(F3="1",SUMIF(Data!A:A,'42'!$A$2,Data!DS:DS),0)</f>
        <v>251420</v>
      </c>
      <c r="E60" s="17">
        <f>IF($F$3="1",SUMIF(Data!$A:$A,$A$2,Data!JM:JM),0)</f>
        <v>11016</v>
      </c>
      <c r="F60" s="21">
        <f t="shared" si="3"/>
        <v>0.04</v>
      </c>
    </row>
    <row r="61" spans="1:6" x14ac:dyDescent="0.2">
      <c r="A61" s="19">
        <v>26</v>
      </c>
      <c r="B61" s="181" t="s">
        <v>23</v>
      </c>
      <c r="C61" s="182"/>
      <c r="D61" s="14">
        <f>IF(F3="1",SUMIF(Data!A:A,'42'!$A$2,Data!DT:DT),0)</f>
        <v>64688</v>
      </c>
      <c r="E61" s="17">
        <f>IF($F$3="1",SUMIF(Data!$A:$A,$A$2,Data!JN:JN),0)</f>
        <v>13294</v>
      </c>
      <c r="F61" s="21">
        <f t="shared" si="3"/>
        <v>0.21</v>
      </c>
    </row>
    <row r="62" spans="1:6" x14ac:dyDescent="0.2">
      <c r="A62" s="19">
        <v>28</v>
      </c>
      <c r="B62" s="181" t="s">
        <v>24</v>
      </c>
      <c r="C62" s="182"/>
      <c r="D62" s="14">
        <f>IF(F3="1",SUMIF(Data!A:A,'42'!$A$2,Data!DV:DV),0)</f>
        <v>0</v>
      </c>
      <c r="E62" s="17">
        <f>IF($F$3="1",SUMIF(Data!$A:$A,$A$2,Data!JP:JP),0)</f>
        <v>0</v>
      </c>
      <c r="F62" s="21" t="str">
        <f t="shared" si="3"/>
        <v/>
      </c>
    </row>
    <row r="63" spans="1:6" ht="15.75" customHeight="1" thickBot="1" x14ac:dyDescent="0.25">
      <c r="A63" s="22">
        <v>29</v>
      </c>
      <c r="B63" s="183" t="s">
        <v>25</v>
      </c>
      <c r="C63" s="184"/>
      <c r="D63" s="23">
        <f>IF(F3="1",SUMIF(Data!A:A,'42'!$A$2,Data!DW:DW),0)</f>
        <v>0</v>
      </c>
      <c r="E63" s="24">
        <f>IF($F$3="1",SUMIF(Data!$A:$A,$A$2,Data!JQ:JQ),0)</f>
        <v>0</v>
      </c>
      <c r="F63" s="25" t="str">
        <f t="shared" si="3"/>
        <v/>
      </c>
    </row>
    <row r="64" spans="1:6" x14ac:dyDescent="0.2">
      <c r="B64" s="30" t="s">
        <v>35</v>
      </c>
      <c r="C64" s="30"/>
      <c r="D64" s="59">
        <f>SUM(D36:D63)</f>
        <v>2322927</v>
      </c>
      <c r="E64" s="31">
        <f>SUM(E36:E63)</f>
        <v>627253</v>
      </c>
      <c r="F64" s="32">
        <f t="shared" si="3"/>
        <v>0.27</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27077</v>
      </c>
      <c r="E67" s="15">
        <f>IF(F3="1",SUMIF(Data!A:A,'42'!$A$2,Data!DY:DY),0)</f>
        <v>143250</v>
      </c>
      <c r="F67" s="20">
        <f t="shared" ref="F67:F95" si="4">IF(OR(D67=0,E67=0),"",ROUND(E67/D67,2))</f>
        <v>5.29</v>
      </c>
    </row>
    <row r="68" spans="1:6" x14ac:dyDescent="0.2">
      <c r="A68" s="19">
        <v>2</v>
      </c>
      <c r="B68" s="181" t="s">
        <v>1</v>
      </c>
      <c r="C68" s="182"/>
      <c r="D68" s="14">
        <f t="shared" ref="D68:D94" si="5">D37</f>
        <v>171223</v>
      </c>
      <c r="E68" s="17">
        <f>IF(F3="1",SUMIF(Data!A:A,'42'!$A$2,Data!DZ:DZ),0)</f>
        <v>343520</v>
      </c>
      <c r="F68" s="21">
        <f t="shared" si="4"/>
        <v>2.0099999999999998</v>
      </c>
    </row>
    <row r="69" spans="1:6" ht="14.25" customHeight="1" x14ac:dyDescent="0.2">
      <c r="A69" s="19">
        <v>3</v>
      </c>
      <c r="B69" s="181" t="s">
        <v>2</v>
      </c>
      <c r="C69" s="182"/>
      <c r="D69" s="14">
        <f t="shared" si="5"/>
        <v>197536</v>
      </c>
      <c r="E69" s="17">
        <f>IF(F3="1",SUMIF(Data!A:A,'42'!$A$2,Data!EA:EA),0)</f>
        <v>554021</v>
      </c>
      <c r="F69" s="21">
        <f t="shared" si="4"/>
        <v>2.8</v>
      </c>
    </row>
    <row r="70" spans="1:6" ht="14.25" customHeight="1" x14ac:dyDescent="0.2">
      <c r="A70" s="19">
        <v>4</v>
      </c>
      <c r="B70" s="181" t="s">
        <v>3</v>
      </c>
      <c r="C70" s="182"/>
      <c r="D70" s="14">
        <f t="shared" si="5"/>
        <v>275308</v>
      </c>
      <c r="E70" s="17">
        <f>IF(F3="1",SUMIF(Data!A:A,'42'!$A$2,Data!EB:EB),0)</f>
        <v>724490</v>
      </c>
      <c r="F70" s="21">
        <f t="shared" si="4"/>
        <v>2.63</v>
      </c>
    </row>
    <row r="71" spans="1:6" x14ac:dyDescent="0.2">
      <c r="A71" s="19">
        <v>5</v>
      </c>
      <c r="B71" s="181" t="s">
        <v>4</v>
      </c>
      <c r="C71" s="182"/>
      <c r="D71" s="14">
        <f t="shared" si="5"/>
        <v>0</v>
      </c>
      <c r="E71" s="17">
        <f>IF(F3="1",SUMIF(Data!A:A,'42'!$A$2,Data!EC:EC),0)</f>
        <v>0</v>
      </c>
      <c r="F71" s="21" t="str">
        <f t="shared" si="4"/>
        <v/>
      </c>
    </row>
    <row r="72" spans="1:6" x14ac:dyDescent="0.2">
      <c r="A72" s="19">
        <v>6</v>
      </c>
      <c r="B72" s="181" t="s">
        <v>5</v>
      </c>
      <c r="C72" s="182"/>
      <c r="D72" s="14">
        <f t="shared" si="5"/>
        <v>12048</v>
      </c>
      <c r="E72" s="17">
        <f>IF(F3="1",SUMIF(Data!A:A,'42'!$A$2,Data!ED:ED),0)</f>
        <v>20231</v>
      </c>
      <c r="F72" s="21">
        <f t="shared" si="4"/>
        <v>1.68</v>
      </c>
    </row>
    <row r="73" spans="1:6" x14ac:dyDescent="0.2">
      <c r="A73" s="19">
        <v>7</v>
      </c>
      <c r="B73" s="181" t="s">
        <v>6</v>
      </c>
      <c r="C73" s="182"/>
      <c r="D73" s="14">
        <f t="shared" si="5"/>
        <v>46739</v>
      </c>
      <c r="E73" s="17">
        <f>IF(F3="1",SUMIF(Data!A:A,'42'!$A$2,Data!EE:EE),0)</f>
        <v>160111</v>
      </c>
      <c r="F73" s="21">
        <f t="shared" si="4"/>
        <v>3.43</v>
      </c>
    </row>
    <row r="74" spans="1:6" x14ac:dyDescent="0.2">
      <c r="A74" s="19">
        <v>8</v>
      </c>
      <c r="B74" s="181" t="s">
        <v>7</v>
      </c>
      <c r="C74" s="182"/>
      <c r="D74" s="14">
        <f t="shared" si="5"/>
        <v>112104</v>
      </c>
      <c r="E74" s="17">
        <f>IF(F3="1",SUMIF(Data!A:A,'42'!$A$2,Data!EF:EF),0)</f>
        <v>217554</v>
      </c>
      <c r="F74" s="21">
        <f t="shared" si="4"/>
        <v>1.94</v>
      </c>
    </row>
    <row r="75" spans="1:6" x14ac:dyDescent="0.2">
      <c r="A75" s="19">
        <v>9</v>
      </c>
      <c r="B75" s="181" t="s">
        <v>8</v>
      </c>
      <c r="C75" s="182"/>
      <c r="D75" s="14">
        <f t="shared" si="5"/>
        <v>124709</v>
      </c>
      <c r="E75" s="17">
        <f>IF(F3="1",SUMIF(Data!A:A,'42'!$A$2,Data!EG:EG),0)</f>
        <v>156503</v>
      </c>
      <c r="F75" s="21">
        <f t="shared" si="4"/>
        <v>1.25</v>
      </c>
    </row>
    <row r="76" spans="1:6" x14ac:dyDescent="0.2">
      <c r="A76" s="19">
        <v>10</v>
      </c>
      <c r="B76" s="181" t="s">
        <v>9</v>
      </c>
      <c r="C76" s="182"/>
      <c r="D76" s="14">
        <f t="shared" si="5"/>
        <v>96</v>
      </c>
      <c r="E76" s="17">
        <f>IF(F3="1",SUMIF(Data!A:A,'42'!$A$2,Data!EH:EH),0)</f>
        <v>1900</v>
      </c>
      <c r="F76" s="21">
        <f t="shared" si="4"/>
        <v>19.79</v>
      </c>
    </row>
    <row r="77" spans="1:6" x14ac:dyDescent="0.2">
      <c r="A77" s="19">
        <v>11</v>
      </c>
      <c r="B77" s="181" t="s">
        <v>10</v>
      </c>
      <c r="C77" s="182"/>
      <c r="D77" s="14">
        <f t="shared" si="5"/>
        <v>142736</v>
      </c>
      <c r="E77" s="17">
        <f>IF(F3="1",SUMIF(Data!A:A,'42'!$A$2,Data!EI:EI),0)</f>
        <v>247397</v>
      </c>
      <c r="F77" s="21">
        <f t="shared" si="4"/>
        <v>1.73</v>
      </c>
    </row>
    <row r="78" spans="1:6" ht="14.25" customHeight="1" x14ac:dyDescent="0.2">
      <c r="A78" s="19">
        <v>12</v>
      </c>
      <c r="B78" s="181" t="s">
        <v>11</v>
      </c>
      <c r="C78" s="182"/>
      <c r="D78" s="14">
        <f t="shared" si="5"/>
        <v>220160</v>
      </c>
      <c r="E78" s="17">
        <f>IF(F3="1",SUMIF(Data!A:A,'42'!$A$2,Data!EJ:EJ),0)</f>
        <v>490588</v>
      </c>
      <c r="F78" s="21">
        <f t="shared" si="4"/>
        <v>2.23</v>
      </c>
    </row>
    <row r="79" spans="1:6" x14ac:dyDescent="0.2">
      <c r="A79" s="19">
        <v>13</v>
      </c>
      <c r="B79" s="181" t="s">
        <v>12</v>
      </c>
      <c r="C79" s="182"/>
      <c r="D79" s="14">
        <f t="shared" si="5"/>
        <v>26544</v>
      </c>
      <c r="E79" s="17">
        <f>IF(F3="1",SUMIF(Data!A:A,'42'!$A$2,Data!EK:EK),0)</f>
        <v>68859</v>
      </c>
      <c r="F79" s="21">
        <f t="shared" si="4"/>
        <v>2.59</v>
      </c>
    </row>
    <row r="80" spans="1:6" ht="14.25" customHeight="1" x14ac:dyDescent="0.2">
      <c r="A80" s="19">
        <v>14</v>
      </c>
      <c r="B80" s="181" t="s">
        <v>464</v>
      </c>
      <c r="C80" s="182"/>
      <c r="D80" s="14">
        <f t="shared" si="5"/>
        <v>115795</v>
      </c>
      <c r="E80" s="17">
        <f>IF(F3="1",SUMIF(Data!A:A,'42'!$A$2,Data!EL:EL),0)</f>
        <v>697456</v>
      </c>
      <c r="F80" s="21">
        <f t="shared" si="4"/>
        <v>6.02</v>
      </c>
    </row>
    <row r="81" spans="1:6" x14ac:dyDescent="0.2">
      <c r="A81" s="19">
        <v>15</v>
      </c>
      <c r="B81" s="181" t="s">
        <v>13</v>
      </c>
      <c r="C81" s="182"/>
      <c r="D81" s="14">
        <f t="shared" si="5"/>
        <v>3373</v>
      </c>
      <c r="E81" s="17">
        <f>IF(F3="1",SUMIF(Data!A:A,'42'!$A$2,Data!EM:EM),0)</f>
        <v>9000</v>
      </c>
      <c r="F81" s="21">
        <f t="shared" si="4"/>
        <v>2.67</v>
      </c>
    </row>
    <row r="82" spans="1:6" x14ac:dyDescent="0.2">
      <c r="A82" s="19">
        <v>16</v>
      </c>
      <c r="B82" s="181" t="s">
        <v>14</v>
      </c>
      <c r="C82" s="182"/>
      <c r="D82" s="14">
        <f t="shared" si="5"/>
        <v>50642</v>
      </c>
      <c r="E82" s="17">
        <f>IF(F3="1",SUMIF(Data!A:A,'42'!$A$2,Data!EN:EN),0)</f>
        <v>136231</v>
      </c>
      <c r="F82" s="21">
        <f t="shared" si="4"/>
        <v>2.69</v>
      </c>
    </row>
    <row r="83" spans="1:6" x14ac:dyDescent="0.2">
      <c r="A83" s="19">
        <v>17</v>
      </c>
      <c r="B83" s="181" t="s">
        <v>15</v>
      </c>
      <c r="C83" s="182"/>
      <c r="D83" s="14">
        <f t="shared" si="5"/>
        <v>0</v>
      </c>
      <c r="E83" s="17">
        <f>IF(F3="1",SUMIF(Data!A:A,'42'!$A$2,Data!EO:EO),0)</f>
        <v>0</v>
      </c>
      <c r="F83" s="21" t="str">
        <f t="shared" si="4"/>
        <v/>
      </c>
    </row>
    <row r="84" spans="1:6" x14ac:dyDescent="0.2">
      <c r="A84" s="19">
        <v>18</v>
      </c>
      <c r="B84" s="181" t="s">
        <v>16</v>
      </c>
      <c r="C84" s="182"/>
      <c r="D84" s="14">
        <f t="shared" si="5"/>
        <v>138216</v>
      </c>
      <c r="E84" s="17">
        <f>IF(F3="1",SUMIF(Data!A:A,'42'!$A$2,Data!EP:EP),0)</f>
        <v>331524</v>
      </c>
      <c r="F84" s="21">
        <f t="shared" si="4"/>
        <v>2.4</v>
      </c>
    </row>
    <row r="85" spans="1:6" x14ac:dyDescent="0.2">
      <c r="A85" s="19">
        <v>19</v>
      </c>
      <c r="B85" s="181" t="s">
        <v>17</v>
      </c>
      <c r="C85" s="182"/>
      <c r="D85" s="14">
        <f t="shared" si="5"/>
        <v>162300</v>
      </c>
      <c r="E85" s="17">
        <f>IF(F3="1",SUMIF(Data!A:A,'42'!$A$2,Data!EQ:EQ),0)</f>
        <v>359176</v>
      </c>
      <c r="F85" s="21">
        <f t="shared" si="4"/>
        <v>2.21</v>
      </c>
    </row>
    <row r="86" spans="1:6" x14ac:dyDescent="0.2">
      <c r="A86" s="19">
        <v>20</v>
      </c>
      <c r="B86" s="181" t="s">
        <v>18</v>
      </c>
      <c r="C86" s="182"/>
      <c r="D86" s="14">
        <f t="shared" si="5"/>
        <v>80703</v>
      </c>
      <c r="E86" s="17">
        <f>IF(F3="1",SUMIF(Data!A:A,'42'!$A$2,Data!ER:ER),0)</f>
        <v>209808</v>
      </c>
      <c r="F86" s="21">
        <f t="shared" si="4"/>
        <v>2.6</v>
      </c>
    </row>
    <row r="87" spans="1:6" ht="14.25" customHeight="1" x14ac:dyDescent="0.2">
      <c r="A87" s="19">
        <v>21</v>
      </c>
      <c r="B87" s="181" t="s">
        <v>461</v>
      </c>
      <c r="C87" s="182"/>
      <c r="D87" s="14">
        <f t="shared" si="5"/>
        <v>24080</v>
      </c>
      <c r="E87" s="17">
        <f>IF(F3="1",SUMIF(Data!A:A,'42'!$A$2,Data!ES:ES),0)</f>
        <v>54081</v>
      </c>
      <c r="F87" s="21">
        <f t="shared" si="4"/>
        <v>2.25</v>
      </c>
    </row>
    <row r="88" spans="1:6" x14ac:dyDescent="0.2">
      <c r="A88" s="19">
        <v>22</v>
      </c>
      <c r="B88" s="181" t="s">
        <v>19</v>
      </c>
      <c r="C88" s="182"/>
      <c r="D88" s="14">
        <f t="shared" si="5"/>
        <v>11032</v>
      </c>
      <c r="E88" s="17">
        <f>IF(F3="1",SUMIF(Data!A:A,'42'!$A$2,Data!ET:ET),0)</f>
        <v>43663</v>
      </c>
      <c r="F88" s="21">
        <f t="shared" si="4"/>
        <v>3.96</v>
      </c>
    </row>
    <row r="89" spans="1:6" x14ac:dyDescent="0.2">
      <c r="A89" s="19">
        <v>23</v>
      </c>
      <c r="B89" s="181" t="s">
        <v>20</v>
      </c>
      <c r="C89" s="182"/>
      <c r="D89" s="14">
        <f t="shared" si="5"/>
        <v>20848</v>
      </c>
      <c r="E89" s="17">
        <f>IF(F3="1",SUMIF(Data!A:A,'42'!$A$2,Data!EU:EU),0)</f>
        <v>20250</v>
      </c>
      <c r="F89" s="21">
        <f t="shared" si="4"/>
        <v>0.97</v>
      </c>
    </row>
    <row r="90" spans="1:6" x14ac:dyDescent="0.2">
      <c r="A90" s="19">
        <v>24</v>
      </c>
      <c r="B90" s="181" t="s">
        <v>21</v>
      </c>
      <c r="C90" s="182"/>
      <c r="D90" s="14">
        <f t="shared" si="5"/>
        <v>43550</v>
      </c>
      <c r="E90" s="17">
        <f>IF(F3="1",SUMIF(Data!A:A,'42'!$A$2,Data!EV:EV),0)</f>
        <v>81427</v>
      </c>
      <c r="F90" s="21">
        <f t="shared" si="4"/>
        <v>1.87</v>
      </c>
    </row>
    <row r="91" spans="1:6" x14ac:dyDescent="0.2">
      <c r="A91" s="19">
        <v>25</v>
      </c>
      <c r="B91" s="181" t="s">
        <v>22</v>
      </c>
      <c r="C91" s="182"/>
      <c r="D91" s="14">
        <f t="shared" si="5"/>
        <v>251420</v>
      </c>
      <c r="E91" s="17">
        <f>IF(F3="1",SUMIF(Data!A:A,'42'!$A$2,Data!EW:EW),0)</f>
        <v>619832</v>
      </c>
      <c r="F91" s="21">
        <f t="shared" si="4"/>
        <v>2.4700000000000002</v>
      </c>
    </row>
    <row r="92" spans="1:6" x14ac:dyDescent="0.2">
      <c r="A92" s="19">
        <v>26</v>
      </c>
      <c r="B92" s="181" t="s">
        <v>23</v>
      </c>
      <c r="C92" s="182"/>
      <c r="D92" s="14">
        <f t="shared" si="5"/>
        <v>64688</v>
      </c>
      <c r="E92" s="17">
        <f>IF(F3="1",SUMIF(Data!A:A,'42'!$A$2,Data!EX:EX),0)</f>
        <v>125863</v>
      </c>
      <c r="F92" s="21">
        <f t="shared" si="4"/>
        <v>1.95</v>
      </c>
    </row>
    <row r="93" spans="1:6" x14ac:dyDescent="0.2">
      <c r="A93" s="19">
        <v>28</v>
      </c>
      <c r="B93" s="181" t="s">
        <v>24</v>
      </c>
      <c r="C93" s="182"/>
      <c r="D93" s="14">
        <f t="shared" si="5"/>
        <v>0</v>
      </c>
      <c r="E93" s="17">
        <f>IF(F3="1",SUMIF(Data!A:A,'42'!$A$2,Data!EZ:EZ),0)</f>
        <v>0</v>
      </c>
      <c r="F93" s="21" t="str">
        <f t="shared" si="4"/>
        <v/>
      </c>
    </row>
    <row r="94" spans="1:6" ht="15.75" customHeight="1" thickBot="1" x14ac:dyDescent="0.25">
      <c r="A94" s="22">
        <v>29</v>
      </c>
      <c r="B94" s="183" t="s">
        <v>25</v>
      </c>
      <c r="C94" s="184"/>
      <c r="D94" s="23">
        <f t="shared" si="5"/>
        <v>0</v>
      </c>
      <c r="E94" s="24">
        <f>IF(F3="1",SUMIF(Data!A:A,'42'!$A$2,Data!FA:FA),0)</f>
        <v>0</v>
      </c>
      <c r="F94" s="25" t="str">
        <f t="shared" si="4"/>
        <v/>
      </c>
    </row>
    <row r="95" spans="1:6" x14ac:dyDescent="0.2">
      <c r="B95" s="30" t="s">
        <v>35</v>
      </c>
      <c r="C95" s="30"/>
      <c r="D95" s="59">
        <f>SUM(D67:D94)</f>
        <v>2322927</v>
      </c>
      <c r="E95" s="31">
        <f>SUM(E67:E94)</f>
        <v>5816735</v>
      </c>
      <c r="F95" s="32">
        <f t="shared" si="4"/>
        <v>2.5</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IF(F3="1",SUMIF(Data!A:A,'42'!$A$2,Data!AH:AH),0)</f>
        <v>1260096</v>
      </c>
      <c r="F98" s="20">
        <f>IF(OR(E98=0,E98=0),"",ROUND(E98/$D$105,2))</f>
        <v>0.54</v>
      </c>
    </row>
    <row r="99" spans="2:6" x14ac:dyDescent="0.2">
      <c r="B99" s="187" t="s">
        <v>31</v>
      </c>
      <c r="C99" s="188"/>
      <c r="D99" s="36"/>
      <c r="E99" s="17">
        <f>IF(F3="1",SUMIF(Data!A:A,'42'!$A$2,Data!AI:AI),0)</f>
        <v>614822</v>
      </c>
      <c r="F99" s="21">
        <f t="shared" ref="F99:F104" si="6">IF(OR(E99=0,E99=0),"",ROUND(E99/$D$105,2))</f>
        <v>0.26</v>
      </c>
    </row>
    <row r="100" spans="2:6" x14ac:dyDescent="0.2">
      <c r="B100" s="187" t="s">
        <v>1078</v>
      </c>
      <c r="C100" s="188"/>
      <c r="D100" s="36"/>
      <c r="E100" s="17">
        <f>IF(F3="1",SUMIF(Data!A:A,'42'!$A$2,Data!AJ:AJ),0)</f>
        <v>472057</v>
      </c>
      <c r="F100" s="21">
        <f t="shared" si="6"/>
        <v>0.2</v>
      </c>
    </row>
    <row r="101" spans="2:6" x14ac:dyDescent="0.2">
      <c r="B101" s="187" t="s">
        <v>1079</v>
      </c>
      <c r="C101" s="188"/>
      <c r="D101" s="36"/>
      <c r="E101" s="17">
        <f>IF(F3="1",SUMIF(Data!A:A,'42'!$A$2,Data!AK:AK),0)</f>
        <v>215857</v>
      </c>
      <c r="F101" s="21">
        <f t="shared" si="6"/>
        <v>0.09</v>
      </c>
    </row>
    <row r="102" spans="2:6" x14ac:dyDescent="0.2">
      <c r="B102" s="187" t="s">
        <v>1080</v>
      </c>
      <c r="C102" s="188"/>
      <c r="D102" s="36"/>
      <c r="E102" s="17">
        <f>IF(F3="1",SUMIF(Data!A:A,'42'!$A$2,Data!AL:AL),0)</f>
        <v>0</v>
      </c>
      <c r="F102" s="21" t="str">
        <f t="shared" si="6"/>
        <v/>
      </c>
    </row>
    <row r="103" spans="2:6" x14ac:dyDescent="0.2">
      <c r="B103" s="189" t="s">
        <v>34</v>
      </c>
      <c r="C103" s="190"/>
      <c r="D103" s="36"/>
      <c r="E103" s="17">
        <f>IF(F3="1",SUMIF(Data!A:A,'42'!$A$2,Data!AM:AM),0)</f>
        <v>0</v>
      </c>
      <c r="F103" s="21" t="str">
        <f t="shared" si="6"/>
        <v/>
      </c>
    </row>
    <row r="104" spans="2:6" ht="15.75" customHeight="1" thickBot="1" x14ac:dyDescent="0.25">
      <c r="B104" s="179" t="s">
        <v>29</v>
      </c>
      <c r="C104" s="180"/>
      <c r="D104" s="37"/>
      <c r="E104" s="24">
        <f>IF(F3="1",SUMIF(Data!A:A,'42'!$A$2,Data!Q:Q),0)</f>
        <v>934244</v>
      </c>
      <c r="F104" s="25">
        <f t="shared" si="6"/>
        <v>0.4</v>
      </c>
    </row>
    <row r="105" spans="2:6" x14ac:dyDescent="0.2">
      <c r="B105" s="30" t="s">
        <v>35</v>
      </c>
      <c r="C105" s="30"/>
      <c r="D105" s="34">
        <f>D95</f>
        <v>2322927</v>
      </c>
      <c r="E105" s="31">
        <f>SUM(E98:E104)</f>
        <v>3497076</v>
      </c>
      <c r="F105" s="32">
        <f>IF($D$105=0,"",ROUND(E105/$D$105,2))</f>
        <v>1.51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5816735</v>
      </c>
      <c r="D109" s="15">
        <f>IF(F3="1",SUMIF(Data!$A:$A,$A$2,Data!HJ:HJ),0)</f>
        <v>0</v>
      </c>
      <c r="E109" s="15">
        <f>IF(F3="1",SUMIF(Data!$A:$A,$A$2,Data!IN:IN),0)</f>
        <v>0</v>
      </c>
      <c r="F109" s="47">
        <f>SUM(C109:E109)</f>
        <v>5816735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934244</v>
      </c>
      <c r="E117" s="52"/>
      <c r="F117" s="49">
        <f>SUM(C117:E117)</f>
        <v>934244</v>
      </c>
    </row>
    <row r="118" spans="1:6" x14ac:dyDescent="0.2">
      <c r="B118" s="13" t="s">
        <v>35</v>
      </c>
      <c r="C118" s="4">
        <f>SUM(C109:C116)</f>
        <v>5816735</v>
      </c>
      <c r="D118" s="4">
        <f>SUM(D109:D116)</f>
        <v>0</v>
      </c>
      <c r="E118" s="4">
        <f>SUM(E109:E116)</f>
        <v>0</v>
      </c>
      <c r="F118" s="4">
        <f>SUM(F109:F116)</f>
        <v>5816735</v>
      </c>
    </row>
    <row r="119" spans="1:6" ht="15" thickBot="1" x14ac:dyDescent="0.25"/>
    <row r="120" spans="1:6" ht="15" thickBot="1" x14ac:dyDescent="0.25">
      <c r="B120" s="55" t="s">
        <v>934</v>
      </c>
      <c r="C120" s="53"/>
      <c r="D120" s="53"/>
      <c r="E120" s="53">
        <f>IF(F3="1",SUMIF(Data!A:A,'42'!$A$2,Data!AM:AM),0)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409</v>
      </c>
      <c r="B2" s="58" t="str">
        <f>VLOOKUP(A2,Data!A:G,7,0)</f>
        <v>Texas Southmost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34909</v>
      </c>
      <c r="E6" s="17">
        <f t="shared" ref="E6:E32" si="1">E37+E68+IFERROR($E$105/$D$105*D6,0)</f>
        <v>268886.73025562713</v>
      </c>
      <c r="F6" s="21">
        <f t="shared" ref="F6:F33" si="2">IF(OR(D6=0,E6=0),"",ROUND(E6/D6,2))</f>
        <v>7.7</v>
      </c>
    </row>
    <row r="7" spans="1:6" ht="14.25" customHeight="1" x14ac:dyDescent="0.2">
      <c r="A7" s="19">
        <v>3</v>
      </c>
      <c r="B7" s="181" t="s">
        <v>2</v>
      </c>
      <c r="C7" s="182"/>
      <c r="D7" s="14">
        <f t="shared" si="0"/>
        <v>289472</v>
      </c>
      <c r="E7" s="17">
        <f t="shared" si="1"/>
        <v>2512590.2879073275</v>
      </c>
      <c r="F7" s="21">
        <f t="shared" si="2"/>
        <v>8.68</v>
      </c>
    </row>
    <row r="8" spans="1:6" ht="14.25" customHeight="1" x14ac:dyDescent="0.2">
      <c r="A8" s="19">
        <v>4</v>
      </c>
      <c r="B8" s="181" t="s">
        <v>3</v>
      </c>
      <c r="C8" s="182"/>
      <c r="D8" s="14">
        <f t="shared" si="0"/>
        <v>174022</v>
      </c>
      <c r="E8" s="17">
        <f t="shared" si="1"/>
        <v>2313551.280573627</v>
      </c>
      <c r="F8" s="21">
        <f t="shared" si="2"/>
        <v>13.29</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912</v>
      </c>
      <c r="E10" s="17">
        <f t="shared" si="1"/>
        <v>15991.011630041878</v>
      </c>
      <c r="F10" s="21">
        <f t="shared" si="2"/>
        <v>17.53</v>
      </c>
    </row>
    <row r="11" spans="1:6" x14ac:dyDescent="0.2">
      <c r="A11" s="19">
        <v>7</v>
      </c>
      <c r="B11" s="181" t="s">
        <v>6</v>
      </c>
      <c r="C11" s="182"/>
      <c r="D11" s="14">
        <f t="shared" si="0"/>
        <v>101224</v>
      </c>
      <c r="E11" s="17">
        <f t="shared" si="1"/>
        <v>803767.79960456048</v>
      </c>
      <c r="F11" s="21">
        <f t="shared" si="2"/>
        <v>7.94</v>
      </c>
    </row>
    <row r="12" spans="1:6" x14ac:dyDescent="0.2">
      <c r="A12" s="19">
        <v>8</v>
      </c>
      <c r="B12" s="181" t="s">
        <v>7</v>
      </c>
      <c r="C12" s="182"/>
      <c r="D12" s="14">
        <f t="shared" si="0"/>
        <v>18096</v>
      </c>
      <c r="E12" s="17">
        <f t="shared" si="1"/>
        <v>158015.38865925203</v>
      </c>
      <c r="F12" s="21">
        <f t="shared" si="2"/>
        <v>8.73</v>
      </c>
    </row>
    <row r="13" spans="1:6" x14ac:dyDescent="0.2">
      <c r="A13" s="19">
        <v>9</v>
      </c>
      <c r="B13" s="181" t="s">
        <v>8</v>
      </c>
      <c r="C13" s="182"/>
      <c r="D13" s="14">
        <f t="shared" si="0"/>
        <v>68206</v>
      </c>
      <c r="E13" s="17">
        <f t="shared" si="1"/>
        <v>571727.45749850478</v>
      </c>
      <c r="F13" s="21">
        <f t="shared" si="2"/>
        <v>8.3800000000000008</v>
      </c>
    </row>
    <row r="14" spans="1:6" x14ac:dyDescent="0.2">
      <c r="A14" s="19">
        <v>10</v>
      </c>
      <c r="B14" s="181" t="s">
        <v>9</v>
      </c>
      <c r="C14" s="182"/>
      <c r="D14" s="14">
        <f t="shared" si="0"/>
        <v>2064</v>
      </c>
      <c r="E14" s="17">
        <f t="shared" si="1"/>
        <v>39786.763162726354</v>
      </c>
      <c r="F14" s="21">
        <f t="shared" si="2"/>
        <v>19.28</v>
      </c>
    </row>
    <row r="15" spans="1:6" x14ac:dyDescent="0.2">
      <c r="A15" s="19">
        <v>11</v>
      </c>
      <c r="B15" s="181" t="s">
        <v>10</v>
      </c>
      <c r="C15" s="182"/>
      <c r="D15" s="14">
        <f t="shared" si="0"/>
        <v>75312</v>
      </c>
      <c r="E15" s="17">
        <f t="shared" si="1"/>
        <v>641189.38144924771</v>
      </c>
      <c r="F15" s="21">
        <f t="shared" si="2"/>
        <v>8.51</v>
      </c>
    </row>
    <row r="16" spans="1:6" ht="14.25" customHeight="1" x14ac:dyDescent="0.2">
      <c r="A16" s="19">
        <v>12</v>
      </c>
      <c r="B16" s="181" t="s">
        <v>11</v>
      </c>
      <c r="C16" s="182"/>
      <c r="D16" s="14">
        <f t="shared" si="0"/>
        <v>570996</v>
      </c>
      <c r="E16" s="17">
        <f t="shared" si="1"/>
        <v>3951223.4393721409</v>
      </c>
      <c r="F16" s="21">
        <f t="shared" si="2"/>
        <v>6.92</v>
      </c>
    </row>
    <row r="17" spans="1:6" x14ac:dyDescent="0.2">
      <c r="A17" s="19">
        <v>13</v>
      </c>
      <c r="B17" s="181" t="s">
        <v>12</v>
      </c>
      <c r="C17" s="182"/>
      <c r="D17" s="14">
        <f t="shared" si="0"/>
        <v>132432</v>
      </c>
      <c r="E17" s="17">
        <f t="shared" si="1"/>
        <v>948509.47827818652</v>
      </c>
      <c r="F17" s="21">
        <f t="shared" si="2"/>
        <v>7.16</v>
      </c>
    </row>
    <row r="18" spans="1:6" ht="14.25" customHeight="1" x14ac:dyDescent="0.2">
      <c r="A18" s="19">
        <v>14</v>
      </c>
      <c r="B18" s="181" t="s">
        <v>464</v>
      </c>
      <c r="C18" s="182"/>
      <c r="D18" s="14">
        <f t="shared" si="0"/>
        <v>77120</v>
      </c>
      <c r="E18" s="17">
        <f t="shared" si="1"/>
        <v>902586.42204915534</v>
      </c>
      <c r="F18" s="21">
        <f t="shared" si="2"/>
        <v>11.7</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128494</v>
      </c>
      <c r="E20" s="17">
        <f t="shared" si="1"/>
        <v>1406699.1210423259</v>
      </c>
      <c r="F20" s="21">
        <f t="shared" si="2"/>
        <v>10.95</v>
      </c>
    </row>
    <row r="21" spans="1:6" x14ac:dyDescent="0.2">
      <c r="A21" s="19">
        <v>17</v>
      </c>
      <c r="B21" s="181" t="s">
        <v>15</v>
      </c>
      <c r="C21" s="182"/>
      <c r="D21" s="14">
        <f t="shared" si="0"/>
        <v>20304</v>
      </c>
      <c r="E21" s="17">
        <f t="shared" si="1"/>
        <v>328357.9957635639</v>
      </c>
      <c r="F21" s="21">
        <f t="shared" si="2"/>
        <v>16.170000000000002</v>
      </c>
    </row>
    <row r="22" spans="1:6" x14ac:dyDescent="0.2">
      <c r="A22" s="19">
        <v>18</v>
      </c>
      <c r="B22" s="181" t="s">
        <v>16</v>
      </c>
      <c r="C22" s="182"/>
      <c r="D22" s="14">
        <f t="shared" si="0"/>
        <v>66192</v>
      </c>
      <c r="E22" s="17">
        <f t="shared" si="1"/>
        <v>408270.26514882897</v>
      </c>
      <c r="F22" s="21">
        <f t="shared" si="2"/>
        <v>6.17</v>
      </c>
    </row>
    <row r="23" spans="1:6" x14ac:dyDescent="0.2">
      <c r="A23" s="19">
        <v>19</v>
      </c>
      <c r="B23" s="181" t="s">
        <v>17</v>
      </c>
      <c r="C23" s="182"/>
      <c r="D23" s="14">
        <f t="shared" si="0"/>
        <v>397668</v>
      </c>
      <c r="E23" s="17">
        <f t="shared" si="1"/>
        <v>3029927.2816836555</v>
      </c>
      <c r="F23" s="21">
        <f t="shared" si="2"/>
        <v>7.62</v>
      </c>
    </row>
    <row r="24" spans="1:6" x14ac:dyDescent="0.2">
      <c r="A24" s="19">
        <v>20</v>
      </c>
      <c r="B24" s="181" t="s">
        <v>18</v>
      </c>
      <c r="C24" s="182"/>
      <c r="D24" s="14">
        <f t="shared" si="0"/>
        <v>64208</v>
      </c>
      <c r="E24" s="17">
        <f t="shared" si="1"/>
        <v>344170.41528698348</v>
      </c>
      <c r="F24" s="21">
        <f t="shared" si="2"/>
        <v>5.36</v>
      </c>
    </row>
    <row r="25" spans="1:6" ht="14.25" customHeight="1" x14ac:dyDescent="0.2">
      <c r="A25" s="19">
        <v>21</v>
      </c>
      <c r="B25" s="181" t="s">
        <v>461</v>
      </c>
      <c r="C25" s="182"/>
      <c r="D25" s="14">
        <f t="shared" si="0"/>
        <v>8254</v>
      </c>
      <c r="E25" s="17">
        <f t="shared" si="1"/>
        <v>126816.42981838342</v>
      </c>
      <c r="F25" s="21">
        <f t="shared" si="2"/>
        <v>15.36</v>
      </c>
    </row>
    <row r="26" spans="1:6" x14ac:dyDescent="0.2">
      <c r="A26" s="19">
        <v>22</v>
      </c>
      <c r="B26" s="181" t="s">
        <v>19</v>
      </c>
      <c r="C26" s="182"/>
      <c r="D26" s="14">
        <f t="shared" si="0"/>
        <v>12544</v>
      </c>
      <c r="E26" s="17">
        <f t="shared" si="1"/>
        <v>98097.405578119884</v>
      </c>
      <c r="F26" s="21">
        <f t="shared" si="2"/>
        <v>7.82</v>
      </c>
    </row>
    <row r="27" spans="1:6" x14ac:dyDescent="0.2">
      <c r="A27" s="19">
        <v>23</v>
      </c>
      <c r="B27" s="181" t="s">
        <v>20</v>
      </c>
      <c r="C27" s="182"/>
      <c r="D27" s="14">
        <f t="shared" si="0"/>
        <v>58880</v>
      </c>
      <c r="E27" s="17">
        <f t="shared" si="1"/>
        <v>708399.18944831775</v>
      </c>
      <c r="F27" s="21">
        <f t="shared" si="2"/>
        <v>12.03</v>
      </c>
    </row>
    <row r="28" spans="1:6" x14ac:dyDescent="0.2">
      <c r="A28" s="19">
        <v>24</v>
      </c>
      <c r="B28" s="181" t="s">
        <v>21</v>
      </c>
      <c r="C28" s="182"/>
      <c r="D28" s="14">
        <f t="shared" si="0"/>
        <v>105028</v>
      </c>
      <c r="E28" s="17">
        <f t="shared" si="1"/>
        <v>1205085.4270614455</v>
      </c>
      <c r="F28" s="21">
        <f t="shared" si="2"/>
        <v>11.47</v>
      </c>
    </row>
    <row r="29" spans="1:6" x14ac:dyDescent="0.2">
      <c r="A29" s="19">
        <v>25</v>
      </c>
      <c r="B29" s="181" t="s">
        <v>22</v>
      </c>
      <c r="C29" s="182"/>
      <c r="D29" s="14">
        <f t="shared" si="0"/>
        <v>506064</v>
      </c>
      <c r="E29" s="17">
        <f t="shared" si="1"/>
        <v>3638571.5587121858</v>
      </c>
      <c r="F29" s="21">
        <f t="shared" si="2"/>
        <v>7.19</v>
      </c>
    </row>
    <row r="30" spans="1:6" x14ac:dyDescent="0.2">
      <c r="A30" s="19">
        <v>26</v>
      </c>
      <c r="B30" s="181" t="s">
        <v>23</v>
      </c>
      <c r="C30" s="182"/>
      <c r="D30" s="14">
        <f t="shared" si="0"/>
        <v>175808</v>
      </c>
      <c r="E30" s="17">
        <f t="shared" si="1"/>
        <v>1310490.4700157922</v>
      </c>
      <c r="F30" s="21">
        <f t="shared" si="2"/>
        <v>7.45</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3088209</v>
      </c>
      <c r="E33" s="31">
        <f>SUM(E5:E32)</f>
        <v>25732711</v>
      </c>
      <c r="F33" s="32">
        <f t="shared" si="2"/>
        <v>8.33</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IF(F3="1",SUMIF(Data!A:A,'43'!$A$2,Data!CU:CU),0)</f>
        <v>0</v>
      </c>
      <c r="E36" s="15">
        <f>IF(F3="1",SUMIF(Data!$A:$A,$A$2,Data!IO:IO),0)</f>
        <v>0</v>
      </c>
      <c r="F36" s="20" t="str">
        <f t="shared" ref="F36:F64" si="3">IF(OR(D36=0,E36=0),"",ROUND(E36/D36,2))</f>
        <v/>
      </c>
    </row>
    <row r="37" spans="1:6" x14ac:dyDescent="0.2">
      <c r="A37" s="19">
        <v>2</v>
      </c>
      <c r="B37" s="181" t="s">
        <v>1</v>
      </c>
      <c r="C37" s="182"/>
      <c r="D37" s="14">
        <f>IF(F3="1",SUMIF(Data!A:A,'43'!$A$2,Data!CV:CV),0)</f>
        <v>34909</v>
      </c>
      <c r="E37" s="17">
        <f>IF(F3="1",SUMIF(Data!$A:$A,$A$2,Data!IP:IP),0)</f>
        <v>8223</v>
      </c>
      <c r="F37" s="21">
        <f t="shared" si="3"/>
        <v>0.24</v>
      </c>
    </row>
    <row r="38" spans="1:6" ht="14.25" customHeight="1" x14ac:dyDescent="0.2">
      <c r="A38" s="19">
        <v>3</v>
      </c>
      <c r="B38" s="181" t="s">
        <v>2</v>
      </c>
      <c r="C38" s="182"/>
      <c r="D38" s="14">
        <f>IF(F3="1",SUMIF(Data!A:A,'43'!$A$2,Data!CW:CW),0)</f>
        <v>289472</v>
      </c>
      <c r="E38" s="17">
        <f>IF($F$3="1",SUMIF(Data!$A:$A,$A$2,Data!IQ:IQ),0)</f>
        <v>193031</v>
      </c>
      <c r="F38" s="21">
        <f t="shared" si="3"/>
        <v>0.67</v>
      </c>
    </row>
    <row r="39" spans="1:6" ht="14.25" customHeight="1" x14ac:dyDescent="0.2">
      <c r="A39" s="19">
        <v>4</v>
      </c>
      <c r="B39" s="181" t="s">
        <v>3</v>
      </c>
      <c r="C39" s="182"/>
      <c r="D39" s="14">
        <f>IF(F3="1",SUMIF(Data!A:A,'43'!$A$2,Data!CX:CX),0)</f>
        <v>174022</v>
      </c>
      <c r="E39" s="17">
        <f>IF($F$3="1",SUMIF(Data!$A:$A,$A$2,Data!IR:IR),0)</f>
        <v>92033</v>
      </c>
      <c r="F39" s="21">
        <f t="shared" si="3"/>
        <v>0.53</v>
      </c>
    </row>
    <row r="40" spans="1:6" x14ac:dyDescent="0.2">
      <c r="A40" s="19">
        <v>5</v>
      </c>
      <c r="B40" s="181" t="s">
        <v>4</v>
      </c>
      <c r="C40" s="182"/>
      <c r="D40" s="14">
        <f>IF(F3="1",SUMIF(Data!A:A,'43'!$A$2,Data!CY:CY),0)</f>
        <v>0</v>
      </c>
      <c r="E40" s="17">
        <f>IF($F$3="1",SUMIF(Data!$A:$A,$A$2,Data!IS:IS),0)</f>
        <v>0</v>
      </c>
      <c r="F40" s="21" t="str">
        <f t="shared" si="3"/>
        <v/>
      </c>
    </row>
    <row r="41" spans="1:6" x14ac:dyDescent="0.2">
      <c r="A41" s="19">
        <v>6</v>
      </c>
      <c r="B41" s="181" t="s">
        <v>5</v>
      </c>
      <c r="C41" s="182"/>
      <c r="D41" s="14">
        <f>IF(F3="1",SUMIF(Data!A:A,'43'!$A$2,Data!CZ:CZ),0)</f>
        <v>912</v>
      </c>
      <c r="E41" s="17">
        <f>IF($F$3="1",SUMIF(Data!$A:$A,$A$2,Data!IT:IT),0)</f>
        <v>542</v>
      </c>
      <c r="F41" s="21">
        <f t="shared" si="3"/>
        <v>0.59</v>
      </c>
    </row>
    <row r="42" spans="1:6" x14ac:dyDescent="0.2">
      <c r="A42" s="19">
        <v>7</v>
      </c>
      <c r="B42" s="181" t="s">
        <v>6</v>
      </c>
      <c r="C42" s="182"/>
      <c r="D42" s="14">
        <f>IF(F3="1",SUMIF(Data!A:A,'43'!$A$2,Data!DA:DA),0)</f>
        <v>101224</v>
      </c>
      <c r="E42" s="17">
        <f>IF($F$3="1",SUMIF(Data!$A:$A,$A$2,Data!IU:IU),0)</f>
        <v>63340</v>
      </c>
      <c r="F42" s="21">
        <f t="shared" si="3"/>
        <v>0.63</v>
      </c>
    </row>
    <row r="43" spans="1:6" x14ac:dyDescent="0.2">
      <c r="A43" s="19">
        <v>8</v>
      </c>
      <c r="B43" s="181" t="s">
        <v>7</v>
      </c>
      <c r="C43" s="182"/>
      <c r="D43" s="14">
        <f>IF(F3="1",SUMIF(Data!A:A,'43'!$A$2,Data!DB:DB),0)</f>
        <v>18096</v>
      </c>
      <c r="E43" s="17">
        <f>IF($F$3="1",SUMIF(Data!$A:$A,$A$2,Data!IV:IV),0)</f>
        <v>6803</v>
      </c>
      <c r="F43" s="21">
        <f t="shared" si="3"/>
        <v>0.38</v>
      </c>
    </row>
    <row r="44" spans="1:6" x14ac:dyDescent="0.2">
      <c r="A44" s="19">
        <v>9</v>
      </c>
      <c r="B44" s="181" t="s">
        <v>8</v>
      </c>
      <c r="C44" s="182"/>
      <c r="D44" s="14">
        <f>IF(F3="1",SUMIF(Data!A:A,'43'!$A$2,Data!DC:DC),0)</f>
        <v>68206</v>
      </c>
      <c r="E44" s="17">
        <f>IF($F$3="1",SUMIF(Data!$A:$A,$A$2,Data!IW:IW),0)</f>
        <v>45999</v>
      </c>
      <c r="F44" s="21">
        <f t="shared" si="3"/>
        <v>0.67</v>
      </c>
    </row>
    <row r="45" spans="1:6" x14ac:dyDescent="0.2">
      <c r="A45" s="19">
        <v>10</v>
      </c>
      <c r="B45" s="181" t="s">
        <v>9</v>
      </c>
      <c r="C45" s="182"/>
      <c r="D45" s="14">
        <f>IF(F3="1",SUMIF(Data!A:A,'43'!$A$2,Data!DD:DD),0)</f>
        <v>2064</v>
      </c>
      <c r="E45" s="17">
        <f>IF($F$3="1",SUMIF(Data!$A:$A,$A$2,Data!IX:IX),0)</f>
        <v>2274</v>
      </c>
      <c r="F45" s="21">
        <f t="shared" si="3"/>
        <v>1.1000000000000001</v>
      </c>
    </row>
    <row r="46" spans="1:6" x14ac:dyDescent="0.2">
      <c r="A46" s="19">
        <v>11</v>
      </c>
      <c r="B46" s="181" t="s">
        <v>10</v>
      </c>
      <c r="C46" s="182"/>
      <c r="D46" s="14">
        <f>IF(F3="1",SUMIF(Data!A:A,'43'!$A$2,Data!DE:DE),0)</f>
        <v>75312</v>
      </c>
      <c r="E46" s="17">
        <f>IF($F$3="1",SUMIF(Data!$A:$A,$A$2,Data!IY:IY),0)</f>
        <v>26382</v>
      </c>
      <c r="F46" s="21">
        <f t="shared" si="3"/>
        <v>0.35</v>
      </c>
    </row>
    <row r="47" spans="1:6" ht="14.25" customHeight="1" x14ac:dyDescent="0.2">
      <c r="A47" s="19">
        <v>12</v>
      </c>
      <c r="B47" s="181" t="s">
        <v>11</v>
      </c>
      <c r="C47" s="182"/>
      <c r="D47" s="14">
        <f>IF(F3="1",SUMIF(Data!A:A,'43'!$A$2,Data!DF:DF),0)</f>
        <v>570996</v>
      </c>
      <c r="E47" s="17">
        <f>IF($F$3="1",SUMIF(Data!$A:$A,$A$2,Data!IZ:IZ),0)</f>
        <v>96443</v>
      </c>
      <c r="F47" s="21">
        <f t="shared" si="3"/>
        <v>0.17</v>
      </c>
    </row>
    <row r="48" spans="1:6" x14ac:dyDescent="0.2">
      <c r="A48" s="19">
        <v>13</v>
      </c>
      <c r="B48" s="181" t="s">
        <v>12</v>
      </c>
      <c r="C48" s="182"/>
      <c r="D48" s="14">
        <f>IF(F3="1",SUMIF(Data!A:A,'43'!$A$2,Data!DG:DG),0)</f>
        <v>132432</v>
      </c>
      <c r="E48" s="17">
        <f>IF($F$3="1",SUMIF(Data!$A:$A,$A$2,Data!JA:JA),0)</f>
        <v>23339</v>
      </c>
      <c r="F48" s="21">
        <f t="shared" si="3"/>
        <v>0.18</v>
      </c>
    </row>
    <row r="49" spans="1:6" ht="14.25" customHeight="1" x14ac:dyDescent="0.2">
      <c r="A49" s="19">
        <v>14</v>
      </c>
      <c r="B49" s="181" t="s">
        <v>464</v>
      </c>
      <c r="C49" s="182"/>
      <c r="D49" s="14">
        <f>IF(F3="1",SUMIF(Data!A:A,'43'!$A$2,Data!DH:DH),0)</f>
        <v>77120</v>
      </c>
      <c r="E49" s="17">
        <f>IF($F$3="1",SUMIF(Data!$A:$A,$A$2,Data!JB:JB),0)</f>
        <v>47491</v>
      </c>
      <c r="F49" s="21">
        <f t="shared" si="3"/>
        <v>0.62</v>
      </c>
    </row>
    <row r="50" spans="1:6" x14ac:dyDescent="0.2">
      <c r="A50" s="19">
        <v>15</v>
      </c>
      <c r="B50" s="181" t="s">
        <v>13</v>
      </c>
      <c r="C50" s="182"/>
      <c r="D50" s="14">
        <f>IF(F3="1",SUMIF(Data!A:A,'43'!$A$2,Data!DI:DI),0)</f>
        <v>0</v>
      </c>
      <c r="E50" s="17">
        <f>IF($F$3="1",SUMIF(Data!$A:$A,$A$2,Data!JC:JC),0)</f>
        <v>0</v>
      </c>
      <c r="F50" s="21" t="str">
        <f t="shared" si="3"/>
        <v/>
      </c>
    </row>
    <row r="51" spans="1:6" x14ac:dyDescent="0.2">
      <c r="A51" s="19">
        <v>16</v>
      </c>
      <c r="B51" s="181" t="s">
        <v>14</v>
      </c>
      <c r="C51" s="182"/>
      <c r="D51" s="14">
        <f>IF(F3="1",SUMIF(Data!A:A,'43'!$A$2,Data!DJ:DJ),0)</f>
        <v>128494</v>
      </c>
      <c r="E51" s="17">
        <f>IF($F$3="1",SUMIF(Data!$A:$A,$A$2,Data!JD:JD),0)</f>
        <v>99213</v>
      </c>
      <c r="F51" s="21">
        <f t="shared" si="3"/>
        <v>0.77</v>
      </c>
    </row>
    <row r="52" spans="1:6" x14ac:dyDescent="0.2">
      <c r="A52" s="19">
        <v>17</v>
      </c>
      <c r="B52" s="181" t="s">
        <v>15</v>
      </c>
      <c r="C52" s="182"/>
      <c r="D52" s="14">
        <f>IF(F3="1",SUMIF(Data!A:A,'43'!$A$2,Data!DK:DK),0)</f>
        <v>20304</v>
      </c>
      <c r="E52" s="17">
        <f>IF($F$3="1",SUMIF(Data!$A:$A,$A$2,Data!JE:JE),0)</f>
        <v>45770</v>
      </c>
      <c r="F52" s="21">
        <f t="shared" si="3"/>
        <v>2.25</v>
      </c>
    </row>
    <row r="53" spans="1:6" x14ac:dyDescent="0.2">
      <c r="A53" s="19">
        <v>18</v>
      </c>
      <c r="B53" s="181" t="s">
        <v>16</v>
      </c>
      <c r="C53" s="182"/>
      <c r="D53" s="14">
        <f>IF(F3="1",SUMIF(Data!A:A,'43'!$A$2,Data!DL:DL),0)</f>
        <v>66192</v>
      </c>
      <c r="E53" s="17">
        <f>IF($F$3="1",SUMIF(Data!$A:$A,$A$2,Data!JF:JF),0)</f>
        <v>4178</v>
      </c>
      <c r="F53" s="21">
        <f t="shared" si="3"/>
        <v>0.06</v>
      </c>
    </row>
    <row r="54" spans="1:6" x14ac:dyDescent="0.2">
      <c r="A54" s="19">
        <v>19</v>
      </c>
      <c r="B54" s="181" t="s">
        <v>17</v>
      </c>
      <c r="C54" s="182"/>
      <c r="D54" s="14">
        <f>IF(F3="1",SUMIF(Data!A:A,'43'!$A$2,Data!DM:DM),0)</f>
        <v>397668</v>
      </c>
      <c r="E54" s="17">
        <f>IF($F$3="1",SUMIF(Data!$A:$A,$A$2,Data!JG:JG),0)</f>
        <v>73165</v>
      </c>
      <c r="F54" s="21">
        <f t="shared" si="3"/>
        <v>0.18</v>
      </c>
    </row>
    <row r="55" spans="1:6" x14ac:dyDescent="0.2">
      <c r="A55" s="19">
        <v>20</v>
      </c>
      <c r="B55" s="181" t="s">
        <v>18</v>
      </c>
      <c r="C55" s="182"/>
      <c r="D55" s="14">
        <f>IF(F3="1",SUMIF(Data!A:A,'43'!$A$2,Data!DN:DN),0)</f>
        <v>64208</v>
      </c>
      <c r="E55" s="17">
        <f>IF($F$3="1",SUMIF(Data!$A:$A,$A$2,Data!JH:JH),0)</f>
        <v>8045</v>
      </c>
      <c r="F55" s="21">
        <f t="shared" si="3"/>
        <v>0.13</v>
      </c>
    </row>
    <row r="56" spans="1:6" ht="14.25" customHeight="1" x14ac:dyDescent="0.2">
      <c r="A56" s="19">
        <v>21</v>
      </c>
      <c r="B56" s="181" t="s">
        <v>461</v>
      </c>
      <c r="C56" s="182"/>
      <c r="D56" s="14">
        <f>IF(F3="1",SUMIF(Data!A:A,'43'!$A$2,Data!DO:DO),0)</f>
        <v>8254</v>
      </c>
      <c r="E56" s="17">
        <f>IF($F$3="1",SUMIF(Data!$A:$A,$A$2,Data!JI:JI),0)</f>
        <v>16960</v>
      </c>
      <c r="F56" s="21">
        <f t="shared" si="3"/>
        <v>2.0499999999999998</v>
      </c>
    </row>
    <row r="57" spans="1:6" x14ac:dyDescent="0.2">
      <c r="A57" s="19">
        <v>22</v>
      </c>
      <c r="B57" s="181" t="s">
        <v>19</v>
      </c>
      <c r="C57" s="182"/>
      <c r="D57" s="14">
        <f>IF(F3="1",SUMIF(Data!A:A,'43'!$A$2,Data!DP:DP),0)</f>
        <v>12544</v>
      </c>
      <c r="E57" s="17">
        <f>IF($F$3="1",SUMIF(Data!$A:$A,$A$2,Data!JJ:JJ),0)</f>
        <v>6080</v>
      </c>
      <c r="F57" s="21">
        <f t="shared" si="3"/>
        <v>0.48</v>
      </c>
    </row>
    <row r="58" spans="1:6" x14ac:dyDescent="0.2">
      <c r="A58" s="19">
        <v>23</v>
      </c>
      <c r="B58" s="181" t="s">
        <v>20</v>
      </c>
      <c r="C58" s="182"/>
      <c r="D58" s="14">
        <f>IF(F3="1",SUMIF(Data!A:A,'43'!$A$2,Data!DQ:DQ),0)</f>
        <v>58880</v>
      </c>
      <c r="E58" s="17">
        <f>IF($F$3="1",SUMIF(Data!$A:$A,$A$2,Data!JK:JK),0)</f>
        <v>77735</v>
      </c>
      <c r="F58" s="21">
        <f t="shared" si="3"/>
        <v>1.32</v>
      </c>
    </row>
    <row r="59" spans="1:6" x14ac:dyDescent="0.2">
      <c r="A59" s="19">
        <v>24</v>
      </c>
      <c r="B59" s="181" t="s">
        <v>21</v>
      </c>
      <c r="C59" s="182"/>
      <c r="D59" s="14">
        <f>IF(F3="1",SUMIF(Data!A:A,'43'!$A$2,Data!DR:DR),0)</f>
        <v>105028</v>
      </c>
      <c r="E59" s="17">
        <f>IF($F$3="1",SUMIF(Data!$A:$A,$A$2,Data!JL:JL),0)</f>
        <v>38775</v>
      </c>
      <c r="F59" s="21">
        <f t="shared" si="3"/>
        <v>0.37</v>
      </c>
    </row>
    <row r="60" spans="1:6" x14ac:dyDescent="0.2">
      <c r="A60" s="19">
        <v>25</v>
      </c>
      <c r="B60" s="181" t="s">
        <v>22</v>
      </c>
      <c r="C60" s="182"/>
      <c r="D60" s="14">
        <f>IF(F3="1",SUMIF(Data!A:A,'43'!$A$2,Data!DS:DS),0)</f>
        <v>506064</v>
      </c>
      <c r="E60" s="17">
        <f>IF($F$3="1",SUMIF(Data!$A:$A,$A$2,Data!JM:JM),0)</f>
        <v>57730</v>
      </c>
      <c r="F60" s="21">
        <f t="shared" si="3"/>
        <v>0.11</v>
      </c>
    </row>
    <row r="61" spans="1:6" x14ac:dyDescent="0.2">
      <c r="A61" s="19">
        <v>26</v>
      </c>
      <c r="B61" s="181" t="s">
        <v>23</v>
      </c>
      <c r="C61" s="182"/>
      <c r="D61" s="14">
        <f>IF(F3="1",SUMIF(Data!A:A,'43'!$A$2,Data!DT:DT),0)</f>
        <v>175808</v>
      </c>
      <c r="E61" s="17">
        <f>IF($F$3="1",SUMIF(Data!$A:$A,$A$2,Data!JN:JN),0)</f>
        <v>55367</v>
      </c>
      <c r="F61" s="21">
        <f t="shared" si="3"/>
        <v>0.31</v>
      </c>
    </row>
    <row r="62" spans="1:6" x14ac:dyDescent="0.2">
      <c r="A62" s="19">
        <v>28</v>
      </c>
      <c r="B62" s="181" t="s">
        <v>24</v>
      </c>
      <c r="C62" s="182"/>
      <c r="D62" s="14">
        <f>IF(F3="1",SUMIF(Data!A:A,'43'!$A$2,Data!DV:DV),0)</f>
        <v>0</v>
      </c>
      <c r="E62" s="17">
        <f>IF($F$3="1",SUMIF(Data!$A:$A,$A$2,Data!JP:JP),0)</f>
        <v>0</v>
      </c>
      <c r="F62" s="21" t="str">
        <f t="shared" si="3"/>
        <v/>
      </c>
    </row>
    <row r="63" spans="1:6" ht="15.75" customHeight="1" thickBot="1" x14ac:dyDescent="0.25">
      <c r="A63" s="22">
        <v>29</v>
      </c>
      <c r="B63" s="183" t="s">
        <v>25</v>
      </c>
      <c r="C63" s="184"/>
      <c r="D63" s="23">
        <f>IF(F3="1",SUMIF(Data!A:A,'43'!$A$2,Data!DW:DW),0)</f>
        <v>0</v>
      </c>
      <c r="E63" s="24">
        <f>IF($F$3="1",SUMIF(Data!$A:$A,$A$2,Data!JQ:JQ),0)</f>
        <v>0</v>
      </c>
      <c r="F63" s="25" t="str">
        <f t="shared" si="3"/>
        <v/>
      </c>
    </row>
    <row r="64" spans="1:6" x14ac:dyDescent="0.2">
      <c r="B64" s="30" t="s">
        <v>35</v>
      </c>
      <c r="C64" s="30"/>
      <c r="D64" s="59">
        <f>SUM(D36:D63)</f>
        <v>3088209</v>
      </c>
      <c r="E64" s="31">
        <f>SUM(E36:E63)</f>
        <v>1088918</v>
      </c>
      <c r="F64" s="32">
        <f t="shared" si="3"/>
        <v>0.35</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IF(F3="1",SUMIF(Data!A:A,'43'!$A$2,Data!DY:DY),0)</f>
        <v>0</v>
      </c>
      <c r="F67" s="20" t="str">
        <f t="shared" ref="F67:F95" si="4">IF(OR(D67=0,E67=0),"",ROUND(E67/D67,2))</f>
        <v/>
      </c>
    </row>
    <row r="68" spans="1:6" x14ac:dyDescent="0.2">
      <c r="A68" s="19">
        <v>2</v>
      </c>
      <c r="B68" s="181" t="s">
        <v>1</v>
      </c>
      <c r="C68" s="182"/>
      <c r="D68" s="14">
        <f t="shared" ref="D68:D94" si="5">D37</f>
        <v>34909</v>
      </c>
      <c r="E68" s="17">
        <f>IF(F3="1",SUMIF(Data!A:A,'43'!$A$2,Data!DZ:DZ),0)</f>
        <v>92702</v>
      </c>
      <c r="F68" s="21">
        <f t="shared" si="4"/>
        <v>2.66</v>
      </c>
    </row>
    <row r="69" spans="1:6" ht="14.25" customHeight="1" x14ac:dyDescent="0.2">
      <c r="A69" s="19">
        <v>3</v>
      </c>
      <c r="B69" s="181" t="s">
        <v>2</v>
      </c>
      <c r="C69" s="182"/>
      <c r="D69" s="14">
        <f t="shared" si="5"/>
        <v>289472</v>
      </c>
      <c r="E69" s="17">
        <f>IF(F3="1",SUMIF(Data!A:A,'43'!$A$2,Data!EA:EA),0)</f>
        <v>926789</v>
      </c>
      <c r="F69" s="21">
        <f t="shared" si="4"/>
        <v>3.2</v>
      </c>
    </row>
    <row r="70" spans="1:6" ht="14.25" customHeight="1" x14ac:dyDescent="0.2">
      <c r="A70" s="19">
        <v>4</v>
      </c>
      <c r="B70" s="181" t="s">
        <v>3</v>
      </c>
      <c r="C70" s="182"/>
      <c r="D70" s="14">
        <f t="shared" si="5"/>
        <v>174022</v>
      </c>
      <c r="E70" s="17">
        <f>IF(F3="1",SUMIF(Data!A:A,'43'!$A$2,Data!EB:EB),0)</f>
        <v>1384226</v>
      </c>
      <c r="F70" s="21">
        <f t="shared" si="4"/>
        <v>7.95</v>
      </c>
    </row>
    <row r="71" spans="1:6" x14ac:dyDescent="0.2">
      <c r="A71" s="19">
        <v>5</v>
      </c>
      <c r="B71" s="181" t="s">
        <v>4</v>
      </c>
      <c r="C71" s="182"/>
      <c r="D71" s="14">
        <f t="shared" si="5"/>
        <v>0</v>
      </c>
      <c r="E71" s="17">
        <f>IF(F3="1",SUMIF(Data!A:A,'43'!$A$2,Data!EC:EC),0)</f>
        <v>0</v>
      </c>
      <c r="F71" s="21" t="str">
        <f t="shared" si="4"/>
        <v/>
      </c>
    </row>
    <row r="72" spans="1:6" x14ac:dyDescent="0.2">
      <c r="A72" s="19">
        <v>6</v>
      </c>
      <c r="B72" s="181" t="s">
        <v>5</v>
      </c>
      <c r="C72" s="182"/>
      <c r="D72" s="14">
        <f t="shared" si="5"/>
        <v>912</v>
      </c>
      <c r="E72" s="17">
        <f>IF(F3="1",SUMIF(Data!A:A,'43'!$A$2,Data!ED:ED),0)</f>
        <v>11061</v>
      </c>
      <c r="F72" s="21">
        <f t="shared" si="4"/>
        <v>12.13</v>
      </c>
    </row>
    <row r="73" spans="1:6" x14ac:dyDescent="0.2">
      <c r="A73" s="19">
        <v>7</v>
      </c>
      <c r="B73" s="181" t="s">
        <v>6</v>
      </c>
      <c r="C73" s="182"/>
      <c r="D73" s="14">
        <f t="shared" si="5"/>
        <v>101224</v>
      </c>
      <c r="E73" s="17">
        <f>IF(F3="1",SUMIF(Data!A:A,'43'!$A$2,Data!EE:EE),0)</f>
        <v>253397</v>
      </c>
      <c r="F73" s="21">
        <f t="shared" si="4"/>
        <v>2.5</v>
      </c>
    </row>
    <row r="74" spans="1:6" x14ac:dyDescent="0.2">
      <c r="A74" s="19">
        <v>8</v>
      </c>
      <c r="B74" s="181" t="s">
        <v>7</v>
      </c>
      <c r="C74" s="182"/>
      <c r="D74" s="14">
        <f t="shared" si="5"/>
        <v>18096</v>
      </c>
      <c r="E74" s="17">
        <f>IF(F3="1",SUMIF(Data!A:A,'43'!$A$2,Data!EF:EF),0)</f>
        <v>64145</v>
      </c>
      <c r="F74" s="21">
        <f t="shared" si="4"/>
        <v>3.54</v>
      </c>
    </row>
    <row r="75" spans="1:6" x14ac:dyDescent="0.2">
      <c r="A75" s="19">
        <v>9</v>
      </c>
      <c r="B75" s="181" t="s">
        <v>8</v>
      </c>
      <c r="C75" s="182"/>
      <c r="D75" s="14">
        <f t="shared" si="5"/>
        <v>68206</v>
      </c>
      <c r="E75" s="17">
        <f>IF(F3="1",SUMIF(Data!A:A,'43'!$A$2,Data!EG:EG),0)</f>
        <v>197561</v>
      </c>
      <c r="F75" s="21">
        <f t="shared" si="4"/>
        <v>2.9</v>
      </c>
    </row>
    <row r="76" spans="1:6" x14ac:dyDescent="0.2">
      <c r="A76" s="19">
        <v>10</v>
      </c>
      <c r="B76" s="181" t="s">
        <v>9</v>
      </c>
      <c r="C76" s="182"/>
      <c r="D76" s="14">
        <f t="shared" si="5"/>
        <v>2064</v>
      </c>
      <c r="E76" s="17">
        <f>IF(F3="1",SUMIF(Data!A:A,'43'!$A$2,Data!EH:EH),0)</f>
        <v>27582</v>
      </c>
      <c r="F76" s="21">
        <f t="shared" si="4"/>
        <v>13.36</v>
      </c>
    </row>
    <row r="77" spans="1:6" x14ac:dyDescent="0.2">
      <c r="A77" s="19">
        <v>11</v>
      </c>
      <c r="B77" s="181" t="s">
        <v>10</v>
      </c>
      <c r="C77" s="182"/>
      <c r="D77" s="14">
        <f t="shared" si="5"/>
        <v>75312</v>
      </c>
      <c r="E77" s="17">
        <f>IF(F3="1",SUMIF(Data!A:A,'43'!$A$2,Data!EI:EI),0)</f>
        <v>252450</v>
      </c>
      <c r="F77" s="21">
        <f t="shared" si="4"/>
        <v>3.35</v>
      </c>
    </row>
    <row r="78" spans="1:6" ht="14.25" customHeight="1" x14ac:dyDescent="0.2">
      <c r="A78" s="19">
        <v>12</v>
      </c>
      <c r="B78" s="181" t="s">
        <v>11</v>
      </c>
      <c r="C78" s="182"/>
      <c r="D78" s="14">
        <f t="shared" si="5"/>
        <v>570996</v>
      </c>
      <c r="E78" s="17">
        <f>IF(F3="1",SUMIF(Data!A:A,'43'!$A$2,Data!EJ:EJ),0)</f>
        <v>1107481</v>
      </c>
      <c r="F78" s="21">
        <f t="shared" si="4"/>
        <v>1.94</v>
      </c>
    </row>
    <row r="79" spans="1:6" x14ac:dyDescent="0.2">
      <c r="A79" s="19">
        <v>13</v>
      </c>
      <c r="B79" s="181" t="s">
        <v>12</v>
      </c>
      <c r="C79" s="182"/>
      <c r="D79" s="14">
        <f t="shared" si="5"/>
        <v>132432</v>
      </c>
      <c r="E79" s="17">
        <f>IF(F3="1",SUMIF(Data!A:A,'43'!$A$2,Data!EK:EK),0)</f>
        <v>287985</v>
      </c>
      <c r="F79" s="21">
        <f t="shared" si="4"/>
        <v>2.17</v>
      </c>
    </row>
    <row r="80" spans="1:6" ht="14.25" customHeight="1" x14ac:dyDescent="0.2">
      <c r="A80" s="19">
        <v>14</v>
      </c>
      <c r="B80" s="181" t="s">
        <v>464</v>
      </c>
      <c r="C80" s="182"/>
      <c r="D80" s="14">
        <f t="shared" si="5"/>
        <v>77120</v>
      </c>
      <c r="E80" s="17">
        <f>IF(F3="1",SUMIF(Data!A:A,'43'!$A$2,Data!EL:EL),0)</f>
        <v>484039</v>
      </c>
      <c r="F80" s="21">
        <f t="shared" si="4"/>
        <v>6.28</v>
      </c>
    </row>
    <row r="81" spans="1:6" x14ac:dyDescent="0.2">
      <c r="A81" s="19">
        <v>15</v>
      </c>
      <c r="B81" s="181" t="s">
        <v>13</v>
      </c>
      <c r="C81" s="182"/>
      <c r="D81" s="14">
        <f t="shared" si="5"/>
        <v>0</v>
      </c>
      <c r="E81" s="17">
        <f>IF(F3="1",SUMIF(Data!A:A,'43'!$A$2,Data!EM:EM),0)</f>
        <v>0</v>
      </c>
      <c r="F81" s="21" t="str">
        <f t="shared" si="4"/>
        <v/>
      </c>
    </row>
    <row r="82" spans="1:6" x14ac:dyDescent="0.2">
      <c r="A82" s="19">
        <v>16</v>
      </c>
      <c r="B82" s="181" t="s">
        <v>14</v>
      </c>
      <c r="C82" s="182"/>
      <c r="D82" s="14">
        <f t="shared" si="5"/>
        <v>128494</v>
      </c>
      <c r="E82" s="17">
        <f>IF(F3="1",SUMIF(Data!A:A,'43'!$A$2,Data!EN:EN),0)</f>
        <v>689248</v>
      </c>
      <c r="F82" s="21">
        <f t="shared" si="4"/>
        <v>5.36</v>
      </c>
    </row>
    <row r="83" spans="1:6" x14ac:dyDescent="0.2">
      <c r="A83" s="19">
        <v>17</v>
      </c>
      <c r="B83" s="181" t="s">
        <v>15</v>
      </c>
      <c r="C83" s="182"/>
      <c r="D83" s="14">
        <f t="shared" si="5"/>
        <v>20304</v>
      </c>
      <c r="E83" s="17">
        <f>IF(F3="1",SUMIF(Data!A:A,'43'!$A$2,Data!EO:EO),0)</f>
        <v>184897</v>
      </c>
      <c r="F83" s="21">
        <f t="shared" si="4"/>
        <v>9.11</v>
      </c>
    </row>
    <row r="84" spans="1:6" x14ac:dyDescent="0.2">
      <c r="A84" s="19">
        <v>18</v>
      </c>
      <c r="B84" s="181" t="s">
        <v>16</v>
      </c>
      <c r="C84" s="182"/>
      <c r="D84" s="14">
        <f t="shared" si="5"/>
        <v>66192</v>
      </c>
      <c r="E84" s="17">
        <f>IF(F3="1",SUMIF(Data!A:A,'43'!$A$2,Data!EP:EP),0)</f>
        <v>85615</v>
      </c>
      <c r="F84" s="21">
        <f t="shared" si="4"/>
        <v>1.29</v>
      </c>
    </row>
    <row r="85" spans="1:6" x14ac:dyDescent="0.2">
      <c r="A85" s="19">
        <v>19</v>
      </c>
      <c r="B85" s="181" t="s">
        <v>17</v>
      </c>
      <c r="C85" s="182"/>
      <c r="D85" s="14">
        <f t="shared" si="5"/>
        <v>397668</v>
      </c>
      <c r="E85" s="17">
        <f>IF(F3="1",SUMIF(Data!A:A,'43'!$A$2,Data!EQ:EQ),0)</f>
        <v>1043416</v>
      </c>
      <c r="F85" s="21">
        <f t="shared" si="4"/>
        <v>2.62</v>
      </c>
    </row>
    <row r="86" spans="1:6" x14ac:dyDescent="0.2">
      <c r="A86" s="19">
        <v>20</v>
      </c>
      <c r="B86" s="181" t="s">
        <v>18</v>
      </c>
      <c r="C86" s="182"/>
      <c r="D86" s="14">
        <f t="shared" si="5"/>
        <v>64208</v>
      </c>
      <c r="E86" s="17">
        <f>IF(F3="1",SUMIF(Data!A:A,'43'!$A$2,Data!ER:ER),0)</f>
        <v>27194</v>
      </c>
      <c r="F86" s="21">
        <f t="shared" si="4"/>
        <v>0.42</v>
      </c>
    </row>
    <row r="87" spans="1:6" ht="14.25" customHeight="1" x14ac:dyDescent="0.2">
      <c r="A87" s="19">
        <v>21</v>
      </c>
      <c r="B87" s="181" t="s">
        <v>461</v>
      </c>
      <c r="C87" s="182"/>
      <c r="D87" s="14">
        <f t="shared" si="5"/>
        <v>8254</v>
      </c>
      <c r="E87" s="17">
        <f>IF(F3="1",SUMIF(Data!A:A,'43'!$A$2,Data!ES:ES),0)</f>
        <v>70143</v>
      </c>
      <c r="F87" s="21">
        <f t="shared" si="4"/>
        <v>8.5</v>
      </c>
    </row>
    <row r="88" spans="1:6" x14ac:dyDescent="0.2">
      <c r="A88" s="19">
        <v>22</v>
      </c>
      <c r="B88" s="181" t="s">
        <v>19</v>
      </c>
      <c r="C88" s="182"/>
      <c r="D88" s="14">
        <f t="shared" si="5"/>
        <v>12544</v>
      </c>
      <c r="E88" s="17">
        <f>IF(F3="1",SUMIF(Data!A:A,'43'!$A$2,Data!ET:ET),0)</f>
        <v>31663</v>
      </c>
      <c r="F88" s="21">
        <f t="shared" si="4"/>
        <v>2.52</v>
      </c>
    </row>
    <row r="89" spans="1:6" x14ac:dyDescent="0.2">
      <c r="A89" s="19">
        <v>23</v>
      </c>
      <c r="B89" s="181" t="s">
        <v>20</v>
      </c>
      <c r="C89" s="182"/>
      <c r="D89" s="14">
        <f t="shared" si="5"/>
        <v>58880</v>
      </c>
      <c r="E89" s="17">
        <f>IF(F3="1",SUMIF(Data!A:A,'43'!$A$2,Data!EU:EU),0)</f>
        <v>347368</v>
      </c>
      <c r="F89" s="21">
        <f t="shared" si="4"/>
        <v>5.9</v>
      </c>
    </row>
    <row r="90" spans="1:6" x14ac:dyDescent="0.2">
      <c r="A90" s="19">
        <v>24</v>
      </c>
      <c r="B90" s="181" t="s">
        <v>21</v>
      </c>
      <c r="C90" s="182"/>
      <c r="D90" s="14">
        <f t="shared" si="5"/>
        <v>105028</v>
      </c>
      <c r="E90" s="17">
        <f>IF(F3="1",SUMIF(Data!A:A,'43'!$A$2,Data!EV:EV),0)</f>
        <v>660977</v>
      </c>
      <c r="F90" s="21">
        <f t="shared" si="4"/>
        <v>6.29</v>
      </c>
    </row>
    <row r="91" spans="1:6" x14ac:dyDescent="0.2">
      <c r="A91" s="19">
        <v>25</v>
      </c>
      <c r="B91" s="181" t="s">
        <v>22</v>
      </c>
      <c r="C91" s="182"/>
      <c r="D91" s="14">
        <f t="shared" si="5"/>
        <v>506064</v>
      </c>
      <c r="E91" s="17">
        <f>IF(F3="1",SUMIF(Data!A:A,'43'!$A$2,Data!EW:EW),0)</f>
        <v>1145957</v>
      </c>
      <c r="F91" s="21">
        <f t="shared" si="4"/>
        <v>2.2599999999999998</v>
      </c>
    </row>
    <row r="92" spans="1:6" x14ac:dyDescent="0.2">
      <c r="A92" s="19">
        <v>26</v>
      </c>
      <c r="B92" s="181" t="s">
        <v>23</v>
      </c>
      <c r="C92" s="182"/>
      <c r="D92" s="14">
        <f t="shared" si="5"/>
        <v>175808</v>
      </c>
      <c r="E92" s="17">
        <f>IF(F3="1",SUMIF(Data!A:A,'43'!$A$2,Data!EX:EX),0)</f>
        <v>409238</v>
      </c>
      <c r="F92" s="21">
        <f t="shared" si="4"/>
        <v>2.33</v>
      </c>
    </row>
    <row r="93" spans="1:6" x14ac:dyDescent="0.2">
      <c r="A93" s="19">
        <v>28</v>
      </c>
      <c r="B93" s="181" t="s">
        <v>24</v>
      </c>
      <c r="C93" s="182"/>
      <c r="D93" s="14">
        <f t="shared" si="5"/>
        <v>0</v>
      </c>
      <c r="E93" s="17">
        <f>IF(F3="1",SUMIF(Data!A:A,'43'!$A$2,Data!EZ:EZ),0)</f>
        <v>0</v>
      </c>
      <c r="F93" s="21" t="str">
        <f t="shared" si="4"/>
        <v/>
      </c>
    </row>
    <row r="94" spans="1:6" ht="15.75" customHeight="1" thickBot="1" x14ac:dyDescent="0.25">
      <c r="A94" s="22">
        <v>29</v>
      </c>
      <c r="B94" s="183" t="s">
        <v>25</v>
      </c>
      <c r="C94" s="184"/>
      <c r="D94" s="23">
        <f t="shared" si="5"/>
        <v>0</v>
      </c>
      <c r="E94" s="24">
        <f>IF(F3="1",SUMIF(Data!A:A,'43'!$A$2,Data!FA:FA),0)</f>
        <v>0</v>
      </c>
      <c r="F94" s="25" t="str">
        <f t="shared" si="4"/>
        <v/>
      </c>
    </row>
    <row r="95" spans="1:6" x14ac:dyDescent="0.2">
      <c r="B95" s="30" t="s">
        <v>35</v>
      </c>
      <c r="C95" s="30"/>
      <c r="D95" s="59">
        <f>SUM(D67:D94)</f>
        <v>3088209</v>
      </c>
      <c r="E95" s="31">
        <f>SUM(E67:E94)</f>
        <v>9785134</v>
      </c>
      <c r="F95" s="32">
        <f t="shared" si="4"/>
        <v>3.17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IF(F3="1",SUMIF(Data!A:A,'43'!$A$2,Data!AH:AH),0)</f>
        <v>4558337</v>
      </c>
      <c r="F98" s="20">
        <f>IF(OR(E98=0,E98=0),"",ROUND(E98/$D$105,2))</f>
        <v>1.48</v>
      </c>
    </row>
    <row r="99" spans="2:6" x14ac:dyDescent="0.2">
      <c r="B99" s="187" t="s">
        <v>31</v>
      </c>
      <c r="C99" s="188"/>
      <c r="D99" s="36"/>
      <c r="E99" s="17">
        <f>IF(F3="1",SUMIF(Data!A:A,'43'!$A$2,Data!AI:AI),0)</f>
        <v>5002064</v>
      </c>
      <c r="F99" s="21">
        <f t="shared" ref="F99:F104" si="6">IF(OR(E99=0,E99=0),"",ROUND(E99/$D$105,2))</f>
        <v>1.62</v>
      </c>
    </row>
    <row r="100" spans="2:6" x14ac:dyDescent="0.2">
      <c r="B100" s="187" t="s">
        <v>1078</v>
      </c>
      <c r="C100" s="188"/>
      <c r="D100" s="36"/>
      <c r="E100" s="17">
        <f>IF(F3="1",SUMIF(Data!A:A,'43'!$A$2,Data!AJ:AJ),0)</f>
        <v>852651</v>
      </c>
      <c r="F100" s="21">
        <f t="shared" si="6"/>
        <v>0.28000000000000003</v>
      </c>
    </row>
    <row r="101" spans="2:6" x14ac:dyDescent="0.2">
      <c r="B101" s="187" t="s">
        <v>1079</v>
      </c>
      <c r="C101" s="188"/>
      <c r="D101" s="36"/>
      <c r="E101" s="17">
        <f>IF(F3="1",SUMIF(Data!A:A,'43'!$A$2,Data!AK:AK),0)</f>
        <v>959265</v>
      </c>
      <c r="F101" s="21">
        <f t="shared" si="6"/>
        <v>0.31</v>
      </c>
    </row>
    <row r="102" spans="2:6" x14ac:dyDescent="0.2">
      <c r="B102" s="187" t="s">
        <v>1080</v>
      </c>
      <c r="C102" s="188"/>
      <c r="D102" s="36"/>
      <c r="E102" s="17">
        <f>IF(F3="1",SUMIF(Data!A:A,'43'!$A$2,Data!AL:AL),0)</f>
        <v>0</v>
      </c>
      <c r="F102" s="21" t="str">
        <f t="shared" si="6"/>
        <v/>
      </c>
    </row>
    <row r="103" spans="2:6" x14ac:dyDescent="0.2">
      <c r="B103" s="189" t="s">
        <v>34</v>
      </c>
      <c r="C103" s="190"/>
      <c r="D103" s="36"/>
      <c r="E103" s="17">
        <f>IF(F3="1",SUMIF(Data!A:A,'43'!$A$2,Data!AM:AM),0)</f>
        <v>0</v>
      </c>
      <c r="F103" s="21" t="str">
        <f t="shared" si="6"/>
        <v/>
      </c>
    </row>
    <row r="104" spans="2:6" ht="15.75" customHeight="1" thickBot="1" x14ac:dyDescent="0.25">
      <c r="B104" s="179" t="s">
        <v>29</v>
      </c>
      <c r="C104" s="180"/>
      <c r="D104" s="37"/>
      <c r="E104" s="24">
        <f>IF(F3="1",SUMIF(Data!A:A,'43'!$A$2,Data!Q:Q),0)</f>
        <v>3486342</v>
      </c>
      <c r="F104" s="25">
        <f t="shared" si="6"/>
        <v>1.1299999999999999</v>
      </c>
    </row>
    <row r="105" spans="2:6" x14ac:dyDescent="0.2">
      <c r="B105" s="30" t="s">
        <v>35</v>
      </c>
      <c r="C105" s="30"/>
      <c r="D105" s="34">
        <f>D95</f>
        <v>3088209</v>
      </c>
      <c r="E105" s="31">
        <f>SUM(E98:E104)</f>
        <v>14858659</v>
      </c>
      <c r="F105" s="32">
        <f>IF($D$105=0,"",ROUND(E105/$D$105,2))</f>
        <v>4.8099999999999996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9785134</v>
      </c>
      <c r="D109" s="15">
        <f>IF(F3="1",SUMIF(Data!$A:$A,$A$2,Data!HJ:HJ),0)</f>
        <v>0</v>
      </c>
      <c r="E109" s="15">
        <f>IF(F3="1",SUMIF(Data!$A:$A,$A$2,Data!IN:IN),0)</f>
        <v>0</v>
      </c>
      <c r="F109" s="47">
        <f>SUM(C109:E109)</f>
        <v>9785134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3486342</v>
      </c>
      <c r="E117" s="52"/>
      <c r="F117" s="49">
        <f>SUM(C117:E117)</f>
        <v>3486342</v>
      </c>
    </row>
    <row r="118" spans="1:6" x14ac:dyDescent="0.2">
      <c r="B118" s="13" t="s">
        <v>35</v>
      </c>
      <c r="C118" s="4">
        <f>SUM(C109:C116)</f>
        <v>9785134</v>
      </c>
      <c r="D118" s="4">
        <f>SUM(D109:D116)</f>
        <v>0</v>
      </c>
      <c r="E118" s="4">
        <f>SUM(E109:E116)</f>
        <v>0</v>
      </c>
      <c r="F118" s="4">
        <f>SUM(F109:F116)</f>
        <v>9785134</v>
      </c>
    </row>
    <row r="119" spans="1:6" ht="15" thickBot="1" x14ac:dyDescent="0.25"/>
    <row r="120" spans="1:6" ht="15" thickBot="1" x14ac:dyDescent="0.25">
      <c r="B120" s="55" t="s">
        <v>934</v>
      </c>
      <c r="C120" s="53"/>
      <c r="D120" s="53"/>
      <c r="E120" s="53">
        <f>IF(F3="1",SUMIF(Data!A:A,'43'!$A$2,Data!AM:AM),0)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370</v>
      </c>
      <c r="B2" s="58" t="str">
        <f>VLOOKUP(A2,Data!A:G,7,0)</f>
        <v>Trinity Valley Community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63312</v>
      </c>
      <c r="E5" s="15">
        <f>E36+E67+IFERROR($E$105/$D$105*D5,0)</f>
        <v>390422.41274208279</v>
      </c>
      <c r="F5" s="20">
        <f>IF(OR(D5=0,E5=0),"",ROUND(E5/D5,2))</f>
        <v>6.17</v>
      </c>
    </row>
    <row r="6" spans="1:6" x14ac:dyDescent="0.2">
      <c r="A6" s="19">
        <v>2</v>
      </c>
      <c r="B6" s="181" t="s">
        <v>1</v>
      </c>
      <c r="C6" s="182"/>
      <c r="D6" s="14">
        <f t="shared" ref="D6:D32" si="0">D37</f>
        <v>178944</v>
      </c>
      <c r="E6" s="17">
        <f t="shared" ref="E6:E32" si="1">E37+E68+IFERROR($E$105/$D$105*D6,0)</f>
        <v>915367.00508148945</v>
      </c>
      <c r="F6" s="21">
        <f t="shared" ref="F6:F33" si="2">IF(OR(D6=0,E6=0),"",ROUND(E6/D6,2))</f>
        <v>5.12</v>
      </c>
    </row>
    <row r="7" spans="1:6" ht="14.25" customHeight="1" x14ac:dyDescent="0.2">
      <c r="A7" s="19">
        <v>3</v>
      </c>
      <c r="B7" s="181" t="s">
        <v>2</v>
      </c>
      <c r="C7" s="182"/>
      <c r="D7" s="14">
        <f t="shared" si="0"/>
        <v>222832</v>
      </c>
      <c r="E7" s="17">
        <f t="shared" si="1"/>
        <v>1193596.5138385107</v>
      </c>
      <c r="F7" s="21">
        <f t="shared" si="2"/>
        <v>5.36</v>
      </c>
    </row>
    <row r="8" spans="1:6" ht="14.25" customHeight="1" x14ac:dyDescent="0.2">
      <c r="A8" s="19">
        <v>4</v>
      </c>
      <c r="B8" s="181" t="s">
        <v>3</v>
      </c>
      <c r="C8" s="182"/>
      <c r="D8" s="14">
        <f t="shared" si="0"/>
        <v>164295</v>
      </c>
      <c r="E8" s="17">
        <f t="shared" si="1"/>
        <v>1052237.7104729039</v>
      </c>
      <c r="F8" s="21">
        <f t="shared" si="2"/>
        <v>6.4</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14576</v>
      </c>
      <c r="E10" s="17">
        <f t="shared" si="1"/>
        <v>95177.220370997587</v>
      </c>
      <c r="F10" s="21">
        <f t="shared" si="2"/>
        <v>6.53</v>
      </c>
    </row>
    <row r="11" spans="1:6" x14ac:dyDescent="0.2">
      <c r="A11" s="19">
        <v>7</v>
      </c>
      <c r="B11" s="181" t="s">
        <v>6</v>
      </c>
      <c r="C11" s="182"/>
      <c r="D11" s="14">
        <f t="shared" si="0"/>
        <v>293649</v>
      </c>
      <c r="E11" s="17">
        <f t="shared" si="1"/>
        <v>1138774.873883306</v>
      </c>
      <c r="F11" s="21">
        <f t="shared" si="2"/>
        <v>3.88</v>
      </c>
    </row>
    <row r="12" spans="1:6" x14ac:dyDescent="0.2">
      <c r="A12" s="19">
        <v>8</v>
      </c>
      <c r="B12" s="181" t="s">
        <v>7</v>
      </c>
      <c r="C12" s="182"/>
      <c r="D12" s="14">
        <f t="shared" si="0"/>
        <v>65496</v>
      </c>
      <c r="E12" s="17">
        <f t="shared" si="1"/>
        <v>260387.483083072</v>
      </c>
      <c r="F12" s="21">
        <f t="shared" si="2"/>
        <v>3.98</v>
      </c>
    </row>
    <row r="13" spans="1:6" x14ac:dyDescent="0.2">
      <c r="A13" s="19">
        <v>9</v>
      </c>
      <c r="B13" s="181" t="s">
        <v>8</v>
      </c>
      <c r="C13" s="182"/>
      <c r="D13" s="14">
        <f t="shared" si="0"/>
        <v>175306</v>
      </c>
      <c r="E13" s="17">
        <f t="shared" si="1"/>
        <v>706056.60677539115</v>
      </c>
      <c r="F13" s="21">
        <f t="shared" si="2"/>
        <v>4.03</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111344</v>
      </c>
      <c r="E15" s="17">
        <f t="shared" si="1"/>
        <v>371730.87547944253</v>
      </c>
      <c r="F15" s="21">
        <f t="shared" si="2"/>
        <v>3.34</v>
      </c>
    </row>
    <row r="16" spans="1:6" ht="14.25" customHeight="1" x14ac:dyDescent="0.2">
      <c r="A16" s="19">
        <v>12</v>
      </c>
      <c r="B16" s="181" t="s">
        <v>11</v>
      </c>
      <c r="C16" s="182"/>
      <c r="D16" s="14">
        <f t="shared" si="0"/>
        <v>346386</v>
      </c>
      <c r="E16" s="17">
        <f t="shared" si="1"/>
        <v>1792890.4501528791</v>
      </c>
      <c r="F16" s="21">
        <f t="shared" si="2"/>
        <v>5.18</v>
      </c>
    </row>
    <row r="17" spans="1:6" x14ac:dyDescent="0.2">
      <c r="A17" s="19">
        <v>13</v>
      </c>
      <c r="B17" s="181" t="s">
        <v>12</v>
      </c>
      <c r="C17" s="182"/>
      <c r="D17" s="14">
        <f t="shared" si="0"/>
        <v>19072</v>
      </c>
      <c r="E17" s="17">
        <f t="shared" si="1"/>
        <v>102128.0391681988</v>
      </c>
      <c r="F17" s="21">
        <f t="shared" si="2"/>
        <v>5.35</v>
      </c>
    </row>
    <row r="18" spans="1:6" ht="14.25" customHeight="1" x14ac:dyDescent="0.2">
      <c r="A18" s="19">
        <v>14</v>
      </c>
      <c r="B18" s="181" t="s">
        <v>464</v>
      </c>
      <c r="C18" s="182"/>
      <c r="D18" s="14">
        <f t="shared" si="0"/>
        <v>116211</v>
      </c>
      <c r="E18" s="17">
        <f t="shared" si="1"/>
        <v>819643.22225123481</v>
      </c>
      <c r="F18" s="21">
        <f t="shared" si="2"/>
        <v>7.05</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106856</v>
      </c>
      <c r="E20" s="17">
        <f t="shared" si="1"/>
        <v>394218.59906444274</v>
      </c>
      <c r="F20" s="21">
        <f t="shared" si="2"/>
        <v>3.69</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61664</v>
      </c>
      <c r="E22" s="17">
        <f t="shared" si="1"/>
        <v>340537.68200858909</v>
      </c>
      <c r="F22" s="21">
        <f t="shared" si="2"/>
        <v>5.52</v>
      </c>
    </row>
    <row r="23" spans="1:6" x14ac:dyDescent="0.2">
      <c r="A23" s="19">
        <v>19</v>
      </c>
      <c r="B23" s="181" t="s">
        <v>17</v>
      </c>
      <c r="C23" s="182"/>
      <c r="D23" s="14">
        <f t="shared" si="0"/>
        <v>216854</v>
      </c>
      <c r="E23" s="17">
        <f t="shared" si="1"/>
        <v>1097677.9687384954</v>
      </c>
      <c r="F23" s="21">
        <f t="shared" si="2"/>
        <v>5.0599999999999996</v>
      </c>
    </row>
    <row r="24" spans="1:6" x14ac:dyDescent="0.2">
      <c r="A24" s="19">
        <v>20</v>
      </c>
      <c r="B24" s="181" t="s">
        <v>18</v>
      </c>
      <c r="C24" s="182"/>
      <c r="D24" s="14">
        <f t="shared" si="0"/>
        <v>73152</v>
      </c>
      <c r="E24" s="17">
        <f t="shared" si="1"/>
        <v>279726.54284983641</v>
      </c>
      <c r="F24" s="21">
        <f t="shared" si="2"/>
        <v>3.82</v>
      </c>
    </row>
    <row r="25" spans="1:6" ht="14.25" customHeight="1" x14ac:dyDescent="0.2">
      <c r="A25" s="19">
        <v>21</v>
      </c>
      <c r="B25" s="181" t="s">
        <v>461</v>
      </c>
      <c r="C25" s="182"/>
      <c r="D25" s="14">
        <f t="shared" si="0"/>
        <v>42</v>
      </c>
      <c r="E25" s="17">
        <f t="shared" si="1"/>
        <v>377.09750655748479</v>
      </c>
      <c r="F25" s="21">
        <f t="shared" si="2"/>
        <v>8.98</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60192</v>
      </c>
      <c r="E27" s="17">
        <f t="shared" si="1"/>
        <v>376071.88368352677</v>
      </c>
      <c r="F27" s="21">
        <f t="shared" si="2"/>
        <v>6.25</v>
      </c>
    </row>
    <row r="28" spans="1:6" x14ac:dyDescent="0.2">
      <c r="A28" s="19">
        <v>24</v>
      </c>
      <c r="B28" s="181" t="s">
        <v>21</v>
      </c>
      <c r="C28" s="182"/>
      <c r="D28" s="14">
        <f t="shared" si="0"/>
        <v>73512</v>
      </c>
      <c r="E28" s="17">
        <f t="shared" si="1"/>
        <v>312578.95004890056</v>
      </c>
      <c r="F28" s="21">
        <f t="shared" si="2"/>
        <v>4.25</v>
      </c>
    </row>
    <row r="29" spans="1:6" x14ac:dyDescent="0.2">
      <c r="A29" s="19">
        <v>25</v>
      </c>
      <c r="B29" s="181" t="s">
        <v>22</v>
      </c>
      <c r="C29" s="182"/>
      <c r="D29" s="14">
        <f t="shared" si="0"/>
        <v>323104</v>
      </c>
      <c r="E29" s="17">
        <f t="shared" si="1"/>
        <v>1577007.7323511802</v>
      </c>
      <c r="F29" s="21">
        <f t="shared" si="2"/>
        <v>4.88</v>
      </c>
    </row>
    <row r="30" spans="1:6" x14ac:dyDescent="0.2">
      <c r="A30" s="19">
        <v>26</v>
      </c>
      <c r="B30" s="181" t="s">
        <v>23</v>
      </c>
      <c r="C30" s="182"/>
      <c r="D30" s="14">
        <f t="shared" si="0"/>
        <v>97424</v>
      </c>
      <c r="E30" s="17">
        <f t="shared" si="1"/>
        <v>613871.13044896186</v>
      </c>
      <c r="F30" s="21">
        <f t="shared" si="2"/>
        <v>6.3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2784223</v>
      </c>
      <c r="E33" s="31">
        <f>SUM(E5:E32)</f>
        <v>13830480.000000002</v>
      </c>
      <c r="F33" s="32">
        <f t="shared" si="2"/>
        <v>4.97</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IF(F3="1",SUMIF(Data!A:A,'44'!$A$2,Data!CU:CU),0)</f>
        <v>63312</v>
      </c>
      <c r="E36" s="15">
        <f>IF(F3="1",SUMIF(Data!$A:$A,$A$2,Data!IO:IO),0)</f>
        <v>49624</v>
      </c>
      <c r="F36" s="20">
        <f t="shared" ref="F36:F64" si="3">IF(OR(D36=0,E36=0),"",ROUND(E36/D36,2))</f>
        <v>0.78</v>
      </c>
    </row>
    <row r="37" spans="1:6" x14ac:dyDescent="0.2">
      <c r="A37" s="19">
        <v>2</v>
      </c>
      <c r="B37" s="181" t="s">
        <v>1</v>
      </c>
      <c r="C37" s="182"/>
      <c r="D37" s="14">
        <f>IF(F3="1",SUMIF(Data!A:A,'44'!$A$2,Data!CV:CV),0)</f>
        <v>178944</v>
      </c>
      <c r="E37" s="17">
        <f>IF(F3="1",SUMIF(Data!$A:$A,$A$2,Data!IP:IP),0)</f>
        <v>74308</v>
      </c>
      <c r="F37" s="21">
        <f t="shared" si="3"/>
        <v>0.42</v>
      </c>
    </row>
    <row r="38" spans="1:6" ht="14.25" customHeight="1" x14ac:dyDescent="0.2">
      <c r="A38" s="19">
        <v>3</v>
      </c>
      <c r="B38" s="181" t="s">
        <v>2</v>
      </c>
      <c r="C38" s="182"/>
      <c r="D38" s="14">
        <f>IF(F3="1",SUMIF(Data!A:A,'44'!$A$2,Data!CW:CW),0)</f>
        <v>222832</v>
      </c>
      <c r="E38" s="17">
        <f>IF($F$3="1",SUMIF(Data!$A:$A,$A$2,Data!IQ:IQ),0)</f>
        <v>76301</v>
      </c>
      <c r="F38" s="21">
        <f t="shared" si="3"/>
        <v>0.34</v>
      </c>
    </row>
    <row r="39" spans="1:6" ht="14.25" customHeight="1" x14ac:dyDescent="0.2">
      <c r="A39" s="19">
        <v>4</v>
      </c>
      <c r="B39" s="181" t="s">
        <v>3</v>
      </c>
      <c r="C39" s="182"/>
      <c r="D39" s="14">
        <f>IF(F3="1",SUMIF(Data!A:A,'44'!$A$2,Data!CX:CX),0)</f>
        <v>164295</v>
      </c>
      <c r="E39" s="17">
        <f>IF($F$3="1",SUMIF(Data!$A:$A,$A$2,Data!IR:IR),0)</f>
        <v>111785</v>
      </c>
      <c r="F39" s="21">
        <f t="shared" si="3"/>
        <v>0.68</v>
      </c>
    </row>
    <row r="40" spans="1:6" x14ac:dyDescent="0.2">
      <c r="A40" s="19">
        <v>5</v>
      </c>
      <c r="B40" s="181" t="s">
        <v>4</v>
      </c>
      <c r="C40" s="182"/>
      <c r="D40" s="14">
        <f>IF(F3="1",SUMIF(Data!A:A,'44'!$A$2,Data!CY:CY),0)</f>
        <v>0</v>
      </c>
      <c r="E40" s="17">
        <f>IF($F$3="1",SUMIF(Data!$A:$A,$A$2,Data!IS:IS),0)</f>
        <v>0</v>
      </c>
      <c r="F40" s="21" t="str">
        <f t="shared" si="3"/>
        <v/>
      </c>
    </row>
    <row r="41" spans="1:6" x14ac:dyDescent="0.2">
      <c r="A41" s="19">
        <v>6</v>
      </c>
      <c r="B41" s="181" t="s">
        <v>5</v>
      </c>
      <c r="C41" s="182"/>
      <c r="D41" s="14">
        <f>IF(F3="1",SUMIF(Data!A:A,'44'!$A$2,Data!CZ:CZ),0)</f>
        <v>14576</v>
      </c>
      <c r="E41" s="17">
        <f>IF($F$3="1",SUMIF(Data!$A:$A,$A$2,Data!IT:IT),0)</f>
        <v>15557</v>
      </c>
      <c r="F41" s="21">
        <f t="shared" si="3"/>
        <v>1.07</v>
      </c>
    </row>
    <row r="42" spans="1:6" x14ac:dyDescent="0.2">
      <c r="A42" s="19">
        <v>7</v>
      </c>
      <c r="B42" s="181" t="s">
        <v>6</v>
      </c>
      <c r="C42" s="182"/>
      <c r="D42" s="14">
        <f>IF(F3="1",SUMIF(Data!A:A,'44'!$A$2,Data!DA:DA),0)</f>
        <v>293649</v>
      </c>
      <c r="E42" s="17">
        <f>IF($F$3="1",SUMIF(Data!$A:$A,$A$2,Data!IU:IU),0)</f>
        <v>77680</v>
      </c>
      <c r="F42" s="21">
        <f t="shared" si="3"/>
        <v>0.26</v>
      </c>
    </row>
    <row r="43" spans="1:6" x14ac:dyDescent="0.2">
      <c r="A43" s="19">
        <v>8</v>
      </c>
      <c r="B43" s="181" t="s">
        <v>7</v>
      </c>
      <c r="C43" s="182"/>
      <c r="D43" s="14">
        <f>IF(F3="1",SUMIF(Data!A:A,'44'!$A$2,Data!DB:DB),0)</f>
        <v>65496</v>
      </c>
      <c r="E43" s="17">
        <f>IF($F$3="1",SUMIF(Data!$A:$A,$A$2,Data!IV:IV),0)</f>
        <v>5742</v>
      </c>
      <c r="F43" s="21">
        <f t="shared" si="3"/>
        <v>0.09</v>
      </c>
    </row>
    <row r="44" spans="1:6" x14ac:dyDescent="0.2">
      <c r="A44" s="19">
        <v>9</v>
      </c>
      <c r="B44" s="181" t="s">
        <v>8</v>
      </c>
      <c r="C44" s="182"/>
      <c r="D44" s="14">
        <f>IF(F3="1",SUMIF(Data!A:A,'44'!$A$2,Data!DC:DC),0)</f>
        <v>175306</v>
      </c>
      <c r="E44" s="17">
        <f>IF($F$3="1",SUMIF(Data!$A:$A,$A$2,Data!IW:IW),0)</f>
        <v>57732</v>
      </c>
      <c r="F44" s="21">
        <f t="shared" si="3"/>
        <v>0.33</v>
      </c>
    </row>
    <row r="45" spans="1:6" x14ac:dyDescent="0.2">
      <c r="A45" s="19">
        <v>10</v>
      </c>
      <c r="B45" s="181" t="s">
        <v>9</v>
      </c>
      <c r="C45" s="182"/>
      <c r="D45" s="14">
        <f>IF(F3="1",SUMIF(Data!A:A,'44'!$A$2,Data!DD:DD),0)</f>
        <v>0</v>
      </c>
      <c r="E45" s="17">
        <f>IF($F$3="1",SUMIF(Data!$A:$A,$A$2,Data!IX:IX),0)</f>
        <v>0</v>
      </c>
      <c r="F45" s="21" t="str">
        <f t="shared" si="3"/>
        <v/>
      </c>
    </row>
    <row r="46" spans="1:6" x14ac:dyDescent="0.2">
      <c r="A46" s="19">
        <v>11</v>
      </c>
      <c r="B46" s="181" t="s">
        <v>10</v>
      </c>
      <c r="C46" s="182"/>
      <c r="D46" s="14">
        <f>IF(F3="1",SUMIF(Data!A:A,'44'!$A$2,Data!DE:DE),0)</f>
        <v>111344</v>
      </c>
      <c r="E46" s="17">
        <f>IF($F$3="1",SUMIF(Data!$A:$A,$A$2,Data!IY:IY),0)</f>
        <v>25646</v>
      </c>
      <c r="F46" s="21">
        <f t="shared" si="3"/>
        <v>0.23</v>
      </c>
    </row>
    <row r="47" spans="1:6" ht="14.25" customHeight="1" x14ac:dyDescent="0.2">
      <c r="A47" s="19">
        <v>12</v>
      </c>
      <c r="B47" s="181" t="s">
        <v>11</v>
      </c>
      <c r="C47" s="182"/>
      <c r="D47" s="14">
        <f>IF(F3="1",SUMIF(Data!A:A,'44'!$A$2,Data!DF:DF),0)</f>
        <v>346386</v>
      </c>
      <c r="E47" s="17">
        <f>IF($F$3="1",SUMIF(Data!$A:$A,$A$2,Data!IZ:IZ),0)</f>
        <v>61095</v>
      </c>
      <c r="F47" s="21">
        <f t="shared" si="3"/>
        <v>0.18</v>
      </c>
    </row>
    <row r="48" spans="1:6" x14ac:dyDescent="0.2">
      <c r="A48" s="19">
        <v>13</v>
      </c>
      <c r="B48" s="181" t="s">
        <v>12</v>
      </c>
      <c r="C48" s="182"/>
      <c r="D48" s="14">
        <f>IF(F3="1",SUMIF(Data!A:A,'44'!$A$2,Data!DG:DG),0)</f>
        <v>19072</v>
      </c>
      <c r="E48" s="17">
        <f>IF($F$3="1",SUMIF(Data!$A:$A,$A$2,Data!JA:JA),0)</f>
        <v>5152</v>
      </c>
      <c r="F48" s="21">
        <f t="shared" si="3"/>
        <v>0.27</v>
      </c>
    </row>
    <row r="49" spans="1:6" ht="14.25" customHeight="1" x14ac:dyDescent="0.2">
      <c r="A49" s="19">
        <v>14</v>
      </c>
      <c r="B49" s="181" t="s">
        <v>464</v>
      </c>
      <c r="C49" s="182"/>
      <c r="D49" s="14">
        <f>IF(F3="1",SUMIF(Data!A:A,'44'!$A$2,Data!DH:DH),0)</f>
        <v>116211</v>
      </c>
      <c r="E49" s="17">
        <f>IF($F$3="1",SUMIF(Data!$A:$A,$A$2,Data!JB:JB),0)</f>
        <v>40243</v>
      </c>
      <c r="F49" s="21">
        <f t="shared" si="3"/>
        <v>0.35</v>
      </c>
    </row>
    <row r="50" spans="1:6" x14ac:dyDescent="0.2">
      <c r="A50" s="19">
        <v>15</v>
      </c>
      <c r="B50" s="181" t="s">
        <v>13</v>
      </c>
      <c r="C50" s="182"/>
      <c r="D50" s="14">
        <f>IF(F3="1",SUMIF(Data!A:A,'44'!$A$2,Data!DI:DI),0)</f>
        <v>0</v>
      </c>
      <c r="E50" s="17">
        <f>IF($F$3="1",SUMIF(Data!$A:$A,$A$2,Data!JC:JC),0)</f>
        <v>0</v>
      </c>
      <c r="F50" s="21" t="str">
        <f t="shared" si="3"/>
        <v/>
      </c>
    </row>
    <row r="51" spans="1:6" x14ac:dyDescent="0.2">
      <c r="A51" s="19">
        <v>16</v>
      </c>
      <c r="B51" s="181" t="s">
        <v>14</v>
      </c>
      <c r="C51" s="182"/>
      <c r="D51" s="14">
        <f>IF(F3="1",SUMIF(Data!A:A,'44'!$A$2,Data!DJ:DJ),0)</f>
        <v>106856</v>
      </c>
      <c r="E51" s="17">
        <f>IF($F$3="1",SUMIF(Data!$A:$A,$A$2,Data!JD:JD),0)</f>
        <v>44115</v>
      </c>
      <c r="F51" s="21">
        <f t="shared" si="3"/>
        <v>0.41</v>
      </c>
    </row>
    <row r="52" spans="1:6" x14ac:dyDescent="0.2">
      <c r="A52" s="19">
        <v>17</v>
      </c>
      <c r="B52" s="181" t="s">
        <v>15</v>
      </c>
      <c r="C52" s="182"/>
      <c r="D52" s="14">
        <f>IF(F3="1",SUMIF(Data!A:A,'44'!$A$2,Data!DK:DK),0)</f>
        <v>0</v>
      </c>
      <c r="E52" s="17">
        <f>IF($F$3="1",SUMIF(Data!$A:$A,$A$2,Data!JE:JE),0)</f>
        <v>0</v>
      </c>
      <c r="F52" s="21" t="str">
        <f t="shared" si="3"/>
        <v/>
      </c>
    </row>
    <row r="53" spans="1:6" x14ac:dyDescent="0.2">
      <c r="A53" s="19">
        <v>18</v>
      </c>
      <c r="B53" s="181" t="s">
        <v>16</v>
      </c>
      <c r="C53" s="182"/>
      <c r="D53" s="14">
        <f>IF(F3="1",SUMIF(Data!A:A,'44'!$A$2,Data!DL:DL),0)</f>
        <v>61664</v>
      </c>
      <c r="E53" s="17">
        <f>IF($F$3="1",SUMIF(Data!$A:$A,$A$2,Data!JF:JF),0)</f>
        <v>26414</v>
      </c>
      <c r="F53" s="21">
        <f t="shared" si="3"/>
        <v>0.43</v>
      </c>
    </row>
    <row r="54" spans="1:6" x14ac:dyDescent="0.2">
      <c r="A54" s="19">
        <v>19</v>
      </c>
      <c r="B54" s="181" t="s">
        <v>17</v>
      </c>
      <c r="C54" s="182"/>
      <c r="D54" s="14">
        <f>IF(F3="1",SUMIF(Data!A:A,'44'!$A$2,Data!DM:DM),0)</f>
        <v>216854</v>
      </c>
      <c r="E54" s="17">
        <f>IF($F$3="1",SUMIF(Data!$A:$A,$A$2,Data!JG:JG),0)</f>
        <v>36230</v>
      </c>
      <c r="F54" s="21">
        <f t="shared" si="3"/>
        <v>0.17</v>
      </c>
    </row>
    <row r="55" spans="1:6" x14ac:dyDescent="0.2">
      <c r="A55" s="19">
        <v>20</v>
      </c>
      <c r="B55" s="181" t="s">
        <v>18</v>
      </c>
      <c r="C55" s="182"/>
      <c r="D55" s="14">
        <f>IF(F3="1",SUMIF(Data!A:A,'44'!$A$2,Data!DN:DN),0)</f>
        <v>73152</v>
      </c>
      <c r="E55" s="17">
        <f>IF($F$3="1",SUMIF(Data!$A:$A,$A$2,Data!JH:JH),0)</f>
        <v>16054</v>
      </c>
      <c r="F55" s="21">
        <f t="shared" si="3"/>
        <v>0.22</v>
      </c>
    </row>
    <row r="56" spans="1:6" ht="14.25" customHeight="1" x14ac:dyDescent="0.2">
      <c r="A56" s="19">
        <v>21</v>
      </c>
      <c r="B56" s="181" t="s">
        <v>461</v>
      </c>
      <c r="C56" s="182"/>
      <c r="D56" s="14">
        <f>IF(F3="1",SUMIF(Data!A:A,'44'!$A$2,Data!DO:DO),0)</f>
        <v>42</v>
      </c>
      <c r="E56" s="17">
        <f>IF($F$3="1",SUMIF(Data!$A:$A,$A$2,Data!JI:JI),0)</f>
        <v>0</v>
      </c>
      <c r="F56" s="21" t="str">
        <f t="shared" si="3"/>
        <v/>
      </c>
    </row>
    <row r="57" spans="1:6" x14ac:dyDescent="0.2">
      <c r="A57" s="19">
        <v>22</v>
      </c>
      <c r="B57" s="181" t="s">
        <v>19</v>
      </c>
      <c r="C57" s="182"/>
      <c r="D57" s="14">
        <f>IF(F3="1",SUMIF(Data!A:A,'44'!$A$2,Data!DP:DP),0)</f>
        <v>0</v>
      </c>
      <c r="E57" s="17">
        <f>IF($F$3="1",SUMIF(Data!$A:$A,$A$2,Data!JJ:JJ),0)</f>
        <v>0</v>
      </c>
      <c r="F57" s="21" t="str">
        <f t="shared" si="3"/>
        <v/>
      </c>
    </row>
    <row r="58" spans="1:6" x14ac:dyDescent="0.2">
      <c r="A58" s="19">
        <v>23</v>
      </c>
      <c r="B58" s="181" t="s">
        <v>20</v>
      </c>
      <c r="C58" s="182"/>
      <c r="D58" s="14">
        <f>IF(F3="1",SUMIF(Data!A:A,'44'!$A$2,Data!DQ:DQ),0)</f>
        <v>60192</v>
      </c>
      <c r="E58" s="17">
        <f>IF($F$3="1",SUMIF(Data!$A:$A,$A$2,Data!JK:JK),0)</f>
        <v>20633</v>
      </c>
      <c r="F58" s="21">
        <f t="shared" si="3"/>
        <v>0.34</v>
      </c>
    </row>
    <row r="59" spans="1:6" x14ac:dyDescent="0.2">
      <c r="A59" s="19">
        <v>24</v>
      </c>
      <c r="B59" s="181" t="s">
        <v>21</v>
      </c>
      <c r="C59" s="182"/>
      <c r="D59" s="14">
        <f>IF(F3="1",SUMIF(Data!A:A,'44'!$A$2,Data!DR:DR),0)</f>
        <v>73512</v>
      </c>
      <c r="E59" s="17">
        <f>IF($F$3="1",SUMIF(Data!$A:$A,$A$2,Data!JL:JL),0)</f>
        <v>8631</v>
      </c>
      <c r="F59" s="21">
        <f t="shared" si="3"/>
        <v>0.12</v>
      </c>
    </row>
    <row r="60" spans="1:6" x14ac:dyDescent="0.2">
      <c r="A60" s="19">
        <v>25</v>
      </c>
      <c r="B60" s="181" t="s">
        <v>22</v>
      </c>
      <c r="C60" s="182"/>
      <c r="D60" s="14">
        <f>IF(F3="1",SUMIF(Data!A:A,'44'!$A$2,Data!DS:DS),0)</f>
        <v>323104</v>
      </c>
      <c r="E60" s="17">
        <f>IF($F$3="1",SUMIF(Data!$A:$A,$A$2,Data!JM:JM),0)</f>
        <v>64128</v>
      </c>
      <c r="F60" s="21">
        <f t="shared" si="3"/>
        <v>0.2</v>
      </c>
    </row>
    <row r="61" spans="1:6" x14ac:dyDescent="0.2">
      <c r="A61" s="19">
        <v>26</v>
      </c>
      <c r="B61" s="181" t="s">
        <v>23</v>
      </c>
      <c r="C61" s="182"/>
      <c r="D61" s="14">
        <f>IF(F3="1",SUMIF(Data!A:A,'44'!$A$2,Data!DT:DT),0)</f>
        <v>97424</v>
      </c>
      <c r="E61" s="17">
        <f>IF($F$3="1",SUMIF(Data!$A:$A,$A$2,Data!JN:JN),0)</f>
        <v>59345</v>
      </c>
      <c r="F61" s="21">
        <f t="shared" si="3"/>
        <v>0.61</v>
      </c>
    </row>
    <row r="62" spans="1:6" x14ac:dyDescent="0.2">
      <c r="A62" s="19">
        <v>28</v>
      </c>
      <c r="B62" s="181" t="s">
        <v>24</v>
      </c>
      <c r="C62" s="182"/>
      <c r="D62" s="14">
        <f>IF(F3="1",SUMIF(Data!A:A,'44'!$A$2,Data!DV:DV),0)</f>
        <v>0</v>
      </c>
      <c r="E62" s="17">
        <f>IF($F$3="1",SUMIF(Data!$A:$A,$A$2,Data!JP:JP),0)</f>
        <v>0</v>
      </c>
      <c r="F62" s="21" t="str">
        <f t="shared" si="3"/>
        <v/>
      </c>
    </row>
    <row r="63" spans="1:6" ht="15.75" customHeight="1" thickBot="1" x14ac:dyDescent="0.25">
      <c r="A63" s="22">
        <v>29</v>
      </c>
      <c r="B63" s="183" t="s">
        <v>25</v>
      </c>
      <c r="C63" s="184"/>
      <c r="D63" s="23">
        <f>IF(F3="1",SUMIF(Data!A:A,'44'!$A$2,Data!DW:DW),0)</f>
        <v>0</v>
      </c>
      <c r="E63" s="24">
        <f>IF($F$3="1",SUMIF(Data!$A:$A,$A$2,Data!JQ:JQ),0)</f>
        <v>0</v>
      </c>
      <c r="F63" s="25" t="str">
        <f t="shared" si="3"/>
        <v/>
      </c>
    </row>
    <row r="64" spans="1:6" x14ac:dyDescent="0.2">
      <c r="B64" s="30" t="s">
        <v>35</v>
      </c>
      <c r="C64" s="30"/>
      <c r="D64" s="59">
        <f>SUM(D36:D63)</f>
        <v>2784223</v>
      </c>
      <c r="E64" s="31">
        <f>SUM(E36:E63)</f>
        <v>876415</v>
      </c>
      <c r="F64" s="32">
        <f t="shared" si="3"/>
        <v>0.31</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63312</v>
      </c>
      <c r="E67" s="15">
        <f>IF(F3="1",SUMIF(Data!A:A,'44'!$A$2,Data!DY:DY),0)</f>
        <v>201968</v>
      </c>
      <c r="F67" s="20">
        <f t="shared" ref="F67:F95" si="4">IF(OR(D67=0,E67=0),"",ROUND(E67/D67,2))</f>
        <v>3.19</v>
      </c>
    </row>
    <row r="68" spans="1:6" x14ac:dyDescent="0.2">
      <c r="A68" s="19">
        <v>2</v>
      </c>
      <c r="B68" s="181" t="s">
        <v>1</v>
      </c>
      <c r="C68" s="182"/>
      <c r="D68" s="14">
        <f t="shared" ref="D68:D94" si="5">D37</f>
        <v>178944</v>
      </c>
      <c r="E68" s="17">
        <f>IF(F3="1",SUMIF(Data!A:A,'44'!$A$2,Data!DZ:DZ),0)</f>
        <v>448671</v>
      </c>
      <c r="F68" s="21">
        <f t="shared" si="4"/>
        <v>2.5099999999999998</v>
      </c>
    </row>
    <row r="69" spans="1:6" ht="14.25" customHeight="1" x14ac:dyDescent="0.2">
      <c r="A69" s="19">
        <v>3</v>
      </c>
      <c r="B69" s="181" t="s">
        <v>2</v>
      </c>
      <c r="C69" s="182"/>
      <c r="D69" s="14">
        <f t="shared" si="5"/>
        <v>222832</v>
      </c>
      <c r="E69" s="17">
        <f>IF(F3="1",SUMIF(Data!A:A,'44'!$A$2,Data!EA:EA),0)</f>
        <v>628670</v>
      </c>
      <c r="F69" s="21">
        <f t="shared" si="4"/>
        <v>2.82</v>
      </c>
    </row>
    <row r="70" spans="1:6" ht="14.25" customHeight="1" x14ac:dyDescent="0.2">
      <c r="A70" s="19">
        <v>4</v>
      </c>
      <c r="B70" s="181" t="s">
        <v>3</v>
      </c>
      <c r="C70" s="182"/>
      <c r="D70" s="14">
        <f t="shared" si="5"/>
        <v>164295</v>
      </c>
      <c r="E70" s="17">
        <f>IF(F3="1",SUMIF(Data!A:A,'44'!$A$2,Data!EB:EB),0)</f>
        <v>580187</v>
      </c>
      <c r="F70" s="21">
        <f t="shared" si="4"/>
        <v>3.53</v>
      </c>
    </row>
    <row r="71" spans="1:6" x14ac:dyDescent="0.2">
      <c r="A71" s="19">
        <v>5</v>
      </c>
      <c r="B71" s="181" t="s">
        <v>4</v>
      </c>
      <c r="C71" s="182"/>
      <c r="D71" s="14">
        <f t="shared" si="5"/>
        <v>0</v>
      </c>
      <c r="E71" s="17">
        <f>IF(F3="1",SUMIF(Data!A:A,'44'!$A$2,Data!EC:EC),0)</f>
        <v>0</v>
      </c>
      <c r="F71" s="21" t="str">
        <f t="shared" si="4"/>
        <v/>
      </c>
    </row>
    <row r="72" spans="1:6" x14ac:dyDescent="0.2">
      <c r="A72" s="19">
        <v>6</v>
      </c>
      <c r="B72" s="181" t="s">
        <v>5</v>
      </c>
      <c r="C72" s="182"/>
      <c r="D72" s="14">
        <f t="shared" si="5"/>
        <v>14576</v>
      </c>
      <c r="E72" s="17">
        <f>IF(F3="1",SUMIF(Data!A:A,'44'!$A$2,Data!ED:ED),0)</f>
        <v>47658</v>
      </c>
      <c r="F72" s="21">
        <f t="shared" si="4"/>
        <v>3.27</v>
      </c>
    </row>
    <row r="73" spans="1:6" x14ac:dyDescent="0.2">
      <c r="A73" s="19">
        <v>7</v>
      </c>
      <c r="B73" s="181" t="s">
        <v>6</v>
      </c>
      <c r="C73" s="182"/>
      <c r="D73" s="14">
        <f t="shared" si="5"/>
        <v>293649</v>
      </c>
      <c r="E73" s="17">
        <f>IF(F3="1",SUMIF(Data!A:A,'44'!$A$2,Data!EE:EE),0)</f>
        <v>417182</v>
      </c>
      <c r="F73" s="21">
        <f t="shared" si="4"/>
        <v>1.42</v>
      </c>
    </row>
    <row r="74" spans="1:6" x14ac:dyDescent="0.2">
      <c r="A74" s="19">
        <v>8</v>
      </c>
      <c r="B74" s="181" t="s">
        <v>7</v>
      </c>
      <c r="C74" s="182"/>
      <c r="D74" s="14">
        <f t="shared" si="5"/>
        <v>65496</v>
      </c>
      <c r="E74" s="17">
        <f>IF(F3="1",SUMIF(Data!A:A,'44'!$A$2,Data!EF:EF),0)</f>
        <v>111026</v>
      </c>
      <c r="F74" s="21">
        <f t="shared" si="4"/>
        <v>1.7</v>
      </c>
    </row>
    <row r="75" spans="1:6" x14ac:dyDescent="0.2">
      <c r="A75" s="19">
        <v>9</v>
      </c>
      <c r="B75" s="181" t="s">
        <v>8</v>
      </c>
      <c r="C75" s="182"/>
      <c r="D75" s="14">
        <f t="shared" si="5"/>
        <v>175306</v>
      </c>
      <c r="E75" s="17">
        <f>IF(F3="1",SUMIF(Data!A:A,'44'!$A$2,Data!EG:EG),0)</f>
        <v>263914</v>
      </c>
      <c r="F75" s="21">
        <f t="shared" si="4"/>
        <v>1.51</v>
      </c>
    </row>
    <row r="76" spans="1:6" x14ac:dyDescent="0.2">
      <c r="A76" s="19">
        <v>10</v>
      </c>
      <c r="B76" s="181" t="s">
        <v>9</v>
      </c>
      <c r="C76" s="182"/>
      <c r="D76" s="14">
        <f t="shared" si="5"/>
        <v>0</v>
      </c>
      <c r="E76" s="17">
        <f>IF(F3="1",SUMIF(Data!A:A,'44'!$A$2,Data!EH:EH),0)</f>
        <v>0</v>
      </c>
      <c r="F76" s="21" t="str">
        <f t="shared" si="4"/>
        <v/>
      </c>
    </row>
    <row r="77" spans="1:6" x14ac:dyDescent="0.2">
      <c r="A77" s="19">
        <v>11</v>
      </c>
      <c r="B77" s="181" t="s">
        <v>10</v>
      </c>
      <c r="C77" s="182"/>
      <c r="D77" s="14">
        <f t="shared" si="5"/>
        <v>111344</v>
      </c>
      <c r="E77" s="17">
        <f>IF(F3="1",SUMIF(Data!A:A,'44'!$A$2,Data!EI:EI),0)</f>
        <v>101930</v>
      </c>
      <c r="F77" s="21">
        <f t="shared" si="4"/>
        <v>0.92</v>
      </c>
    </row>
    <row r="78" spans="1:6" ht="14.25" customHeight="1" x14ac:dyDescent="0.2">
      <c r="A78" s="19">
        <v>12</v>
      </c>
      <c r="B78" s="181" t="s">
        <v>11</v>
      </c>
      <c r="C78" s="182"/>
      <c r="D78" s="14">
        <f t="shared" si="5"/>
        <v>346386</v>
      </c>
      <c r="E78" s="17">
        <f>IF(F3="1",SUMIF(Data!A:A,'44'!$A$2,Data!EJ:EJ),0)</f>
        <v>972241</v>
      </c>
      <c r="F78" s="21">
        <f t="shared" si="4"/>
        <v>2.81</v>
      </c>
    </row>
    <row r="79" spans="1:6" x14ac:dyDescent="0.2">
      <c r="A79" s="19">
        <v>13</v>
      </c>
      <c r="B79" s="181" t="s">
        <v>12</v>
      </c>
      <c r="C79" s="182"/>
      <c r="D79" s="14">
        <f t="shared" si="5"/>
        <v>19072</v>
      </c>
      <c r="E79" s="17">
        <f>IF(F3="1",SUMIF(Data!A:A,'44'!$A$2,Data!EK:EK),0)</f>
        <v>55155</v>
      </c>
      <c r="F79" s="21">
        <f t="shared" si="4"/>
        <v>2.89</v>
      </c>
    </row>
    <row r="80" spans="1:6" ht="14.25" customHeight="1" x14ac:dyDescent="0.2">
      <c r="A80" s="19">
        <v>14</v>
      </c>
      <c r="B80" s="181" t="s">
        <v>464</v>
      </c>
      <c r="C80" s="182"/>
      <c r="D80" s="14">
        <f t="shared" si="5"/>
        <v>116211</v>
      </c>
      <c r="E80" s="17">
        <f>IF(F3="1",SUMIF(Data!A:A,'44'!$A$2,Data!EL:EL),0)</f>
        <v>524573</v>
      </c>
      <c r="F80" s="21">
        <f t="shared" si="4"/>
        <v>4.51</v>
      </c>
    </row>
    <row r="81" spans="1:6" x14ac:dyDescent="0.2">
      <c r="A81" s="19">
        <v>15</v>
      </c>
      <c r="B81" s="181" t="s">
        <v>13</v>
      </c>
      <c r="C81" s="182"/>
      <c r="D81" s="14">
        <f t="shared" si="5"/>
        <v>0</v>
      </c>
      <c r="E81" s="17">
        <f>IF(F3="1",SUMIF(Data!A:A,'44'!$A$2,Data!EM:EM),0)</f>
        <v>0</v>
      </c>
      <c r="F81" s="21" t="str">
        <f t="shared" si="4"/>
        <v/>
      </c>
    </row>
    <row r="82" spans="1:6" x14ac:dyDescent="0.2">
      <c r="A82" s="19">
        <v>16</v>
      </c>
      <c r="B82" s="181" t="s">
        <v>14</v>
      </c>
      <c r="C82" s="182"/>
      <c r="D82" s="14">
        <f t="shared" si="5"/>
        <v>106856</v>
      </c>
      <c r="E82" s="17">
        <f>IF(F3="1",SUMIF(Data!A:A,'44'!$A$2,Data!EN:EN),0)</f>
        <v>115790</v>
      </c>
      <c r="F82" s="21">
        <f t="shared" si="4"/>
        <v>1.08</v>
      </c>
    </row>
    <row r="83" spans="1:6" x14ac:dyDescent="0.2">
      <c r="A83" s="19">
        <v>17</v>
      </c>
      <c r="B83" s="181" t="s">
        <v>15</v>
      </c>
      <c r="C83" s="182"/>
      <c r="D83" s="14">
        <f t="shared" si="5"/>
        <v>0</v>
      </c>
      <c r="E83" s="17">
        <f>IF(F3="1",SUMIF(Data!A:A,'44'!$A$2,Data!EO:EO),0)</f>
        <v>0</v>
      </c>
      <c r="F83" s="21" t="str">
        <f t="shared" si="4"/>
        <v/>
      </c>
    </row>
    <row r="84" spans="1:6" x14ac:dyDescent="0.2">
      <c r="A84" s="19">
        <v>18</v>
      </c>
      <c r="B84" s="181" t="s">
        <v>16</v>
      </c>
      <c r="C84" s="182"/>
      <c r="D84" s="14">
        <f t="shared" si="5"/>
        <v>61664</v>
      </c>
      <c r="E84" s="17">
        <f>IF(F3="1",SUMIF(Data!A:A,'44'!$A$2,Data!EP:EP),0)</f>
        <v>178907</v>
      </c>
      <c r="F84" s="21">
        <f t="shared" si="4"/>
        <v>2.9</v>
      </c>
    </row>
    <row r="85" spans="1:6" x14ac:dyDescent="0.2">
      <c r="A85" s="19">
        <v>19</v>
      </c>
      <c r="B85" s="181" t="s">
        <v>17</v>
      </c>
      <c r="C85" s="182"/>
      <c r="D85" s="14">
        <f t="shared" si="5"/>
        <v>216854</v>
      </c>
      <c r="E85" s="17">
        <f>IF(F3="1",SUMIF(Data!A:A,'44'!$A$2,Data!EQ:EQ),0)</f>
        <v>585931</v>
      </c>
      <c r="F85" s="21">
        <f t="shared" si="4"/>
        <v>2.7</v>
      </c>
    </row>
    <row r="86" spans="1:6" x14ac:dyDescent="0.2">
      <c r="A86" s="19">
        <v>20</v>
      </c>
      <c r="B86" s="181" t="s">
        <v>18</v>
      </c>
      <c r="C86" s="182"/>
      <c r="D86" s="14">
        <f t="shared" si="5"/>
        <v>73152</v>
      </c>
      <c r="E86" s="17">
        <f>IF(F3="1",SUMIF(Data!A:A,'44'!$A$2,Data!ER:ER),0)</f>
        <v>103265</v>
      </c>
      <c r="F86" s="21">
        <f t="shared" si="4"/>
        <v>1.41</v>
      </c>
    </row>
    <row r="87" spans="1:6" ht="14.25" customHeight="1" x14ac:dyDescent="0.2">
      <c r="A87" s="19">
        <v>21</v>
      </c>
      <c r="B87" s="181" t="s">
        <v>461</v>
      </c>
      <c r="C87" s="182"/>
      <c r="D87" s="14">
        <f t="shared" si="5"/>
        <v>42</v>
      </c>
      <c r="E87" s="17">
        <f>IF(F3="1",SUMIF(Data!A:A,'44'!$A$2,Data!ES:ES),0)</f>
        <v>285</v>
      </c>
      <c r="F87" s="21">
        <f t="shared" si="4"/>
        <v>6.79</v>
      </c>
    </row>
    <row r="88" spans="1:6" x14ac:dyDescent="0.2">
      <c r="A88" s="19">
        <v>22</v>
      </c>
      <c r="B88" s="181" t="s">
        <v>19</v>
      </c>
      <c r="C88" s="182"/>
      <c r="D88" s="14">
        <f t="shared" si="5"/>
        <v>0</v>
      </c>
      <c r="E88" s="17">
        <f>IF(F3="1",SUMIF(Data!A:A,'44'!$A$2,Data!ET:ET),0)</f>
        <v>0</v>
      </c>
      <c r="F88" s="21" t="str">
        <f t="shared" si="4"/>
        <v/>
      </c>
    </row>
    <row r="89" spans="1:6" x14ac:dyDescent="0.2">
      <c r="A89" s="19">
        <v>23</v>
      </c>
      <c r="B89" s="181" t="s">
        <v>20</v>
      </c>
      <c r="C89" s="182"/>
      <c r="D89" s="14">
        <f t="shared" si="5"/>
        <v>60192</v>
      </c>
      <c r="E89" s="17">
        <f>IF(F3="1",SUMIF(Data!A:A,'44'!$A$2,Data!EU:EU),0)</f>
        <v>223450</v>
      </c>
      <c r="F89" s="21">
        <f t="shared" si="4"/>
        <v>3.71</v>
      </c>
    </row>
    <row r="90" spans="1:6" x14ac:dyDescent="0.2">
      <c r="A90" s="19">
        <v>24</v>
      </c>
      <c r="B90" s="181" t="s">
        <v>21</v>
      </c>
      <c r="C90" s="182"/>
      <c r="D90" s="14">
        <f t="shared" si="5"/>
        <v>73512</v>
      </c>
      <c r="E90" s="17">
        <f>IF(F3="1",SUMIF(Data!A:A,'44'!$A$2,Data!EV:EV),0)</f>
        <v>142751</v>
      </c>
      <c r="F90" s="21">
        <f t="shared" si="4"/>
        <v>1.94</v>
      </c>
    </row>
    <row r="91" spans="1:6" x14ac:dyDescent="0.2">
      <c r="A91" s="19">
        <v>25</v>
      </c>
      <c r="B91" s="181" t="s">
        <v>22</v>
      </c>
      <c r="C91" s="182"/>
      <c r="D91" s="14">
        <f t="shared" si="5"/>
        <v>323104</v>
      </c>
      <c r="E91" s="17">
        <f>IF(F3="1",SUMIF(Data!A:A,'44'!$A$2,Data!EW:EW),0)</f>
        <v>804378</v>
      </c>
      <c r="F91" s="21">
        <f t="shared" si="4"/>
        <v>2.4900000000000002</v>
      </c>
    </row>
    <row r="92" spans="1:6" x14ac:dyDescent="0.2">
      <c r="A92" s="19">
        <v>26</v>
      </c>
      <c r="B92" s="181" t="s">
        <v>23</v>
      </c>
      <c r="C92" s="182"/>
      <c r="D92" s="14">
        <f t="shared" si="5"/>
        <v>97424</v>
      </c>
      <c r="E92" s="17">
        <f>IF(F3="1",SUMIF(Data!A:A,'44'!$A$2,Data!EX:EX),0)</f>
        <v>340895</v>
      </c>
      <c r="F92" s="21">
        <f t="shared" si="4"/>
        <v>3.5</v>
      </c>
    </row>
    <row r="93" spans="1:6" x14ac:dyDescent="0.2">
      <c r="A93" s="19">
        <v>28</v>
      </c>
      <c r="B93" s="181" t="s">
        <v>24</v>
      </c>
      <c r="C93" s="182"/>
      <c r="D93" s="14">
        <f t="shared" si="5"/>
        <v>0</v>
      </c>
      <c r="E93" s="17">
        <f>IF(F3="1",SUMIF(Data!A:A,'44'!$A$2,Data!EZ:EZ),0)</f>
        <v>0</v>
      </c>
      <c r="F93" s="21" t="str">
        <f t="shared" si="4"/>
        <v/>
      </c>
    </row>
    <row r="94" spans="1:6" ht="15.75" customHeight="1" thickBot="1" x14ac:dyDescent="0.25">
      <c r="A94" s="22">
        <v>29</v>
      </c>
      <c r="B94" s="183" t="s">
        <v>25</v>
      </c>
      <c r="C94" s="184"/>
      <c r="D94" s="23">
        <f t="shared" si="5"/>
        <v>0</v>
      </c>
      <c r="E94" s="24">
        <f>IF(F3="1",SUMIF(Data!A:A,'44'!$A$2,Data!FA:FA),0)</f>
        <v>0</v>
      </c>
      <c r="F94" s="25" t="str">
        <f t="shared" si="4"/>
        <v/>
      </c>
    </row>
    <row r="95" spans="1:6" x14ac:dyDescent="0.2">
      <c r="B95" s="30" t="s">
        <v>35</v>
      </c>
      <c r="C95" s="30"/>
      <c r="D95" s="59">
        <f>SUM(D67:D94)</f>
        <v>2784223</v>
      </c>
      <c r="E95" s="31">
        <f>SUM(E67:E94)</f>
        <v>6848827</v>
      </c>
      <c r="F95" s="32">
        <f t="shared" si="4"/>
        <v>2.46</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IF(F3="1",SUMIF(Data!A:A,'44'!$A$2,Data!AH:AH),0)</f>
        <v>1724045</v>
      </c>
      <c r="F98" s="20">
        <f>IF(OR(E98=0,E98=0),"",ROUND(E98/$D$105,2))</f>
        <v>0.62</v>
      </c>
    </row>
    <row r="99" spans="2:6" x14ac:dyDescent="0.2">
      <c r="B99" s="187" t="s">
        <v>31</v>
      </c>
      <c r="C99" s="188"/>
      <c r="D99" s="36"/>
      <c r="E99" s="17">
        <f>IF(F3="1",SUMIF(Data!A:A,'44'!$A$2,Data!AI:AI),0)</f>
        <v>1329817</v>
      </c>
      <c r="F99" s="21">
        <f t="shared" ref="F99:F104" si="6">IF(OR(E99=0,E99=0),"",ROUND(E99/$D$105,2))</f>
        <v>0.48</v>
      </c>
    </row>
    <row r="100" spans="2:6" x14ac:dyDescent="0.2">
      <c r="B100" s="187" t="s">
        <v>1078</v>
      </c>
      <c r="C100" s="188"/>
      <c r="D100" s="36"/>
      <c r="E100" s="17">
        <f>IF(F3="1",SUMIF(Data!A:A,'44'!$A$2,Data!AJ:AJ),0)</f>
        <v>717026</v>
      </c>
      <c r="F100" s="21">
        <f t="shared" si="6"/>
        <v>0.26</v>
      </c>
    </row>
    <row r="101" spans="2:6" x14ac:dyDescent="0.2">
      <c r="B101" s="187" t="s">
        <v>1079</v>
      </c>
      <c r="C101" s="188"/>
      <c r="D101" s="36"/>
      <c r="E101" s="17">
        <f>IF(F3="1",SUMIF(Data!A:A,'44'!$A$2,Data!AK:AK),0)</f>
        <v>713581</v>
      </c>
      <c r="F101" s="21">
        <f t="shared" si="6"/>
        <v>0.26</v>
      </c>
    </row>
    <row r="102" spans="2:6" x14ac:dyDescent="0.2">
      <c r="B102" s="187" t="s">
        <v>1080</v>
      </c>
      <c r="C102" s="188"/>
      <c r="D102" s="36"/>
      <c r="E102" s="17">
        <f>IF(F3="1",SUMIF(Data!A:A,'44'!$A$2,Data!AL:AL),0)</f>
        <v>234301</v>
      </c>
      <c r="F102" s="21">
        <f t="shared" si="6"/>
        <v>0.08</v>
      </c>
    </row>
    <row r="103" spans="2:6" x14ac:dyDescent="0.2">
      <c r="B103" s="189" t="s">
        <v>34</v>
      </c>
      <c r="C103" s="190"/>
      <c r="D103" s="36"/>
      <c r="E103" s="17">
        <f>IF(F3="1",SUMIF(Data!A:A,'44'!$A$2,Data!AM:AM),0)</f>
        <v>0</v>
      </c>
      <c r="F103" s="21" t="str">
        <f t="shared" si="6"/>
        <v/>
      </c>
    </row>
    <row r="104" spans="2:6" ht="15.75" customHeight="1" thickBot="1" x14ac:dyDescent="0.25">
      <c r="B104" s="179" t="s">
        <v>29</v>
      </c>
      <c r="C104" s="180"/>
      <c r="D104" s="37"/>
      <c r="E104" s="24">
        <f>IF(F3="1",SUMIF(Data!A:A,'44'!$A$2,Data!Q:Q),0)</f>
        <v>1386468</v>
      </c>
      <c r="F104" s="25">
        <f t="shared" si="6"/>
        <v>0.5</v>
      </c>
    </row>
    <row r="105" spans="2:6" x14ac:dyDescent="0.2">
      <c r="B105" s="30" t="s">
        <v>35</v>
      </c>
      <c r="C105" s="30"/>
      <c r="D105" s="34">
        <f>D95</f>
        <v>2784223</v>
      </c>
      <c r="E105" s="31">
        <f>SUM(E98:E104)</f>
        <v>6105238</v>
      </c>
      <c r="F105" s="32">
        <f>IF($D$105=0,"",ROUND(E105/$D$105,2))</f>
        <v>2.19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6848827</v>
      </c>
      <c r="D109" s="15">
        <f>IF(F3="1",SUMIF(Data!$A:$A,$A$2,Data!HJ:HJ),0)</f>
        <v>0</v>
      </c>
      <c r="E109" s="15">
        <f>IF(F3="1",SUMIF(Data!$A:$A,$A$2,Data!IN:IN),0)</f>
        <v>0</v>
      </c>
      <c r="F109" s="47">
        <f>SUM(C109:E109)</f>
        <v>6848827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234301</v>
      </c>
      <c r="F116" s="48">
        <f t="shared" si="7"/>
        <v>234301</v>
      </c>
    </row>
    <row r="117" spans="1:6" ht="15" thickBot="1" x14ac:dyDescent="0.25">
      <c r="B117" s="43" t="s">
        <v>933</v>
      </c>
      <c r="C117" s="52"/>
      <c r="D117" s="52">
        <f>IF(F3="1",SUMIF(Data!A:A,$A$2,Data!Q:Q),0)</f>
        <v>1386468</v>
      </c>
      <c r="E117" s="52"/>
      <c r="F117" s="49">
        <f>SUM(C117:E117)</f>
        <v>1386468</v>
      </c>
    </row>
    <row r="118" spans="1:6" x14ac:dyDescent="0.2">
      <c r="B118" s="13" t="s">
        <v>35</v>
      </c>
      <c r="C118" s="4">
        <f>SUM(C109:C116)</f>
        <v>6848827</v>
      </c>
      <c r="D118" s="4">
        <f>SUM(D109:D116)</f>
        <v>0</v>
      </c>
      <c r="E118" s="4">
        <f>SUM(E109:E116)</f>
        <v>234301</v>
      </c>
      <c r="F118" s="4">
        <f>SUM(F109:F116)</f>
        <v>7083128</v>
      </c>
    </row>
    <row r="119" spans="1:6" ht="15" thickBot="1" x14ac:dyDescent="0.25"/>
    <row r="120" spans="1:6" ht="15" thickBot="1" x14ac:dyDescent="0.25">
      <c r="B120" s="55" t="s">
        <v>934</v>
      </c>
      <c r="C120" s="53"/>
      <c r="D120" s="53"/>
      <c r="E120" s="53">
        <f>IF(F3="1",SUMIF(Data!A:A,'44'!$A$2,Data!AM:AM),0)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411</v>
      </c>
      <c r="B2" s="58" t="str">
        <f>VLOOKUP(A2,Data!A:G,7,0)</f>
        <v>Tyler Junior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33963</v>
      </c>
      <c r="E5" s="15">
        <f>E36+E67+IFERROR($E$105/$D$105*D5,0)</f>
        <v>101589.17712284555</v>
      </c>
      <c r="F5" s="20">
        <f>IF(OR(D5=0,E5=0),"",ROUND(E5/D5,2))</f>
        <v>2.99</v>
      </c>
    </row>
    <row r="6" spans="1:6" x14ac:dyDescent="0.2">
      <c r="A6" s="19">
        <v>2</v>
      </c>
      <c r="B6" s="181" t="s">
        <v>1</v>
      </c>
      <c r="C6" s="182"/>
      <c r="D6" s="14">
        <f t="shared" ref="D6:D32" si="0">D37</f>
        <v>69822</v>
      </c>
      <c r="E6" s="17">
        <f t="shared" ref="E6:E32" si="1">E37+E68+IFERROR($E$105/$D$105*D6,0)</f>
        <v>701775.09578280256</v>
      </c>
      <c r="F6" s="21">
        <f t="shared" ref="F6:F33" si="2">IF(OR(D6=0,E6=0),"",ROUND(E6/D6,2))</f>
        <v>10.050000000000001</v>
      </c>
    </row>
    <row r="7" spans="1:6" ht="14.25" customHeight="1" x14ac:dyDescent="0.2">
      <c r="A7" s="19">
        <v>3</v>
      </c>
      <c r="B7" s="181" t="s">
        <v>2</v>
      </c>
      <c r="C7" s="182"/>
      <c r="D7" s="14">
        <f t="shared" si="0"/>
        <v>513276</v>
      </c>
      <c r="E7" s="17">
        <f t="shared" si="1"/>
        <v>2824287.8529548533</v>
      </c>
      <c r="F7" s="21">
        <f t="shared" si="2"/>
        <v>5.5</v>
      </c>
    </row>
    <row r="8" spans="1:6" ht="14.25" customHeight="1" x14ac:dyDescent="0.2">
      <c r="A8" s="19">
        <v>4</v>
      </c>
      <c r="B8" s="181" t="s">
        <v>3</v>
      </c>
      <c r="C8" s="182"/>
      <c r="D8" s="14">
        <f t="shared" si="0"/>
        <v>415597</v>
      </c>
      <c r="E8" s="17">
        <f t="shared" si="1"/>
        <v>1760725.3700416111</v>
      </c>
      <c r="F8" s="21">
        <f t="shared" si="2"/>
        <v>4.24</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12928</v>
      </c>
      <c r="E10" s="17">
        <f t="shared" si="1"/>
        <v>111459.13216865846</v>
      </c>
      <c r="F10" s="21">
        <f t="shared" si="2"/>
        <v>8.6199999999999992</v>
      </c>
    </row>
    <row r="11" spans="1:6" x14ac:dyDescent="0.2">
      <c r="A11" s="19">
        <v>7</v>
      </c>
      <c r="B11" s="181" t="s">
        <v>6</v>
      </c>
      <c r="C11" s="182"/>
      <c r="D11" s="14">
        <f t="shared" si="0"/>
        <v>112708</v>
      </c>
      <c r="E11" s="17">
        <f t="shared" si="1"/>
        <v>1097194.7200236043</v>
      </c>
      <c r="F11" s="21">
        <f t="shared" si="2"/>
        <v>9.73</v>
      </c>
    </row>
    <row r="12" spans="1:6" x14ac:dyDescent="0.2">
      <c r="A12" s="19">
        <v>8</v>
      </c>
      <c r="B12" s="181" t="s">
        <v>7</v>
      </c>
      <c r="C12" s="182"/>
      <c r="D12" s="14">
        <f t="shared" si="0"/>
        <v>1200</v>
      </c>
      <c r="E12" s="17">
        <f t="shared" si="1"/>
        <v>4912.7857829819113</v>
      </c>
      <c r="F12" s="21">
        <f t="shared" si="2"/>
        <v>4.09</v>
      </c>
    </row>
    <row r="13" spans="1:6" x14ac:dyDescent="0.2">
      <c r="A13" s="19">
        <v>9</v>
      </c>
      <c r="B13" s="181" t="s">
        <v>8</v>
      </c>
      <c r="C13" s="182"/>
      <c r="D13" s="14">
        <f t="shared" si="0"/>
        <v>68027</v>
      </c>
      <c r="E13" s="17">
        <f t="shared" si="1"/>
        <v>307551.81621575879</v>
      </c>
      <c r="F13" s="21">
        <f t="shared" si="2"/>
        <v>4.5199999999999996</v>
      </c>
    </row>
    <row r="14" spans="1:6" x14ac:dyDescent="0.2">
      <c r="A14" s="19">
        <v>10</v>
      </c>
      <c r="B14" s="181" t="s">
        <v>9</v>
      </c>
      <c r="C14" s="182"/>
      <c r="D14" s="14">
        <f t="shared" si="0"/>
        <v>1424</v>
      </c>
      <c r="E14" s="17">
        <f t="shared" si="1"/>
        <v>3750.2657958052018</v>
      </c>
      <c r="F14" s="21">
        <f t="shared" si="2"/>
        <v>2.63</v>
      </c>
    </row>
    <row r="15" spans="1:6" x14ac:dyDescent="0.2">
      <c r="A15" s="19">
        <v>11</v>
      </c>
      <c r="B15" s="181" t="s">
        <v>10</v>
      </c>
      <c r="C15" s="182"/>
      <c r="D15" s="14">
        <f t="shared" si="0"/>
        <v>114086</v>
      </c>
      <c r="E15" s="17">
        <f t="shared" si="1"/>
        <v>535348.91403106204</v>
      </c>
      <c r="F15" s="21">
        <f t="shared" si="2"/>
        <v>4.6900000000000004</v>
      </c>
    </row>
    <row r="16" spans="1:6" ht="14.25" customHeight="1" x14ac:dyDescent="0.2">
      <c r="A16" s="19">
        <v>12</v>
      </c>
      <c r="B16" s="181" t="s">
        <v>11</v>
      </c>
      <c r="C16" s="182"/>
      <c r="D16" s="14">
        <f t="shared" si="0"/>
        <v>609692</v>
      </c>
      <c r="E16" s="17">
        <f t="shared" si="1"/>
        <v>2941595.3213315066</v>
      </c>
      <c r="F16" s="21">
        <f t="shared" si="2"/>
        <v>4.82</v>
      </c>
    </row>
    <row r="17" spans="1:6" x14ac:dyDescent="0.2">
      <c r="A17" s="19">
        <v>13</v>
      </c>
      <c r="B17" s="181" t="s">
        <v>12</v>
      </c>
      <c r="C17" s="182"/>
      <c r="D17" s="14">
        <f t="shared" si="0"/>
        <v>32909</v>
      </c>
      <c r="E17" s="17">
        <f t="shared" si="1"/>
        <v>207761.44527679309</v>
      </c>
      <c r="F17" s="21">
        <f t="shared" si="2"/>
        <v>6.31</v>
      </c>
    </row>
    <row r="18" spans="1:6" ht="14.25" customHeight="1" x14ac:dyDescent="0.2">
      <c r="A18" s="19">
        <v>14</v>
      </c>
      <c r="B18" s="181" t="s">
        <v>464</v>
      </c>
      <c r="C18" s="182"/>
      <c r="D18" s="14">
        <f t="shared" si="0"/>
        <v>118526</v>
      </c>
      <c r="E18" s="17">
        <f t="shared" si="1"/>
        <v>1158656.321428095</v>
      </c>
      <c r="F18" s="21">
        <f t="shared" si="2"/>
        <v>9.7799999999999994</v>
      </c>
    </row>
    <row r="19" spans="1:6" x14ac:dyDescent="0.2">
      <c r="A19" s="19">
        <v>15</v>
      </c>
      <c r="B19" s="181" t="s">
        <v>13</v>
      </c>
      <c r="C19" s="182"/>
      <c r="D19" s="14">
        <f t="shared" si="0"/>
        <v>46220</v>
      </c>
      <c r="E19" s="17">
        <f t="shared" si="1"/>
        <v>510567.34907451994</v>
      </c>
      <c r="F19" s="21">
        <f t="shared" si="2"/>
        <v>11.05</v>
      </c>
    </row>
    <row r="20" spans="1:6" x14ac:dyDescent="0.2">
      <c r="A20" s="19">
        <v>16</v>
      </c>
      <c r="B20" s="181" t="s">
        <v>14</v>
      </c>
      <c r="C20" s="182"/>
      <c r="D20" s="14">
        <f t="shared" si="0"/>
        <v>292888</v>
      </c>
      <c r="E20" s="17">
        <f t="shared" si="1"/>
        <v>1793411.9553383384</v>
      </c>
      <c r="F20" s="21">
        <f t="shared" si="2"/>
        <v>6.12</v>
      </c>
    </row>
    <row r="21" spans="1:6" x14ac:dyDescent="0.2">
      <c r="A21" s="19">
        <v>17</v>
      </c>
      <c r="B21" s="181" t="s">
        <v>15</v>
      </c>
      <c r="C21" s="182"/>
      <c r="D21" s="14">
        <f t="shared" si="0"/>
        <v>37764</v>
      </c>
      <c r="E21" s="17">
        <f t="shared" si="1"/>
        <v>362690.97859044076</v>
      </c>
      <c r="F21" s="21">
        <f t="shared" si="2"/>
        <v>9.6</v>
      </c>
    </row>
    <row r="22" spans="1:6" x14ac:dyDescent="0.2">
      <c r="A22" s="19">
        <v>18</v>
      </c>
      <c r="B22" s="181" t="s">
        <v>16</v>
      </c>
      <c r="C22" s="182"/>
      <c r="D22" s="14">
        <f t="shared" si="0"/>
        <v>152480</v>
      </c>
      <c r="E22" s="17">
        <f t="shared" si="1"/>
        <v>1008556.1801575683</v>
      </c>
      <c r="F22" s="21">
        <f t="shared" si="2"/>
        <v>6.61</v>
      </c>
    </row>
    <row r="23" spans="1:6" x14ac:dyDescent="0.2">
      <c r="A23" s="19">
        <v>19</v>
      </c>
      <c r="B23" s="181" t="s">
        <v>17</v>
      </c>
      <c r="C23" s="182"/>
      <c r="D23" s="14">
        <f t="shared" si="0"/>
        <v>540427</v>
      </c>
      <c r="E23" s="17">
        <f t="shared" si="1"/>
        <v>2625731.4861163045</v>
      </c>
      <c r="F23" s="21">
        <f t="shared" si="2"/>
        <v>4.8600000000000003</v>
      </c>
    </row>
    <row r="24" spans="1:6" x14ac:dyDescent="0.2">
      <c r="A24" s="19">
        <v>20</v>
      </c>
      <c r="B24" s="181" t="s">
        <v>18</v>
      </c>
      <c r="C24" s="182"/>
      <c r="D24" s="14">
        <f t="shared" si="0"/>
        <v>74670</v>
      </c>
      <c r="E24" s="17">
        <f t="shared" si="1"/>
        <v>560752.27034604945</v>
      </c>
      <c r="F24" s="21">
        <f t="shared" si="2"/>
        <v>7.51</v>
      </c>
    </row>
    <row r="25" spans="1:6" ht="14.25" customHeight="1" x14ac:dyDescent="0.2">
      <c r="A25" s="19">
        <v>21</v>
      </c>
      <c r="B25" s="181" t="s">
        <v>461</v>
      </c>
      <c r="C25" s="182"/>
      <c r="D25" s="14">
        <f t="shared" si="0"/>
        <v>29000</v>
      </c>
      <c r="E25" s="17">
        <f t="shared" si="1"/>
        <v>675535.82308872952</v>
      </c>
      <c r="F25" s="21">
        <f t="shared" si="2"/>
        <v>23.29</v>
      </c>
    </row>
    <row r="26" spans="1:6" x14ac:dyDescent="0.2">
      <c r="A26" s="19">
        <v>22</v>
      </c>
      <c r="B26" s="181" t="s">
        <v>19</v>
      </c>
      <c r="C26" s="182"/>
      <c r="D26" s="14">
        <f t="shared" si="0"/>
        <v>3072</v>
      </c>
      <c r="E26" s="17">
        <f t="shared" si="1"/>
        <v>8091.0116044336937</v>
      </c>
      <c r="F26" s="21">
        <f t="shared" si="2"/>
        <v>2.63</v>
      </c>
    </row>
    <row r="27" spans="1:6" x14ac:dyDescent="0.2">
      <c r="A27" s="19">
        <v>23</v>
      </c>
      <c r="B27" s="181" t="s">
        <v>20</v>
      </c>
      <c r="C27" s="182"/>
      <c r="D27" s="14">
        <f t="shared" si="0"/>
        <v>118457</v>
      </c>
      <c r="E27" s="17">
        <f t="shared" si="1"/>
        <v>1029782.2137455735</v>
      </c>
      <c r="F27" s="21">
        <f t="shared" si="2"/>
        <v>8.69</v>
      </c>
    </row>
    <row r="28" spans="1:6" x14ac:dyDescent="0.2">
      <c r="A28" s="19">
        <v>24</v>
      </c>
      <c r="B28" s="181" t="s">
        <v>21</v>
      </c>
      <c r="C28" s="182"/>
      <c r="D28" s="14">
        <f t="shared" si="0"/>
        <v>77938</v>
      </c>
      <c r="E28" s="17">
        <f t="shared" si="1"/>
        <v>359550.32696170348</v>
      </c>
      <c r="F28" s="21">
        <f t="shared" si="2"/>
        <v>4.6100000000000003</v>
      </c>
    </row>
    <row r="29" spans="1:6" x14ac:dyDescent="0.2">
      <c r="A29" s="19">
        <v>25</v>
      </c>
      <c r="B29" s="181" t="s">
        <v>22</v>
      </c>
      <c r="C29" s="182"/>
      <c r="D29" s="14">
        <f t="shared" si="0"/>
        <v>630672</v>
      </c>
      <c r="E29" s="17">
        <f t="shared" si="1"/>
        <v>3135816.9761039736</v>
      </c>
      <c r="F29" s="21">
        <f t="shared" si="2"/>
        <v>4.97</v>
      </c>
    </row>
    <row r="30" spans="1:6" x14ac:dyDescent="0.2">
      <c r="A30" s="19">
        <v>26</v>
      </c>
      <c r="B30" s="181" t="s">
        <v>23</v>
      </c>
      <c r="C30" s="182"/>
      <c r="D30" s="14">
        <f t="shared" si="0"/>
        <v>240592</v>
      </c>
      <c r="E30" s="17">
        <f t="shared" si="1"/>
        <v>1836968.2109159867</v>
      </c>
      <c r="F30" s="21">
        <f t="shared" si="2"/>
        <v>7.64</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4348338</v>
      </c>
      <c r="E33" s="31">
        <f>SUM(E5:E32)</f>
        <v>25664062.999999993</v>
      </c>
      <c r="F33" s="32">
        <f t="shared" si="2"/>
        <v>5.9</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IF(F3="1",SUMIF(Data!A:A,'45'!$A$2,Data!CU:CU),0)</f>
        <v>33963</v>
      </c>
      <c r="E36" s="15">
        <f>IF(F3="1",SUMIF(Data!$A:$A,$A$2,Data!IO:IO),0)</f>
        <v>7329</v>
      </c>
      <c r="F36" s="20">
        <f t="shared" ref="F36:F64" si="3">IF(OR(D36=0,E36=0),"",ROUND(E36/D36,2))</f>
        <v>0.22</v>
      </c>
    </row>
    <row r="37" spans="1:6" x14ac:dyDescent="0.2">
      <c r="A37" s="19">
        <v>2</v>
      </c>
      <c r="B37" s="181" t="s">
        <v>1</v>
      </c>
      <c r="C37" s="182"/>
      <c r="D37" s="14">
        <f>IF(F3="1",SUMIF(Data!A:A,'45'!$A$2,Data!CV:CV),0)</f>
        <v>69822</v>
      </c>
      <c r="E37" s="17">
        <f>IF(F3="1",SUMIF(Data!$A:$A,$A$2,Data!IP:IP),0)</f>
        <v>120017</v>
      </c>
      <c r="F37" s="21">
        <f t="shared" si="3"/>
        <v>1.72</v>
      </c>
    </row>
    <row r="38" spans="1:6" ht="14.25" customHeight="1" x14ac:dyDescent="0.2">
      <c r="A38" s="19">
        <v>3</v>
      </c>
      <c r="B38" s="181" t="s">
        <v>2</v>
      </c>
      <c r="C38" s="182"/>
      <c r="D38" s="14">
        <f>IF(F3="1",SUMIF(Data!A:A,'45'!$A$2,Data!CW:CW),0)</f>
        <v>513276</v>
      </c>
      <c r="E38" s="17">
        <f>IF($F$3="1",SUMIF(Data!$A:$A,$A$2,Data!IQ:IQ),0)</f>
        <v>434554</v>
      </c>
      <c r="F38" s="21">
        <f t="shared" si="3"/>
        <v>0.85</v>
      </c>
    </row>
    <row r="39" spans="1:6" ht="14.25" customHeight="1" x14ac:dyDescent="0.2">
      <c r="A39" s="19">
        <v>4</v>
      </c>
      <c r="B39" s="181" t="s">
        <v>3</v>
      </c>
      <c r="C39" s="182"/>
      <c r="D39" s="14">
        <f>IF(F3="1",SUMIF(Data!A:A,'45'!$A$2,Data!CX:CX),0)</f>
        <v>415597</v>
      </c>
      <c r="E39" s="17">
        <f>IF($F$3="1",SUMIF(Data!$A:$A,$A$2,Data!IR:IR),0)</f>
        <v>105522</v>
      </c>
      <c r="F39" s="21">
        <f t="shared" si="3"/>
        <v>0.25</v>
      </c>
    </row>
    <row r="40" spans="1:6" x14ac:dyDescent="0.2">
      <c r="A40" s="19">
        <v>5</v>
      </c>
      <c r="B40" s="181" t="s">
        <v>4</v>
      </c>
      <c r="C40" s="182"/>
      <c r="D40" s="14">
        <f>IF(F3="1",SUMIF(Data!A:A,'45'!$A$2,Data!CY:CY),0)</f>
        <v>0</v>
      </c>
      <c r="E40" s="17">
        <f>IF($F$3="1",SUMIF(Data!$A:$A,$A$2,Data!IS:IS),0)</f>
        <v>0</v>
      </c>
      <c r="F40" s="21" t="str">
        <f t="shared" si="3"/>
        <v/>
      </c>
    </row>
    <row r="41" spans="1:6" x14ac:dyDescent="0.2">
      <c r="A41" s="19">
        <v>6</v>
      </c>
      <c r="B41" s="181" t="s">
        <v>5</v>
      </c>
      <c r="C41" s="182"/>
      <c r="D41" s="14">
        <f>IF(F3="1",SUMIF(Data!A:A,'45'!$A$2,Data!CZ:CZ),0)</f>
        <v>12928</v>
      </c>
      <c r="E41" s="17">
        <f>IF($F$3="1",SUMIF(Data!$A:$A,$A$2,Data!IT:IT),0)</f>
        <v>13733</v>
      </c>
      <c r="F41" s="21">
        <f t="shared" si="3"/>
        <v>1.06</v>
      </c>
    </row>
    <row r="42" spans="1:6" x14ac:dyDescent="0.2">
      <c r="A42" s="19">
        <v>7</v>
      </c>
      <c r="B42" s="181" t="s">
        <v>6</v>
      </c>
      <c r="C42" s="182"/>
      <c r="D42" s="14">
        <f>IF(F3="1",SUMIF(Data!A:A,'45'!$A$2,Data!DA:DA),0)</f>
        <v>112708</v>
      </c>
      <c r="E42" s="17">
        <f>IF($F$3="1",SUMIF(Data!$A:$A,$A$2,Data!IU:IU),0)</f>
        <v>57493</v>
      </c>
      <c r="F42" s="21">
        <f t="shared" si="3"/>
        <v>0.51</v>
      </c>
    </row>
    <row r="43" spans="1:6" x14ac:dyDescent="0.2">
      <c r="A43" s="19">
        <v>8</v>
      </c>
      <c r="B43" s="181" t="s">
        <v>7</v>
      </c>
      <c r="C43" s="182"/>
      <c r="D43" s="14">
        <f>IF(F3="1",SUMIF(Data!A:A,'45'!$A$2,Data!DB:DB),0)</f>
        <v>1200</v>
      </c>
      <c r="E43" s="17">
        <f>IF($F$3="1",SUMIF(Data!$A:$A,$A$2,Data!IV:IV),0)</f>
        <v>787</v>
      </c>
      <c r="F43" s="21">
        <f t="shared" si="3"/>
        <v>0.66</v>
      </c>
    </row>
    <row r="44" spans="1:6" x14ac:dyDescent="0.2">
      <c r="A44" s="19">
        <v>9</v>
      </c>
      <c r="B44" s="181" t="s">
        <v>8</v>
      </c>
      <c r="C44" s="182"/>
      <c r="D44" s="14">
        <f>IF(F3="1",SUMIF(Data!A:A,'45'!$A$2,Data!DC:DC),0)</f>
        <v>68027</v>
      </c>
      <c r="E44" s="17">
        <f>IF($F$3="1",SUMIF(Data!$A:$A,$A$2,Data!IW:IW),0)</f>
        <v>30883</v>
      </c>
      <c r="F44" s="21">
        <f t="shared" si="3"/>
        <v>0.45</v>
      </c>
    </row>
    <row r="45" spans="1:6" x14ac:dyDescent="0.2">
      <c r="A45" s="19">
        <v>10</v>
      </c>
      <c r="B45" s="181" t="s">
        <v>9</v>
      </c>
      <c r="C45" s="182"/>
      <c r="D45" s="14">
        <f>IF(F3="1",SUMIF(Data!A:A,'45'!$A$2,Data!DD:DD),0)</f>
        <v>1424</v>
      </c>
      <c r="E45" s="17">
        <f>IF($F$3="1",SUMIF(Data!$A:$A,$A$2,Data!IX:IX),0)</f>
        <v>219</v>
      </c>
      <c r="F45" s="21">
        <f t="shared" si="3"/>
        <v>0.15</v>
      </c>
    </row>
    <row r="46" spans="1:6" x14ac:dyDescent="0.2">
      <c r="A46" s="19">
        <v>11</v>
      </c>
      <c r="B46" s="181" t="s">
        <v>10</v>
      </c>
      <c r="C46" s="182"/>
      <c r="D46" s="14">
        <f>IF(F3="1",SUMIF(Data!A:A,'45'!$A$2,Data!DE:DE),0)</f>
        <v>114086</v>
      </c>
      <c r="E46" s="17">
        <f>IF($F$3="1",SUMIF(Data!$A:$A,$A$2,Data!IY:IY),0)</f>
        <v>54606</v>
      </c>
      <c r="F46" s="21">
        <f t="shared" si="3"/>
        <v>0.48</v>
      </c>
    </row>
    <row r="47" spans="1:6" ht="14.25" customHeight="1" x14ac:dyDescent="0.2">
      <c r="A47" s="19">
        <v>12</v>
      </c>
      <c r="B47" s="181" t="s">
        <v>11</v>
      </c>
      <c r="C47" s="182"/>
      <c r="D47" s="14">
        <f>IF(F3="1",SUMIF(Data!A:A,'45'!$A$2,Data!DF:DF),0)</f>
        <v>609692</v>
      </c>
      <c r="E47" s="17">
        <f>IF($F$3="1",SUMIF(Data!$A:$A,$A$2,Data!IZ:IZ),0)</f>
        <v>146360</v>
      </c>
      <c r="F47" s="21">
        <f t="shared" si="3"/>
        <v>0.24</v>
      </c>
    </row>
    <row r="48" spans="1:6" x14ac:dyDescent="0.2">
      <c r="A48" s="19">
        <v>13</v>
      </c>
      <c r="B48" s="181" t="s">
        <v>12</v>
      </c>
      <c r="C48" s="182"/>
      <c r="D48" s="14">
        <f>IF(F3="1",SUMIF(Data!A:A,'45'!$A$2,Data!DG:DG),0)</f>
        <v>32909</v>
      </c>
      <c r="E48" s="17">
        <f>IF($F$3="1",SUMIF(Data!$A:$A,$A$2,Data!JA:JA),0)</f>
        <v>11775</v>
      </c>
      <c r="F48" s="21">
        <f t="shared" si="3"/>
        <v>0.36</v>
      </c>
    </row>
    <row r="49" spans="1:6" ht="14.25" customHeight="1" x14ac:dyDescent="0.2">
      <c r="A49" s="19">
        <v>14</v>
      </c>
      <c r="B49" s="181" t="s">
        <v>464</v>
      </c>
      <c r="C49" s="182"/>
      <c r="D49" s="14">
        <f>IF(F3="1",SUMIF(Data!A:A,'45'!$A$2,Data!DH:DH),0)</f>
        <v>118526</v>
      </c>
      <c r="E49" s="17">
        <f>IF($F$3="1",SUMIF(Data!$A:$A,$A$2,Data!JB:JB),0)</f>
        <v>135680</v>
      </c>
      <c r="F49" s="21">
        <f t="shared" si="3"/>
        <v>1.1399999999999999</v>
      </c>
    </row>
    <row r="50" spans="1:6" x14ac:dyDescent="0.2">
      <c r="A50" s="19">
        <v>15</v>
      </c>
      <c r="B50" s="181" t="s">
        <v>13</v>
      </c>
      <c r="C50" s="182"/>
      <c r="D50" s="14">
        <f>IF(F3="1",SUMIF(Data!A:A,'45'!$A$2,Data!DI:DI),0)</f>
        <v>46220</v>
      </c>
      <c r="E50" s="17">
        <f>IF($F$3="1",SUMIF(Data!$A:$A,$A$2,Data!JC:JC),0)</f>
        <v>84296</v>
      </c>
      <c r="F50" s="21">
        <f t="shared" si="3"/>
        <v>1.82</v>
      </c>
    </row>
    <row r="51" spans="1:6" x14ac:dyDescent="0.2">
      <c r="A51" s="19">
        <v>16</v>
      </c>
      <c r="B51" s="181" t="s">
        <v>14</v>
      </c>
      <c r="C51" s="182"/>
      <c r="D51" s="14">
        <f>IF(F3="1",SUMIF(Data!A:A,'45'!$A$2,Data!DJ:DJ),0)</f>
        <v>292888</v>
      </c>
      <c r="E51" s="17">
        <f>IF($F$3="1",SUMIF(Data!$A:$A,$A$2,Data!JD:JD),0)</f>
        <v>228802</v>
      </c>
      <c r="F51" s="21">
        <f t="shared" si="3"/>
        <v>0.78</v>
      </c>
    </row>
    <row r="52" spans="1:6" x14ac:dyDescent="0.2">
      <c r="A52" s="19">
        <v>17</v>
      </c>
      <c r="B52" s="181" t="s">
        <v>15</v>
      </c>
      <c r="C52" s="182"/>
      <c r="D52" s="14">
        <f>IF(F3="1",SUMIF(Data!A:A,'45'!$A$2,Data!DK:DK),0)</f>
        <v>37764</v>
      </c>
      <c r="E52" s="17">
        <f>IF($F$3="1",SUMIF(Data!$A:$A,$A$2,Data!JE:JE),0)</f>
        <v>29184</v>
      </c>
      <c r="F52" s="21">
        <f t="shared" si="3"/>
        <v>0.77</v>
      </c>
    </row>
    <row r="53" spans="1:6" x14ac:dyDescent="0.2">
      <c r="A53" s="19">
        <v>18</v>
      </c>
      <c r="B53" s="181" t="s">
        <v>16</v>
      </c>
      <c r="C53" s="182"/>
      <c r="D53" s="14">
        <f>IF(F3="1",SUMIF(Data!A:A,'45'!$A$2,Data!DL:DL),0)</f>
        <v>152480</v>
      </c>
      <c r="E53" s="17">
        <f>IF($F$3="1",SUMIF(Data!$A:$A,$A$2,Data!JF:JF),0)</f>
        <v>71551</v>
      </c>
      <c r="F53" s="21">
        <f t="shared" si="3"/>
        <v>0.47</v>
      </c>
    </row>
    <row r="54" spans="1:6" x14ac:dyDescent="0.2">
      <c r="A54" s="19">
        <v>19</v>
      </c>
      <c r="B54" s="181" t="s">
        <v>17</v>
      </c>
      <c r="C54" s="182"/>
      <c r="D54" s="14">
        <f>IF(F3="1",SUMIF(Data!A:A,'45'!$A$2,Data!DM:DM),0)</f>
        <v>540427</v>
      </c>
      <c r="E54" s="17">
        <f>IF($F$3="1",SUMIF(Data!$A:$A,$A$2,Data!JG:JG),0)</f>
        <v>162255</v>
      </c>
      <c r="F54" s="21">
        <f t="shared" si="3"/>
        <v>0.3</v>
      </c>
    </row>
    <row r="55" spans="1:6" x14ac:dyDescent="0.2">
      <c r="A55" s="19">
        <v>20</v>
      </c>
      <c r="B55" s="181" t="s">
        <v>18</v>
      </c>
      <c r="C55" s="182"/>
      <c r="D55" s="14">
        <f>IF(F3="1",SUMIF(Data!A:A,'45'!$A$2,Data!DN:DN),0)</f>
        <v>74670</v>
      </c>
      <c r="E55" s="17">
        <f>IF($F$3="1",SUMIF(Data!$A:$A,$A$2,Data!JH:JH),0)</f>
        <v>73595</v>
      </c>
      <c r="F55" s="21">
        <f t="shared" si="3"/>
        <v>0.99</v>
      </c>
    </row>
    <row r="56" spans="1:6" ht="14.25" customHeight="1" x14ac:dyDescent="0.2">
      <c r="A56" s="19">
        <v>21</v>
      </c>
      <c r="B56" s="181" t="s">
        <v>461</v>
      </c>
      <c r="C56" s="182"/>
      <c r="D56" s="14">
        <f>IF(F3="1",SUMIF(Data!A:A,'45'!$A$2,Data!DO:DO),0)</f>
        <v>29000</v>
      </c>
      <c r="E56" s="17">
        <f>IF($F$3="1",SUMIF(Data!$A:$A,$A$2,Data!JI:JI),0)</f>
        <v>575826</v>
      </c>
      <c r="F56" s="21">
        <f t="shared" si="3"/>
        <v>19.86</v>
      </c>
    </row>
    <row r="57" spans="1:6" x14ac:dyDescent="0.2">
      <c r="A57" s="19">
        <v>22</v>
      </c>
      <c r="B57" s="181" t="s">
        <v>19</v>
      </c>
      <c r="C57" s="182"/>
      <c r="D57" s="14">
        <f>IF(F3="1",SUMIF(Data!A:A,'45'!$A$2,Data!DP:DP),0)</f>
        <v>3072</v>
      </c>
      <c r="E57" s="17">
        <f>IF($F$3="1",SUMIF(Data!$A:$A,$A$2,Data!JJ:JJ),0)</f>
        <v>473</v>
      </c>
      <c r="F57" s="21">
        <f t="shared" si="3"/>
        <v>0.15</v>
      </c>
    </row>
    <row r="58" spans="1:6" x14ac:dyDescent="0.2">
      <c r="A58" s="19">
        <v>23</v>
      </c>
      <c r="B58" s="181" t="s">
        <v>20</v>
      </c>
      <c r="C58" s="182"/>
      <c r="D58" s="14">
        <f>IF(F3="1",SUMIF(Data!A:A,'45'!$A$2,Data!DQ:DQ),0)</f>
        <v>118457</v>
      </c>
      <c r="E58" s="17">
        <f>IF($F$3="1",SUMIF(Data!$A:$A,$A$2,Data!JK:JK),0)</f>
        <v>77979</v>
      </c>
      <c r="F58" s="21">
        <f t="shared" si="3"/>
        <v>0.66</v>
      </c>
    </row>
    <row r="59" spans="1:6" x14ac:dyDescent="0.2">
      <c r="A59" s="19">
        <v>24</v>
      </c>
      <c r="B59" s="181" t="s">
        <v>21</v>
      </c>
      <c r="C59" s="182"/>
      <c r="D59" s="14">
        <f>IF(F3="1",SUMIF(Data!A:A,'45'!$A$2,Data!DR:DR),0)</f>
        <v>77938</v>
      </c>
      <c r="E59" s="17">
        <f>IF($F$3="1",SUMIF(Data!$A:$A,$A$2,Data!JL:JL),0)</f>
        <v>35585</v>
      </c>
      <c r="F59" s="21">
        <f t="shared" si="3"/>
        <v>0.46</v>
      </c>
    </row>
    <row r="60" spans="1:6" x14ac:dyDescent="0.2">
      <c r="A60" s="19">
        <v>25</v>
      </c>
      <c r="B60" s="181" t="s">
        <v>22</v>
      </c>
      <c r="C60" s="182"/>
      <c r="D60" s="14">
        <f>IF(F3="1",SUMIF(Data!A:A,'45'!$A$2,Data!DS:DS),0)</f>
        <v>630672</v>
      </c>
      <c r="E60" s="17">
        <f>IF($F$3="1",SUMIF(Data!$A:$A,$A$2,Data!JM:JM),0)</f>
        <v>162348</v>
      </c>
      <c r="F60" s="21">
        <f t="shared" si="3"/>
        <v>0.26</v>
      </c>
    </row>
    <row r="61" spans="1:6" x14ac:dyDescent="0.2">
      <c r="A61" s="19">
        <v>26</v>
      </c>
      <c r="B61" s="181" t="s">
        <v>23</v>
      </c>
      <c r="C61" s="182"/>
      <c r="D61" s="14">
        <f>IF(F3="1",SUMIF(Data!A:A,'45'!$A$2,Data!DT:DT),0)</f>
        <v>240592</v>
      </c>
      <c r="E61" s="17">
        <f>IF($F$3="1",SUMIF(Data!$A:$A,$A$2,Data!JN:JN),0)</f>
        <v>283851</v>
      </c>
      <c r="F61" s="21">
        <f t="shared" si="3"/>
        <v>1.18</v>
      </c>
    </row>
    <row r="62" spans="1:6" x14ac:dyDescent="0.2">
      <c r="A62" s="19">
        <v>28</v>
      </c>
      <c r="B62" s="181" t="s">
        <v>24</v>
      </c>
      <c r="C62" s="182"/>
      <c r="D62" s="14">
        <f>IF(F3="1",SUMIF(Data!A:A,'45'!$A$2,Data!DV:DV),0)</f>
        <v>0</v>
      </c>
      <c r="E62" s="17">
        <f>IF($F$3="1",SUMIF(Data!$A:$A,$A$2,Data!JP:JP),0)</f>
        <v>0</v>
      </c>
      <c r="F62" s="21" t="str">
        <f t="shared" si="3"/>
        <v/>
      </c>
    </row>
    <row r="63" spans="1:6" ht="15.75" customHeight="1" thickBot="1" x14ac:dyDescent="0.25">
      <c r="A63" s="22">
        <v>29</v>
      </c>
      <c r="B63" s="183" t="s">
        <v>25</v>
      </c>
      <c r="C63" s="184"/>
      <c r="D63" s="23">
        <f>IF(F3="1",SUMIF(Data!A:A,'45'!$A$2,Data!DW:DW),0)</f>
        <v>0</v>
      </c>
      <c r="E63" s="24">
        <f>IF($F$3="1",SUMIF(Data!$A:$A,$A$2,Data!JQ:JQ),0)</f>
        <v>0</v>
      </c>
      <c r="F63" s="25" t="str">
        <f t="shared" si="3"/>
        <v/>
      </c>
    </row>
    <row r="64" spans="1:6" x14ac:dyDescent="0.2">
      <c r="B64" s="30" t="s">
        <v>35</v>
      </c>
      <c r="C64" s="30"/>
      <c r="D64" s="59">
        <f>SUM(D36:D63)</f>
        <v>4348338</v>
      </c>
      <c r="E64" s="31">
        <f>SUM(E36:E63)</f>
        <v>2904703</v>
      </c>
      <c r="F64" s="32">
        <f t="shared" si="3"/>
        <v>0.67</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33963</v>
      </c>
      <c r="E67" s="15">
        <f>IF(F3="1",SUMIF(Data!A:A,'45'!$A$2,Data!DY:DY),0)</f>
        <v>10038</v>
      </c>
      <c r="F67" s="20">
        <f t="shared" ref="F67:F95" si="4">IF(OR(D67=0,E67=0),"",ROUND(E67/D67,2))</f>
        <v>0.3</v>
      </c>
    </row>
    <row r="68" spans="1:6" x14ac:dyDescent="0.2">
      <c r="A68" s="19">
        <v>2</v>
      </c>
      <c r="B68" s="181" t="s">
        <v>1</v>
      </c>
      <c r="C68" s="182"/>
      <c r="D68" s="14">
        <f t="shared" ref="D68:D94" si="5">D37</f>
        <v>69822</v>
      </c>
      <c r="E68" s="17">
        <f>IF(F3="1",SUMIF(Data!A:A,'45'!$A$2,Data!DZ:DZ),0)</f>
        <v>408612</v>
      </c>
      <c r="F68" s="21">
        <f t="shared" si="4"/>
        <v>5.85</v>
      </c>
    </row>
    <row r="69" spans="1:6" ht="14.25" customHeight="1" x14ac:dyDescent="0.2">
      <c r="A69" s="19">
        <v>3</v>
      </c>
      <c r="B69" s="181" t="s">
        <v>2</v>
      </c>
      <c r="C69" s="182"/>
      <c r="D69" s="14">
        <f t="shared" si="5"/>
        <v>513276</v>
      </c>
      <c r="E69" s="17">
        <f>IF(F3="1",SUMIF(Data!A:A,'45'!$A$2,Data!EA:EA),0)</f>
        <v>1116901</v>
      </c>
      <c r="F69" s="21">
        <f t="shared" si="4"/>
        <v>2.1800000000000002</v>
      </c>
    </row>
    <row r="70" spans="1:6" ht="14.25" customHeight="1" x14ac:dyDescent="0.2">
      <c r="A70" s="19">
        <v>4</v>
      </c>
      <c r="B70" s="181" t="s">
        <v>3</v>
      </c>
      <c r="C70" s="182"/>
      <c r="D70" s="14">
        <f t="shared" si="5"/>
        <v>415597</v>
      </c>
      <c r="E70" s="17">
        <f>IF(F3="1",SUMIF(Data!A:A,'45'!$A$2,Data!EB:EB),0)</f>
        <v>624597</v>
      </c>
      <c r="F70" s="21">
        <f t="shared" si="4"/>
        <v>1.5</v>
      </c>
    </row>
    <row r="71" spans="1:6" x14ac:dyDescent="0.2">
      <c r="A71" s="19">
        <v>5</v>
      </c>
      <c r="B71" s="181" t="s">
        <v>4</v>
      </c>
      <c r="C71" s="182"/>
      <c r="D71" s="14">
        <f t="shared" si="5"/>
        <v>0</v>
      </c>
      <c r="E71" s="17">
        <f>IF(F3="1",SUMIF(Data!A:A,'45'!$A$2,Data!EC:EC),0)</f>
        <v>0</v>
      </c>
      <c r="F71" s="21" t="str">
        <f t="shared" si="4"/>
        <v/>
      </c>
    </row>
    <row r="72" spans="1:6" x14ac:dyDescent="0.2">
      <c r="A72" s="19">
        <v>6</v>
      </c>
      <c r="B72" s="181" t="s">
        <v>5</v>
      </c>
      <c r="C72" s="182"/>
      <c r="D72" s="14">
        <f t="shared" si="5"/>
        <v>12928</v>
      </c>
      <c r="E72" s="17">
        <f>IF(F3="1",SUMIF(Data!A:A,'45'!$A$2,Data!ED:ED),0)</f>
        <v>65667</v>
      </c>
      <c r="F72" s="21">
        <f t="shared" si="4"/>
        <v>5.08</v>
      </c>
    </row>
    <row r="73" spans="1:6" x14ac:dyDescent="0.2">
      <c r="A73" s="19">
        <v>7</v>
      </c>
      <c r="B73" s="181" t="s">
        <v>6</v>
      </c>
      <c r="C73" s="182"/>
      <c r="D73" s="14">
        <f t="shared" si="5"/>
        <v>112708</v>
      </c>
      <c r="E73" s="17">
        <f>IF(F3="1",SUMIF(Data!A:A,'45'!$A$2,Data!EE:EE),0)</f>
        <v>760206</v>
      </c>
      <c r="F73" s="21">
        <f t="shared" si="4"/>
        <v>6.74</v>
      </c>
    </row>
    <row r="74" spans="1:6" x14ac:dyDescent="0.2">
      <c r="A74" s="19">
        <v>8</v>
      </c>
      <c r="B74" s="181" t="s">
        <v>7</v>
      </c>
      <c r="C74" s="182"/>
      <c r="D74" s="14">
        <f t="shared" si="5"/>
        <v>1200</v>
      </c>
      <c r="E74" s="17">
        <f>IF(F3="1",SUMIF(Data!A:A,'45'!$A$2,Data!EF:EF),0)</f>
        <v>1150</v>
      </c>
      <c r="F74" s="21">
        <f t="shared" si="4"/>
        <v>0.96</v>
      </c>
    </row>
    <row r="75" spans="1:6" x14ac:dyDescent="0.2">
      <c r="A75" s="19">
        <v>9</v>
      </c>
      <c r="B75" s="181" t="s">
        <v>8</v>
      </c>
      <c r="C75" s="182"/>
      <c r="D75" s="14">
        <f t="shared" si="5"/>
        <v>68027</v>
      </c>
      <c r="E75" s="17">
        <f>IF(F3="1",SUMIF(Data!A:A,'45'!$A$2,Data!EG:EG),0)</f>
        <v>107974</v>
      </c>
      <c r="F75" s="21">
        <f t="shared" si="4"/>
        <v>1.59</v>
      </c>
    </row>
    <row r="76" spans="1:6" x14ac:dyDescent="0.2">
      <c r="A76" s="19">
        <v>10</v>
      </c>
      <c r="B76" s="181" t="s">
        <v>9</v>
      </c>
      <c r="C76" s="182"/>
      <c r="D76" s="14">
        <f t="shared" si="5"/>
        <v>1424</v>
      </c>
      <c r="E76" s="17">
        <f>IF(F3="1",SUMIF(Data!A:A,'45'!$A$2,Data!EH:EH),0)</f>
        <v>0</v>
      </c>
      <c r="F76" s="21" t="str">
        <f t="shared" si="4"/>
        <v/>
      </c>
    </row>
    <row r="77" spans="1:6" x14ac:dyDescent="0.2">
      <c r="A77" s="19">
        <v>11</v>
      </c>
      <c r="B77" s="181" t="s">
        <v>10</v>
      </c>
      <c r="C77" s="182"/>
      <c r="D77" s="14">
        <f t="shared" si="5"/>
        <v>114086</v>
      </c>
      <c r="E77" s="17">
        <f>IF(F3="1",SUMIF(Data!A:A,'45'!$A$2,Data!EI:EI),0)</f>
        <v>197830</v>
      </c>
      <c r="F77" s="21">
        <f t="shared" si="4"/>
        <v>1.73</v>
      </c>
    </row>
    <row r="78" spans="1:6" ht="14.25" customHeight="1" x14ac:dyDescent="0.2">
      <c r="A78" s="19">
        <v>12</v>
      </c>
      <c r="B78" s="181" t="s">
        <v>11</v>
      </c>
      <c r="C78" s="182"/>
      <c r="D78" s="14">
        <f t="shared" si="5"/>
        <v>609692</v>
      </c>
      <c r="E78" s="17">
        <f>IF(F3="1",SUMIF(Data!A:A,'45'!$A$2,Data!EJ:EJ),0)</f>
        <v>1283308</v>
      </c>
      <c r="F78" s="21">
        <f t="shared" si="4"/>
        <v>2.1</v>
      </c>
    </row>
    <row r="79" spans="1:6" x14ac:dyDescent="0.2">
      <c r="A79" s="19">
        <v>13</v>
      </c>
      <c r="B79" s="181" t="s">
        <v>12</v>
      </c>
      <c r="C79" s="182"/>
      <c r="D79" s="14">
        <f t="shared" si="5"/>
        <v>32909</v>
      </c>
      <c r="E79" s="17">
        <f>IF(F3="1",SUMIF(Data!A:A,'45'!$A$2,Data!EK:EK),0)</f>
        <v>114378</v>
      </c>
      <c r="F79" s="21">
        <f t="shared" si="4"/>
        <v>3.48</v>
      </c>
    </row>
    <row r="80" spans="1:6" ht="14.25" customHeight="1" x14ac:dyDescent="0.2">
      <c r="A80" s="19">
        <v>14</v>
      </c>
      <c r="B80" s="181" t="s">
        <v>464</v>
      </c>
      <c r="C80" s="182"/>
      <c r="D80" s="14">
        <f t="shared" si="5"/>
        <v>118526</v>
      </c>
      <c r="E80" s="17">
        <f>IF(F3="1",SUMIF(Data!A:A,'45'!$A$2,Data!EL:EL),0)</f>
        <v>729053</v>
      </c>
      <c r="F80" s="21">
        <f t="shared" si="4"/>
        <v>6.15</v>
      </c>
    </row>
    <row r="81" spans="1:6" x14ac:dyDescent="0.2">
      <c r="A81" s="19">
        <v>15</v>
      </c>
      <c r="B81" s="181" t="s">
        <v>13</v>
      </c>
      <c r="C81" s="182"/>
      <c r="D81" s="14">
        <f t="shared" si="5"/>
        <v>46220</v>
      </c>
      <c r="E81" s="17">
        <f>IF(F3="1",SUMIF(Data!A:A,'45'!$A$2,Data!EM:EM),0)</f>
        <v>311654</v>
      </c>
      <c r="F81" s="21">
        <f t="shared" si="4"/>
        <v>6.74</v>
      </c>
    </row>
    <row r="82" spans="1:6" x14ac:dyDescent="0.2">
      <c r="A82" s="19">
        <v>16</v>
      </c>
      <c r="B82" s="181" t="s">
        <v>14</v>
      </c>
      <c r="C82" s="182"/>
      <c r="D82" s="14">
        <f t="shared" si="5"/>
        <v>292888</v>
      </c>
      <c r="E82" s="17">
        <f>IF(F3="1",SUMIF(Data!A:A,'45'!$A$2,Data!EN:EN),0)</f>
        <v>838300</v>
      </c>
      <c r="F82" s="21">
        <f t="shared" si="4"/>
        <v>2.86</v>
      </c>
    </row>
    <row r="83" spans="1:6" x14ac:dyDescent="0.2">
      <c r="A83" s="19">
        <v>17</v>
      </c>
      <c r="B83" s="181" t="s">
        <v>15</v>
      </c>
      <c r="C83" s="182"/>
      <c r="D83" s="14">
        <f t="shared" si="5"/>
        <v>37764</v>
      </c>
      <c r="E83" s="17">
        <f>IF(F3="1",SUMIF(Data!A:A,'45'!$A$2,Data!EO:EO),0)</f>
        <v>239859</v>
      </c>
      <c r="F83" s="21">
        <f t="shared" si="4"/>
        <v>6.35</v>
      </c>
    </row>
    <row r="84" spans="1:6" x14ac:dyDescent="0.2">
      <c r="A84" s="19">
        <v>18</v>
      </c>
      <c r="B84" s="181" t="s">
        <v>16</v>
      </c>
      <c r="C84" s="182"/>
      <c r="D84" s="14">
        <f t="shared" si="5"/>
        <v>152480</v>
      </c>
      <c r="E84" s="17">
        <f>IF(F3="1",SUMIF(Data!A:A,'45'!$A$2,Data!EP:EP),0)</f>
        <v>558882</v>
      </c>
      <c r="F84" s="21">
        <f t="shared" si="4"/>
        <v>3.67</v>
      </c>
    </row>
    <row r="85" spans="1:6" x14ac:dyDescent="0.2">
      <c r="A85" s="19">
        <v>19</v>
      </c>
      <c r="B85" s="181" t="s">
        <v>17</v>
      </c>
      <c r="C85" s="182"/>
      <c r="D85" s="14">
        <f t="shared" si="5"/>
        <v>540427</v>
      </c>
      <c r="E85" s="17">
        <f>IF(F3="1",SUMIF(Data!A:A,'45'!$A$2,Data!EQ:EQ),0)</f>
        <v>1123314</v>
      </c>
      <c r="F85" s="21">
        <f t="shared" si="4"/>
        <v>2.08</v>
      </c>
    </row>
    <row r="86" spans="1:6" x14ac:dyDescent="0.2">
      <c r="A86" s="19">
        <v>20</v>
      </c>
      <c r="B86" s="181" t="s">
        <v>18</v>
      </c>
      <c r="C86" s="182"/>
      <c r="D86" s="14">
        <f t="shared" si="5"/>
        <v>74670</v>
      </c>
      <c r="E86" s="17">
        <f>IF(F3="1",SUMIF(Data!A:A,'45'!$A$2,Data!ER:ER),0)</f>
        <v>301989</v>
      </c>
      <c r="F86" s="21">
        <f t="shared" si="4"/>
        <v>4.04</v>
      </c>
    </row>
    <row r="87" spans="1:6" ht="14.25" customHeight="1" x14ac:dyDescent="0.2">
      <c r="A87" s="19">
        <v>21</v>
      </c>
      <c r="B87" s="181" t="s">
        <v>461</v>
      </c>
      <c r="C87" s="182"/>
      <c r="D87" s="14">
        <f t="shared" si="5"/>
        <v>29000</v>
      </c>
      <c r="E87" s="17">
        <f>IF(F3="1",SUMIF(Data!A:A,'45'!$A$2,Data!ES:ES),0)</f>
        <v>27795</v>
      </c>
      <c r="F87" s="21">
        <f t="shared" si="4"/>
        <v>0.96</v>
      </c>
    </row>
    <row r="88" spans="1:6" x14ac:dyDescent="0.2">
      <c r="A88" s="19">
        <v>22</v>
      </c>
      <c r="B88" s="181" t="s">
        <v>19</v>
      </c>
      <c r="C88" s="182"/>
      <c r="D88" s="14">
        <f t="shared" si="5"/>
        <v>3072</v>
      </c>
      <c r="E88" s="17">
        <f>IF(F3="1",SUMIF(Data!A:A,'45'!$A$2,Data!ET:ET),0)</f>
        <v>0</v>
      </c>
      <c r="F88" s="21" t="str">
        <f t="shared" si="4"/>
        <v/>
      </c>
    </row>
    <row r="89" spans="1:6" x14ac:dyDescent="0.2">
      <c r="A89" s="19">
        <v>23</v>
      </c>
      <c r="B89" s="181" t="s">
        <v>20</v>
      </c>
      <c r="C89" s="182"/>
      <c r="D89" s="14">
        <f t="shared" si="5"/>
        <v>118457</v>
      </c>
      <c r="E89" s="17">
        <f>IF(F3="1",SUMIF(Data!A:A,'45'!$A$2,Data!EU:EU),0)</f>
        <v>658051</v>
      </c>
      <c r="F89" s="21">
        <f t="shared" si="4"/>
        <v>5.56</v>
      </c>
    </row>
    <row r="90" spans="1:6" x14ac:dyDescent="0.2">
      <c r="A90" s="19">
        <v>24</v>
      </c>
      <c r="B90" s="181" t="s">
        <v>21</v>
      </c>
      <c r="C90" s="182"/>
      <c r="D90" s="14">
        <f t="shared" si="5"/>
        <v>77938</v>
      </c>
      <c r="E90" s="17">
        <f>IF(F3="1",SUMIF(Data!A:A,'45'!$A$2,Data!EV:EV),0)</f>
        <v>130693</v>
      </c>
      <c r="F90" s="21">
        <f t="shared" si="4"/>
        <v>1.68</v>
      </c>
    </row>
    <row r="91" spans="1:6" x14ac:dyDescent="0.2">
      <c r="A91" s="19">
        <v>25</v>
      </c>
      <c r="B91" s="181" t="s">
        <v>22</v>
      </c>
      <c r="C91" s="182"/>
      <c r="D91" s="14">
        <f t="shared" si="5"/>
        <v>630672</v>
      </c>
      <c r="E91" s="17">
        <f>IF(F3="1",SUMIF(Data!A:A,'45'!$A$2,Data!EW:EW),0)</f>
        <v>1409515</v>
      </c>
      <c r="F91" s="21">
        <f t="shared" si="4"/>
        <v>2.23</v>
      </c>
    </row>
    <row r="92" spans="1:6" x14ac:dyDescent="0.2">
      <c r="A92" s="19">
        <v>26</v>
      </c>
      <c r="B92" s="181" t="s">
        <v>23</v>
      </c>
      <c r="C92" s="182"/>
      <c r="D92" s="14">
        <f t="shared" si="5"/>
        <v>240592</v>
      </c>
      <c r="E92" s="17">
        <f>IF(F3="1",SUMIF(Data!A:A,'45'!$A$2,Data!EX:EX),0)</f>
        <v>956492</v>
      </c>
      <c r="F92" s="21">
        <f t="shared" si="4"/>
        <v>3.98</v>
      </c>
    </row>
    <row r="93" spans="1:6" x14ac:dyDescent="0.2">
      <c r="A93" s="19">
        <v>28</v>
      </c>
      <c r="B93" s="181" t="s">
        <v>24</v>
      </c>
      <c r="C93" s="182"/>
      <c r="D93" s="14">
        <f t="shared" si="5"/>
        <v>0</v>
      </c>
      <c r="E93" s="17">
        <f>IF(F3="1",SUMIF(Data!A:A,'45'!$A$2,Data!EZ:EZ),0)</f>
        <v>0</v>
      </c>
      <c r="F93" s="21" t="str">
        <f t="shared" si="4"/>
        <v/>
      </c>
    </row>
    <row r="94" spans="1:6" ht="15.75" customHeight="1" thickBot="1" x14ac:dyDescent="0.25">
      <c r="A94" s="22">
        <v>29</v>
      </c>
      <c r="B94" s="183" t="s">
        <v>25</v>
      </c>
      <c r="C94" s="184"/>
      <c r="D94" s="23">
        <f t="shared" si="5"/>
        <v>0</v>
      </c>
      <c r="E94" s="24">
        <f>IF(F3="1",SUMIF(Data!A:A,'45'!$A$2,Data!FA:FA),0)</f>
        <v>0</v>
      </c>
      <c r="F94" s="25" t="str">
        <f t="shared" si="4"/>
        <v/>
      </c>
    </row>
    <row r="95" spans="1:6" x14ac:dyDescent="0.2">
      <c r="B95" s="30" t="s">
        <v>35</v>
      </c>
      <c r="C95" s="30"/>
      <c r="D95" s="59">
        <f>SUM(D67:D94)</f>
        <v>4348338</v>
      </c>
      <c r="E95" s="31">
        <f>SUM(E67:E94)</f>
        <v>11976258</v>
      </c>
      <c r="F95" s="32">
        <f t="shared" si="4"/>
        <v>2.75</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IF(F3="1",SUMIF(Data!A:A,'45'!$A$2,Data!AH:AH),0)</f>
        <v>4005468</v>
      </c>
      <c r="F98" s="20">
        <f>IF(OR(E98=0,E98=0),"",ROUND(E98/$D$105,2))</f>
        <v>0.92</v>
      </c>
    </row>
    <row r="99" spans="2:6" x14ac:dyDescent="0.2">
      <c r="B99" s="187" t="s">
        <v>31</v>
      </c>
      <c r="C99" s="188"/>
      <c r="D99" s="36"/>
      <c r="E99" s="17">
        <f>IF(F3="1",SUMIF(Data!A:A,'45'!$A$2,Data!AI:AI),0)</f>
        <v>3111424</v>
      </c>
      <c r="F99" s="21">
        <f t="shared" ref="F99:F104" si="6">IF(OR(E99=0,E99=0),"",ROUND(E99/$D$105,2))</f>
        <v>0.72</v>
      </c>
    </row>
    <row r="100" spans="2:6" x14ac:dyDescent="0.2">
      <c r="B100" s="187" t="s">
        <v>1078</v>
      </c>
      <c r="C100" s="188"/>
      <c r="D100" s="36"/>
      <c r="E100" s="17">
        <f>IF(F3="1",SUMIF(Data!A:A,'45'!$A$2,Data!AJ:AJ),0)</f>
        <v>989211</v>
      </c>
      <c r="F100" s="21">
        <f t="shared" si="6"/>
        <v>0.23</v>
      </c>
    </row>
    <row r="101" spans="2:6" x14ac:dyDescent="0.2">
      <c r="B101" s="187" t="s">
        <v>1079</v>
      </c>
      <c r="C101" s="188"/>
      <c r="D101" s="36"/>
      <c r="E101" s="17">
        <f>IF(F3="1",SUMIF(Data!A:A,'45'!$A$2,Data!AK:AK),0)</f>
        <v>1167018</v>
      </c>
      <c r="F101" s="21">
        <f t="shared" si="6"/>
        <v>0.27</v>
      </c>
    </row>
    <row r="102" spans="2:6" x14ac:dyDescent="0.2">
      <c r="B102" s="187" t="s">
        <v>1080</v>
      </c>
      <c r="C102" s="188"/>
      <c r="D102" s="36"/>
      <c r="E102" s="17">
        <f>IF(F3="1",SUMIF(Data!A:A,'45'!$A$2,Data!AL:AL),0)</f>
        <v>0</v>
      </c>
      <c r="F102" s="21" t="str">
        <f t="shared" si="6"/>
        <v/>
      </c>
    </row>
    <row r="103" spans="2:6" x14ac:dyDescent="0.2">
      <c r="B103" s="189" t="s">
        <v>34</v>
      </c>
      <c r="C103" s="190"/>
      <c r="D103" s="36"/>
      <c r="E103" s="17">
        <f>IF(F3="1",SUMIF(Data!A:A,'45'!$A$2,Data!AM:AM),0)</f>
        <v>0</v>
      </c>
      <c r="F103" s="21" t="str">
        <f t="shared" si="6"/>
        <v/>
      </c>
    </row>
    <row r="104" spans="2:6" ht="15.75" customHeight="1" thickBot="1" x14ac:dyDescent="0.25">
      <c r="B104" s="179" t="s">
        <v>29</v>
      </c>
      <c r="C104" s="180"/>
      <c r="D104" s="37"/>
      <c r="E104" s="24">
        <f>IF(F3="1",SUMIF(Data!A:A,'45'!$A$2,Data!Q:Q),0)</f>
        <v>1509981</v>
      </c>
      <c r="F104" s="25">
        <f t="shared" si="6"/>
        <v>0.35</v>
      </c>
    </row>
    <row r="105" spans="2:6" x14ac:dyDescent="0.2">
      <c r="B105" s="30" t="s">
        <v>35</v>
      </c>
      <c r="C105" s="30"/>
      <c r="D105" s="34">
        <f>D95</f>
        <v>4348338</v>
      </c>
      <c r="E105" s="31">
        <f>SUM(E98:E104)</f>
        <v>10783102</v>
      </c>
      <c r="F105" s="32">
        <f>IF($D$105=0,"",ROUND(E105/$D$105,2))</f>
        <v>2.48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11976258</v>
      </c>
      <c r="D109" s="15">
        <f>IF(F3="1",SUMIF(Data!$A:$A,$A$2,Data!HJ:HJ),0)</f>
        <v>0</v>
      </c>
      <c r="E109" s="15">
        <f>IF(F3="1",SUMIF(Data!$A:$A,$A$2,Data!IN:IN),0)</f>
        <v>0</v>
      </c>
      <c r="F109" s="47">
        <f>SUM(C109:E109)</f>
        <v>11976258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1509981</v>
      </c>
      <c r="E117" s="52"/>
      <c r="F117" s="49">
        <f>SUM(C117:E117)</f>
        <v>1509981</v>
      </c>
    </row>
    <row r="118" spans="1:6" x14ac:dyDescent="0.2">
      <c r="B118" s="13" t="s">
        <v>35</v>
      </c>
      <c r="C118" s="4">
        <f>SUM(C109:C116)</f>
        <v>11976258</v>
      </c>
      <c r="D118" s="4">
        <f>SUM(D109:D116)</f>
        <v>0</v>
      </c>
      <c r="E118" s="4">
        <f>SUM(E109:E116)</f>
        <v>0</v>
      </c>
      <c r="F118" s="4">
        <f>SUM(F109:F116)</f>
        <v>11976258</v>
      </c>
    </row>
    <row r="119" spans="1:6" ht="15" thickBot="1" x14ac:dyDescent="0.25"/>
    <row r="120" spans="1:6" ht="15" thickBot="1" x14ac:dyDescent="0.25">
      <c r="B120" s="55" t="s">
        <v>934</v>
      </c>
      <c r="C120" s="53"/>
      <c r="D120" s="53"/>
      <c r="E120" s="53">
        <f>IF(F3="1",SUMIF(Data!A:A,'45'!$A$2,Data!AM:AM),0)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437</v>
      </c>
      <c r="B2" s="58" t="str">
        <f>VLOOKUP(A2,Data!A:G,7,0)</f>
        <v>Vernon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25394</v>
      </c>
      <c r="E5" s="15">
        <f>E36+E67+IFERROR($E$105/$D$105*D5,0)</f>
        <v>128808.35681072516</v>
      </c>
      <c r="F5" s="20">
        <f>IF(OR(D5=0,E5=0),"",ROUND(E5/D5,2))</f>
        <v>5.07</v>
      </c>
    </row>
    <row r="6" spans="1:6" x14ac:dyDescent="0.2">
      <c r="A6" s="19">
        <v>2</v>
      </c>
      <c r="B6" s="181" t="s">
        <v>1</v>
      </c>
      <c r="C6" s="182"/>
      <c r="D6" s="14">
        <f t="shared" ref="D6:D32" si="0">D37</f>
        <v>43150</v>
      </c>
      <c r="E6" s="17">
        <f t="shared" ref="E6:E32" si="1">E37+E68+IFERROR($E$105/$D$105*D6,0)</f>
        <v>398659.37915975391</v>
      </c>
      <c r="F6" s="21">
        <f t="shared" ref="F6:F33" si="2">IF(OR(D6=0,E6=0),"",ROUND(E6/D6,2))</f>
        <v>9.24</v>
      </c>
    </row>
    <row r="7" spans="1:6" ht="14.25" customHeight="1" x14ac:dyDescent="0.2">
      <c r="A7" s="19">
        <v>3</v>
      </c>
      <c r="B7" s="181" t="s">
        <v>2</v>
      </c>
      <c r="C7" s="182"/>
      <c r="D7" s="14">
        <f t="shared" si="0"/>
        <v>54432</v>
      </c>
      <c r="E7" s="17">
        <f t="shared" si="1"/>
        <v>327324.46680008632</v>
      </c>
      <c r="F7" s="21">
        <f t="shared" si="2"/>
        <v>6.01</v>
      </c>
    </row>
    <row r="8" spans="1:6" ht="14.25" customHeight="1" x14ac:dyDescent="0.2">
      <c r="A8" s="19">
        <v>4</v>
      </c>
      <c r="B8" s="181" t="s">
        <v>3</v>
      </c>
      <c r="C8" s="182"/>
      <c r="D8" s="14">
        <f t="shared" si="0"/>
        <v>57572</v>
      </c>
      <c r="E8" s="17">
        <f t="shared" si="1"/>
        <v>468318.06750835117</v>
      </c>
      <c r="F8" s="21">
        <f t="shared" si="2"/>
        <v>8.1300000000000008</v>
      </c>
    </row>
    <row r="9" spans="1:6" x14ac:dyDescent="0.2">
      <c r="A9" s="19">
        <v>5</v>
      </c>
      <c r="B9" s="181" t="s">
        <v>4</v>
      </c>
      <c r="C9" s="182"/>
      <c r="D9" s="14">
        <f t="shared" si="0"/>
        <v>29840</v>
      </c>
      <c r="E9" s="17">
        <f t="shared" si="1"/>
        <v>150731.05896007083</v>
      </c>
      <c r="F9" s="21">
        <f t="shared" si="2"/>
        <v>5.05</v>
      </c>
    </row>
    <row r="10" spans="1:6" x14ac:dyDescent="0.2">
      <c r="A10" s="19">
        <v>6</v>
      </c>
      <c r="B10" s="181" t="s">
        <v>5</v>
      </c>
      <c r="C10" s="182"/>
      <c r="D10" s="14">
        <f t="shared" si="0"/>
        <v>3950</v>
      </c>
      <c r="E10" s="17">
        <f t="shared" si="1"/>
        <v>14405.631464218492</v>
      </c>
      <c r="F10" s="21">
        <f t="shared" si="2"/>
        <v>3.65</v>
      </c>
    </row>
    <row r="11" spans="1:6" x14ac:dyDescent="0.2">
      <c r="A11" s="19">
        <v>7</v>
      </c>
      <c r="B11" s="181" t="s">
        <v>6</v>
      </c>
      <c r="C11" s="182"/>
      <c r="D11" s="14">
        <f t="shared" si="0"/>
        <v>88629</v>
      </c>
      <c r="E11" s="17">
        <f t="shared" si="1"/>
        <v>541335.44304866344</v>
      </c>
      <c r="F11" s="21">
        <f t="shared" si="2"/>
        <v>6.11</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98541</v>
      </c>
      <c r="E13" s="17">
        <f t="shared" si="1"/>
        <v>472601.77496596315</v>
      </c>
      <c r="F13" s="21">
        <f t="shared" si="2"/>
        <v>4.8</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30112</v>
      </c>
      <c r="E15" s="17">
        <f t="shared" si="1"/>
        <v>168449.8396583664</v>
      </c>
      <c r="F15" s="21">
        <f t="shared" si="2"/>
        <v>5.59</v>
      </c>
    </row>
    <row r="16" spans="1:6" ht="14.25" customHeight="1" x14ac:dyDescent="0.2">
      <c r="A16" s="19">
        <v>12</v>
      </c>
      <c r="B16" s="181" t="s">
        <v>11</v>
      </c>
      <c r="C16" s="182"/>
      <c r="D16" s="14">
        <f t="shared" si="0"/>
        <v>129452</v>
      </c>
      <c r="E16" s="17">
        <f t="shared" si="1"/>
        <v>748842.90792557271</v>
      </c>
      <c r="F16" s="21">
        <f t="shared" si="2"/>
        <v>5.78</v>
      </c>
    </row>
    <row r="17" spans="1:6" x14ac:dyDescent="0.2">
      <c r="A17" s="19">
        <v>13</v>
      </c>
      <c r="B17" s="181" t="s">
        <v>12</v>
      </c>
      <c r="C17" s="182"/>
      <c r="D17" s="14">
        <f t="shared" si="0"/>
        <v>19648</v>
      </c>
      <c r="E17" s="17">
        <f t="shared" si="1"/>
        <v>107206.86455923162</v>
      </c>
      <c r="F17" s="21">
        <f t="shared" si="2"/>
        <v>5.46</v>
      </c>
    </row>
    <row r="18" spans="1:6" ht="14.25" customHeight="1" x14ac:dyDescent="0.2">
      <c r="A18" s="19">
        <v>14</v>
      </c>
      <c r="B18" s="181" t="s">
        <v>464</v>
      </c>
      <c r="C18" s="182"/>
      <c r="D18" s="14">
        <f t="shared" si="0"/>
        <v>83056</v>
      </c>
      <c r="E18" s="17">
        <f t="shared" si="1"/>
        <v>539081.0944030711</v>
      </c>
      <c r="F18" s="21">
        <f t="shared" si="2"/>
        <v>6.49</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94232</v>
      </c>
      <c r="E20" s="17">
        <f t="shared" si="1"/>
        <v>457386.34838892071</v>
      </c>
      <c r="F20" s="21">
        <f t="shared" si="2"/>
        <v>4.8499999999999996</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217888</v>
      </c>
      <c r="E22" s="17">
        <f t="shared" si="1"/>
        <v>1203678.5029052249</v>
      </c>
      <c r="F22" s="21">
        <f t="shared" si="2"/>
        <v>5.52</v>
      </c>
    </row>
    <row r="23" spans="1:6" x14ac:dyDescent="0.2">
      <c r="A23" s="19">
        <v>19</v>
      </c>
      <c r="B23" s="181" t="s">
        <v>17</v>
      </c>
      <c r="C23" s="182"/>
      <c r="D23" s="14">
        <f t="shared" si="0"/>
        <v>79500</v>
      </c>
      <c r="E23" s="17">
        <f t="shared" si="1"/>
        <v>452589.24086211901</v>
      </c>
      <c r="F23" s="21">
        <f t="shared" si="2"/>
        <v>5.69</v>
      </c>
    </row>
    <row r="24" spans="1:6" x14ac:dyDescent="0.2">
      <c r="A24" s="19">
        <v>20</v>
      </c>
      <c r="B24" s="181" t="s">
        <v>18</v>
      </c>
      <c r="C24" s="182"/>
      <c r="D24" s="14">
        <f t="shared" si="0"/>
        <v>7488</v>
      </c>
      <c r="E24" s="17">
        <f t="shared" si="1"/>
        <v>79932.550988371659</v>
      </c>
      <c r="F24" s="21">
        <f t="shared" si="2"/>
        <v>10.67</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2400</v>
      </c>
      <c r="E26" s="17">
        <f t="shared" si="1"/>
        <v>8514.5355731960444</v>
      </c>
      <c r="F26" s="21">
        <f t="shared" si="2"/>
        <v>3.55</v>
      </c>
    </row>
    <row r="27" spans="1:6" x14ac:dyDescent="0.2">
      <c r="A27" s="19">
        <v>23</v>
      </c>
      <c r="B27" s="181" t="s">
        <v>20</v>
      </c>
      <c r="C27" s="182"/>
      <c r="D27" s="14">
        <f t="shared" si="0"/>
        <v>21213</v>
      </c>
      <c r="E27" s="17">
        <f t="shared" si="1"/>
        <v>132639.23879758656</v>
      </c>
      <c r="F27" s="21">
        <f t="shared" si="2"/>
        <v>6.25</v>
      </c>
    </row>
    <row r="28" spans="1:6" x14ac:dyDescent="0.2">
      <c r="A28" s="19">
        <v>24</v>
      </c>
      <c r="B28" s="181" t="s">
        <v>21</v>
      </c>
      <c r="C28" s="182"/>
      <c r="D28" s="14">
        <f t="shared" si="0"/>
        <v>103501</v>
      </c>
      <c r="E28" s="17">
        <f t="shared" si="1"/>
        <v>624433.48181723501</v>
      </c>
      <c r="F28" s="21">
        <f t="shared" si="2"/>
        <v>6.03</v>
      </c>
    </row>
    <row r="29" spans="1:6" x14ac:dyDescent="0.2">
      <c r="A29" s="19">
        <v>25</v>
      </c>
      <c r="B29" s="181" t="s">
        <v>22</v>
      </c>
      <c r="C29" s="182"/>
      <c r="D29" s="14">
        <f t="shared" si="0"/>
        <v>128112</v>
      </c>
      <c r="E29" s="17">
        <f t="shared" si="1"/>
        <v>644995.70889720484</v>
      </c>
      <c r="F29" s="21">
        <f t="shared" si="2"/>
        <v>5.03</v>
      </c>
    </row>
    <row r="30" spans="1:6" x14ac:dyDescent="0.2">
      <c r="A30" s="19">
        <v>26</v>
      </c>
      <c r="B30" s="181" t="s">
        <v>23</v>
      </c>
      <c r="C30" s="182"/>
      <c r="D30" s="14">
        <f t="shared" si="0"/>
        <v>26020</v>
      </c>
      <c r="E30" s="17">
        <f t="shared" si="1"/>
        <v>159244.50650606712</v>
      </c>
      <c r="F30" s="21">
        <f t="shared" si="2"/>
        <v>6.12</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1344130</v>
      </c>
      <c r="E33" s="31">
        <f>SUM(E5:E32)</f>
        <v>7829178.9999999991</v>
      </c>
      <c r="F33" s="32">
        <f t="shared" si="2"/>
        <v>5.82</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IF(F3="1",SUMIF(Data!A:A,'46'!$A$2,Data!CU:CU),0)</f>
        <v>25394</v>
      </c>
      <c r="E36" s="15">
        <f>IF(F3="1",SUMIF(Data!$A:$A,$A$2,Data!IO:IO),0)</f>
        <v>7637</v>
      </c>
      <c r="F36" s="20">
        <f t="shared" ref="F36:F64" si="3">IF(OR(D36=0,E36=0),"",ROUND(E36/D36,2))</f>
        <v>0.3</v>
      </c>
    </row>
    <row r="37" spans="1:6" x14ac:dyDescent="0.2">
      <c r="A37" s="19">
        <v>2</v>
      </c>
      <c r="B37" s="181" t="s">
        <v>1</v>
      </c>
      <c r="C37" s="182"/>
      <c r="D37" s="14">
        <f>IF(F3="1",SUMIF(Data!A:A,'46'!$A$2,Data!CV:CV),0)</f>
        <v>43150</v>
      </c>
      <c r="E37" s="17">
        <f>IF(F3="1",SUMIF(Data!$A:$A,$A$2,Data!IP:IP),0)</f>
        <v>45147</v>
      </c>
      <c r="F37" s="21">
        <f t="shared" si="3"/>
        <v>1.05</v>
      </c>
    </row>
    <row r="38" spans="1:6" ht="14.25" customHeight="1" x14ac:dyDescent="0.2">
      <c r="A38" s="19">
        <v>3</v>
      </c>
      <c r="B38" s="181" t="s">
        <v>2</v>
      </c>
      <c r="C38" s="182"/>
      <c r="D38" s="14">
        <f>IF(F3="1",SUMIF(Data!A:A,'46'!$A$2,Data!CW:CW),0)</f>
        <v>54432</v>
      </c>
      <c r="E38" s="17">
        <f>IF($F$3="1",SUMIF(Data!$A:$A,$A$2,Data!IQ:IQ),0)</f>
        <v>28735</v>
      </c>
      <c r="F38" s="21">
        <f t="shared" si="3"/>
        <v>0.53</v>
      </c>
    </row>
    <row r="39" spans="1:6" ht="14.25" customHeight="1" x14ac:dyDescent="0.2">
      <c r="A39" s="19">
        <v>4</v>
      </c>
      <c r="B39" s="181" t="s">
        <v>3</v>
      </c>
      <c r="C39" s="182"/>
      <c r="D39" s="14">
        <f>IF(F3="1",SUMIF(Data!A:A,'46'!$A$2,Data!CX:CX),0)</f>
        <v>57572</v>
      </c>
      <c r="E39" s="17">
        <f>IF($F$3="1",SUMIF(Data!$A:$A,$A$2,Data!IR:IR),0)</f>
        <v>17815</v>
      </c>
      <c r="F39" s="21">
        <f t="shared" si="3"/>
        <v>0.31</v>
      </c>
    </row>
    <row r="40" spans="1:6" x14ac:dyDescent="0.2">
      <c r="A40" s="19">
        <v>5</v>
      </c>
      <c r="B40" s="181" t="s">
        <v>4</v>
      </c>
      <c r="C40" s="182"/>
      <c r="D40" s="14">
        <f>IF(F3="1",SUMIF(Data!A:A,'46'!$A$2,Data!CY:CY),0)</f>
        <v>29840</v>
      </c>
      <c r="E40" s="17">
        <f>IF($F$3="1",SUMIF(Data!$A:$A,$A$2,Data!IS:IS),0)</f>
        <v>64337</v>
      </c>
      <c r="F40" s="21">
        <f t="shared" si="3"/>
        <v>2.16</v>
      </c>
    </row>
    <row r="41" spans="1:6" x14ac:dyDescent="0.2">
      <c r="A41" s="19">
        <v>6</v>
      </c>
      <c r="B41" s="181" t="s">
        <v>5</v>
      </c>
      <c r="C41" s="182"/>
      <c r="D41" s="14">
        <f>IF(F3="1",SUMIF(Data!A:A,'46'!$A$2,Data!CZ:CZ),0)</f>
        <v>3950</v>
      </c>
      <c r="E41" s="17">
        <f>IF($F$3="1",SUMIF(Data!$A:$A,$A$2,Data!IT:IT),0)</f>
        <v>209</v>
      </c>
      <c r="F41" s="21">
        <f t="shared" si="3"/>
        <v>0.05</v>
      </c>
    </row>
    <row r="42" spans="1:6" x14ac:dyDescent="0.2">
      <c r="A42" s="19">
        <v>7</v>
      </c>
      <c r="B42" s="181" t="s">
        <v>6</v>
      </c>
      <c r="C42" s="182"/>
      <c r="D42" s="14">
        <f>IF(F3="1",SUMIF(Data!A:A,'46'!$A$2,Data!DA:DA),0)</f>
        <v>88629</v>
      </c>
      <c r="E42" s="17">
        <f>IF($F$3="1",SUMIF(Data!$A:$A,$A$2,Data!IU:IU),0)</f>
        <v>64770</v>
      </c>
      <c r="F42" s="21">
        <f t="shared" si="3"/>
        <v>0.73</v>
      </c>
    </row>
    <row r="43" spans="1:6" x14ac:dyDescent="0.2">
      <c r="A43" s="19">
        <v>8</v>
      </c>
      <c r="B43" s="181" t="s">
        <v>7</v>
      </c>
      <c r="C43" s="182"/>
      <c r="D43" s="14">
        <f>IF(F3="1",SUMIF(Data!A:A,'46'!$A$2,Data!DB:DB),0)</f>
        <v>0</v>
      </c>
      <c r="E43" s="17">
        <f>IF($F$3="1",SUMIF(Data!$A:$A,$A$2,Data!IV:IV),0)</f>
        <v>0</v>
      </c>
      <c r="F43" s="21" t="str">
        <f t="shared" si="3"/>
        <v/>
      </c>
    </row>
    <row r="44" spans="1:6" x14ac:dyDescent="0.2">
      <c r="A44" s="19">
        <v>9</v>
      </c>
      <c r="B44" s="181" t="s">
        <v>8</v>
      </c>
      <c r="C44" s="182"/>
      <c r="D44" s="14">
        <f>IF(F3="1",SUMIF(Data!A:A,'46'!$A$2,Data!DC:DC),0)</f>
        <v>98541</v>
      </c>
      <c r="E44" s="17">
        <f>IF($F$3="1",SUMIF(Data!$A:$A,$A$2,Data!IW:IW),0)</f>
        <v>33468</v>
      </c>
      <c r="F44" s="21">
        <f t="shared" si="3"/>
        <v>0.34</v>
      </c>
    </row>
    <row r="45" spans="1:6" x14ac:dyDescent="0.2">
      <c r="A45" s="19">
        <v>10</v>
      </c>
      <c r="B45" s="181" t="s">
        <v>9</v>
      </c>
      <c r="C45" s="182"/>
      <c r="D45" s="14">
        <f>IF(F3="1",SUMIF(Data!A:A,'46'!$A$2,Data!DD:DD),0)</f>
        <v>0</v>
      </c>
      <c r="E45" s="17">
        <f>IF($F$3="1",SUMIF(Data!$A:$A,$A$2,Data!IX:IX),0)</f>
        <v>0</v>
      </c>
      <c r="F45" s="21" t="str">
        <f t="shared" si="3"/>
        <v/>
      </c>
    </row>
    <row r="46" spans="1:6" x14ac:dyDescent="0.2">
      <c r="A46" s="19">
        <v>11</v>
      </c>
      <c r="B46" s="181" t="s">
        <v>10</v>
      </c>
      <c r="C46" s="182"/>
      <c r="D46" s="14">
        <f>IF(F3="1",SUMIF(Data!A:A,'46'!$A$2,Data!DE:DE),0)</f>
        <v>30112</v>
      </c>
      <c r="E46" s="17">
        <f>IF($F$3="1",SUMIF(Data!$A:$A,$A$2,Data!IY:IY),0)</f>
        <v>11609</v>
      </c>
      <c r="F46" s="21">
        <f t="shared" si="3"/>
        <v>0.39</v>
      </c>
    </row>
    <row r="47" spans="1:6" ht="14.25" customHeight="1" x14ac:dyDescent="0.2">
      <c r="A47" s="19">
        <v>12</v>
      </c>
      <c r="B47" s="181" t="s">
        <v>11</v>
      </c>
      <c r="C47" s="182"/>
      <c r="D47" s="14">
        <f>IF(F3="1",SUMIF(Data!A:A,'46'!$A$2,Data!DF:DF),0)</f>
        <v>129452</v>
      </c>
      <c r="E47" s="17">
        <f>IF($F$3="1",SUMIF(Data!$A:$A,$A$2,Data!IZ:IZ),0)</f>
        <v>19550</v>
      </c>
      <c r="F47" s="21">
        <f t="shared" si="3"/>
        <v>0.15</v>
      </c>
    </row>
    <row r="48" spans="1:6" x14ac:dyDescent="0.2">
      <c r="A48" s="19">
        <v>13</v>
      </c>
      <c r="B48" s="181" t="s">
        <v>12</v>
      </c>
      <c r="C48" s="182"/>
      <c r="D48" s="14">
        <f>IF(F3="1",SUMIF(Data!A:A,'46'!$A$2,Data!DG:DG),0)</f>
        <v>19648</v>
      </c>
      <c r="E48" s="17">
        <f>IF($F$3="1",SUMIF(Data!$A:$A,$A$2,Data!JA:JA),0)</f>
        <v>1807</v>
      </c>
      <c r="F48" s="21">
        <f t="shared" si="3"/>
        <v>0.09</v>
      </c>
    </row>
    <row r="49" spans="1:6" ht="14.25" customHeight="1" x14ac:dyDescent="0.2">
      <c r="A49" s="19">
        <v>14</v>
      </c>
      <c r="B49" s="181" t="s">
        <v>464</v>
      </c>
      <c r="C49" s="182"/>
      <c r="D49" s="14">
        <f>IF(F3="1",SUMIF(Data!A:A,'46'!$A$2,Data!DH:DH),0)</f>
        <v>83056</v>
      </c>
      <c r="E49" s="17">
        <f>IF($F$3="1",SUMIF(Data!$A:$A,$A$2,Data!JB:JB),0)</f>
        <v>32251</v>
      </c>
      <c r="F49" s="21">
        <f t="shared" si="3"/>
        <v>0.39</v>
      </c>
    </row>
    <row r="50" spans="1:6" x14ac:dyDescent="0.2">
      <c r="A50" s="19">
        <v>15</v>
      </c>
      <c r="B50" s="181" t="s">
        <v>13</v>
      </c>
      <c r="C50" s="182"/>
      <c r="D50" s="14">
        <f>IF(F3="1",SUMIF(Data!A:A,'46'!$A$2,Data!DI:DI),0)</f>
        <v>0</v>
      </c>
      <c r="E50" s="17">
        <f>IF($F$3="1",SUMIF(Data!$A:$A,$A$2,Data!JC:JC),0)</f>
        <v>0</v>
      </c>
      <c r="F50" s="21" t="str">
        <f t="shared" si="3"/>
        <v/>
      </c>
    </row>
    <row r="51" spans="1:6" x14ac:dyDescent="0.2">
      <c r="A51" s="19">
        <v>16</v>
      </c>
      <c r="B51" s="181" t="s">
        <v>14</v>
      </c>
      <c r="C51" s="182"/>
      <c r="D51" s="14">
        <f>IF(F3="1",SUMIF(Data!A:A,'46'!$A$2,Data!DJ:DJ),0)</f>
        <v>94232</v>
      </c>
      <c r="E51" s="17">
        <f>IF($F$3="1",SUMIF(Data!$A:$A,$A$2,Data!JD:JD),0)</f>
        <v>16619</v>
      </c>
      <c r="F51" s="21">
        <f t="shared" si="3"/>
        <v>0.18</v>
      </c>
    </row>
    <row r="52" spans="1:6" x14ac:dyDescent="0.2">
      <c r="A52" s="19">
        <v>17</v>
      </c>
      <c r="B52" s="181" t="s">
        <v>15</v>
      </c>
      <c r="C52" s="182"/>
      <c r="D52" s="14">
        <f>IF(F3="1",SUMIF(Data!A:A,'46'!$A$2,Data!DK:DK),0)</f>
        <v>0</v>
      </c>
      <c r="E52" s="17">
        <f>IF($F$3="1",SUMIF(Data!$A:$A,$A$2,Data!JE:JE),0)</f>
        <v>0</v>
      </c>
      <c r="F52" s="21" t="str">
        <f t="shared" si="3"/>
        <v/>
      </c>
    </row>
    <row r="53" spans="1:6" x14ac:dyDescent="0.2">
      <c r="A53" s="19">
        <v>18</v>
      </c>
      <c r="B53" s="181" t="s">
        <v>16</v>
      </c>
      <c r="C53" s="182"/>
      <c r="D53" s="14">
        <f>IF(F3="1",SUMIF(Data!A:A,'46'!$A$2,Data!DL:DL),0)</f>
        <v>217888</v>
      </c>
      <c r="E53" s="17">
        <f>IF($F$3="1",SUMIF(Data!$A:$A,$A$2,Data!JF:JF),0)</f>
        <v>28479</v>
      </c>
      <c r="F53" s="21">
        <f t="shared" si="3"/>
        <v>0.13</v>
      </c>
    </row>
    <row r="54" spans="1:6" x14ac:dyDescent="0.2">
      <c r="A54" s="19">
        <v>19</v>
      </c>
      <c r="B54" s="181" t="s">
        <v>17</v>
      </c>
      <c r="C54" s="182"/>
      <c r="D54" s="14">
        <f>IF(F3="1",SUMIF(Data!A:A,'46'!$A$2,Data!DM:DM),0)</f>
        <v>79500</v>
      </c>
      <c r="E54" s="17">
        <f>IF($F$3="1",SUMIF(Data!$A:$A,$A$2,Data!JG:JG),0)</f>
        <v>48985</v>
      </c>
      <c r="F54" s="21">
        <f t="shared" si="3"/>
        <v>0.62</v>
      </c>
    </row>
    <row r="55" spans="1:6" x14ac:dyDescent="0.2">
      <c r="A55" s="19">
        <v>20</v>
      </c>
      <c r="B55" s="181" t="s">
        <v>18</v>
      </c>
      <c r="C55" s="182"/>
      <c r="D55" s="14">
        <f>IF(F3="1",SUMIF(Data!A:A,'46'!$A$2,Data!DN:DN),0)</f>
        <v>7488</v>
      </c>
      <c r="E55" s="17">
        <f>IF($F$3="1",SUMIF(Data!$A:$A,$A$2,Data!JH:JH),0)</f>
        <v>10145</v>
      </c>
      <c r="F55" s="21">
        <f t="shared" si="3"/>
        <v>1.35</v>
      </c>
    </row>
    <row r="56" spans="1:6" ht="14.25" customHeight="1" x14ac:dyDescent="0.2">
      <c r="A56" s="19">
        <v>21</v>
      </c>
      <c r="B56" s="181" t="s">
        <v>461</v>
      </c>
      <c r="C56" s="182"/>
      <c r="D56" s="14">
        <f>IF(F3="1",SUMIF(Data!A:A,'46'!$A$2,Data!DO:DO),0)</f>
        <v>0</v>
      </c>
      <c r="E56" s="17">
        <f>IF($F$3="1",SUMIF(Data!$A:$A,$A$2,Data!JI:JI),0)</f>
        <v>0</v>
      </c>
      <c r="F56" s="21" t="str">
        <f t="shared" si="3"/>
        <v/>
      </c>
    </row>
    <row r="57" spans="1:6" x14ac:dyDescent="0.2">
      <c r="A57" s="19">
        <v>22</v>
      </c>
      <c r="B57" s="181" t="s">
        <v>19</v>
      </c>
      <c r="C57" s="182"/>
      <c r="D57" s="14">
        <f>IF(F3="1",SUMIF(Data!A:A,'46'!$A$2,Data!DP:DP),0)</f>
        <v>2400</v>
      </c>
      <c r="E57" s="17">
        <f>IF($F$3="1",SUMIF(Data!$A:$A,$A$2,Data!JJ:JJ),0)</f>
        <v>190</v>
      </c>
      <c r="F57" s="21">
        <f t="shared" si="3"/>
        <v>0.08</v>
      </c>
    </row>
    <row r="58" spans="1:6" x14ac:dyDescent="0.2">
      <c r="A58" s="19">
        <v>23</v>
      </c>
      <c r="B58" s="181" t="s">
        <v>20</v>
      </c>
      <c r="C58" s="182"/>
      <c r="D58" s="14">
        <f>IF(F3="1",SUMIF(Data!A:A,'46'!$A$2,Data!DQ:DQ),0)</f>
        <v>21213</v>
      </c>
      <c r="E58" s="17">
        <f>IF($F$3="1",SUMIF(Data!$A:$A,$A$2,Data!JK:JK),0)</f>
        <v>2402</v>
      </c>
      <c r="F58" s="21">
        <f t="shared" si="3"/>
        <v>0.11</v>
      </c>
    </row>
    <row r="59" spans="1:6" x14ac:dyDescent="0.2">
      <c r="A59" s="19">
        <v>24</v>
      </c>
      <c r="B59" s="181" t="s">
        <v>21</v>
      </c>
      <c r="C59" s="182"/>
      <c r="D59" s="14">
        <f>IF(F3="1",SUMIF(Data!A:A,'46'!$A$2,Data!DR:DR),0)</f>
        <v>103501</v>
      </c>
      <c r="E59" s="17">
        <f>IF($F$3="1",SUMIF(Data!$A:$A,$A$2,Data!JL:JL),0)</f>
        <v>44745</v>
      </c>
      <c r="F59" s="21">
        <f t="shared" si="3"/>
        <v>0.43</v>
      </c>
    </row>
    <row r="60" spans="1:6" x14ac:dyDescent="0.2">
      <c r="A60" s="19">
        <v>25</v>
      </c>
      <c r="B60" s="181" t="s">
        <v>22</v>
      </c>
      <c r="C60" s="182"/>
      <c r="D60" s="14">
        <f>IF(F3="1",SUMIF(Data!A:A,'46'!$A$2,Data!DS:DS),0)</f>
        <v>128112</v>
      </c>
      <c r="E60" s="17">
        <f>IF($F$3="1",SUMIF(Data!$A:$A,$A$2,Data!JM:JM),0)</f>
        <v>9387</v>
      </c>
      <c r="F60" s="21">
        <f t="shared" si="3"/>
        <v>7.0000000000000007E-2</v>
      </c>
    </row>
    <row r="61" spans="1:6" x14ac:dyDescent="0.2">
      <c r="A61" s="19">
        <v>26</v>
      </c>
      <c r="B61" s="181" t="s">
        <v>23</v>
      </c>
      <c r="C61" s="182"/>
      <c r="D61" s="14">
        <f>IF(F3="1",SUMIF(Data!A:A,'46'!$A$2,Data!DT:DT),0)</f>
        <v>26020</v>
      </c>
      <c r="E61" s="17">
        <f>IF($F$3="1",SUMIF(Data!$A:$A,$A$2,Data!JN:JN),0)</f>
        <v>4050</v>
      </c>
      <c r="F61" s="21">
        <f t="shared" si="3"/>
        <v>0.16</v>
      </c>
    </row>
    <row r="62" spans="1:6" x14ac:dyDescent="0.2">
      <c r="A62" s="19">
        <v>28</v>
      </c>
      <c r="B62" s="181" t="s">
        <v>24</v>
      </c>
      <c r="C62" s="182"/>
      <c r="D62" s="14">
        <f>IF(F3="1",SUMIF(Data!A:A,'46'!$A$2,Data!DV:DV),0)</f>
        <v>0</v>
      </c>
      <c r="E62" s="17">
        <f>IF($F$3="1",SUMIF(Data!$A:$A,$A$2,Data!JP:JP),0)</f>
        <v>0</v>
      </c>
      <c r="F62" s="21" t="str">
        <f t="shared" si="3"/>
        <v/>
      </c>
    </row>
    <row r="63" spans="1:6" ht="15.75" customHeight="1" thickBot="1" x14ac:dyDescent="0.25">
      <c r="A63" s="22">
        <v>29</v>
      </c>
      <c r="B63" s="183" t="s">
        <v>25</v>
      </c>
      <c r="C63" s="184"/>
      <c r="D63" s="23">
        <f>IF(F3="1",SUMIF(Data!A:A,'46'!$A$2,Data!DW:DW),0)</f>
        <v>0</v>
      </c>
      <c r="E63" s="24">
        <f>IF($F$3="1",SUMIF(Data!$A:$A,$A$2,Data!JQ:JQ),0)</f>
        <v>0</v>
      </c>
      <c r="F63" s="25" t="str">
        <f t="shared" si="3"/>
        <v/>
      </c>
    </row>
    <row r="64" spans="1:6" x14ac:dyDescent="0.2">
      <c r="B64" s="30" t="s">
        <v>35</v>
      </c>
      <c r="C64" s="30"/>
      <c r="D64" s="59">
        <f>SUM(D36:D63)</f>
        <v>1344130</v>
      </c>
      <c r="E64" s="31">
        <f>SUM(E36:E63)</f>
        <v>492337</v>
      </c>
      <c r="F64" s="32">
        <f t="shared" si="3"/>
        <v>0.37</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25394</v>
      </c>
      <c r="E67" s="15">
        <f>IF(F3="1",SUMIF(Data!A:A,'46'!$A$2,Data!DY:DY),0)</f>
        <v>47904</v>
      </c>
      <c r="F67" s="20">
        <f t="shared" ref="F67:F95" si="4">IF(OR(D67=0,E67=0),"",ROUND(E67/D67,2))</f>
        <v>1.89</v>
      </c>
    </row>
    <row r="68" spans="1:6" x14ac:dyDescent="0.2">
      <c r="A68" s="19">
        <v>2</v>
      </c>
      <c r="B68" s="181" t="s">
        <v>1</v>
      </c>
      <c r="C68" s="182"/>
      <c r="D68" s="14">
        <f t="shared" ref="D68:D94" si="5">D37</f>
        <v>43150</v>
      </c>
      <c r="E68" s="17">
        <f>IF(F3="1",SUMIF(Data!A:A,'46'!$A$2,Data!DZ:DZ),0)</f>
        <v>229015</v>
      </c>
      <c r="F68" s="21">
        <f t="shared" si="4"/>
        <v>5.31</v>
      </c>
    </row>
    <row r="69" spans="1:6" ht="14.25" customHeight="1" x14ac:dyDescent="0.2">
      <c r="A69" s="19">
        <v>3</v>
      </c>
      <c r="B69" s="181" t="s">
        <v>2</v>
      </c>
      <c r="C69" s="182"/>
      <c r="D69" s="14">
        <f t="shared" si="5"/>
        <v>54432</v>
      </c>
      <c r="E69" s="17">
        <f>IF(F3="1",SUMIF(Data!A:A,'46'!$A$2,Data!EA:EA),0)</f>
        <v>141541</v>
      </c>
      <c r="F69" s="21">
        <f t="shared" si="4"/>
        <v>2.6</v>
      </c>
    </row>
    <row r="70" spans="1:6" ht="14.25" customHeight="1" x14ac:dyDescent="0.2">
      <c r="A70" s="19">
        <v>4</v>
      </c>
      <c r="B70" s="181" t="s">
        <v>3</v>
      </c>
      <c r="C70" s="182"/>
      <c r="D70" s="14">
        <f t="shared" si="5"/>
        <v>57572</v>
      </c>
      <c r="E70" s="17">
        <f>IF(F3="1",SUMIF(Data!A:A,'46'!$A$2,Data!EB:EB),0)</f>
        <v>284395</v>
      </c>
      <c r="F70" s="21">
        <f t="shared" si="4"/>
        <v>4.9400000000000004</v>
      </c>
    </row>
    <row r="71" spans="1:6" x14ac:dyDescent="0.2">
      <c r="A71" s="19">
        <v>5</v>
      </c>
      <c r="B71" s="181" t="s">
        <v>4</v>
      </c>
      <c r="C71" s="182"/>
      <c r="D71" s="14">
        <f t="shared" si="5"/>
        <v>29840</v>
      </c>
      <c r="E71" s="17">
        <f>IF(F3="1",SUMIF(Data!A:A,'46'!$A$2,Data!EC:EC),0)</f>
        <v>299</v>
      </c>
      <c r="F71" s="21">
        <f t="shared" si="4"/>
        <v>0.01</v>
      </c>
    </row>
    <row r="72" spans="1:6" x14ac:dyDescent="0.2">
      <c r="A72" s="19">
        <v>6</v>
      </c>
      <c r="B72" s="181" t="s">
        <v>5</v>
      </c>
      <c r="C72" s="182"/>
      <c r="D72" s="14">
        <f t="shared" si="5"/>
        <v>3950</v>
      </c>
      <c r="E72" s="17">
        <f>IF(F3="1",SUMIF(Data!A:A,'46'!$A$2,Data!ED:ED),0)</f>
        <v>2800</v>
      </c>
      <c r="F72" s="21">
        <f t="shared" si="4"/>
        <v>0.71</v>
      </c>
    </row>
    <row r="73" spans="1:6" x14ac:dyDescent="0.2">
      <c r="A73" s="19">
        <v>7</v>
      </c>
      <c r="B73" s="181" t="s">
        <v>6</v>
      </c>
      <c r="C73" s="182"/>
      <c r="D73" s="14">
        <f t="shared" si="5"/>
        <v>88629</v>
      </c>
      <c r="E73" s="17">
        <f>IF(F3="1",SUMIF(Data!A:A,'46'!$A$2,Data!EE:EE),0)</f>
        <v>220851</v>
      </c>
      <c r="F73" s="21">
        <f t="shared" si="4"/>
        <v>2.4900000000000002</v>
      </c>
    </row>
    <row r="74" spans="1:6" x14ac:dyDescent="0.2">
      <c r="A74" s="19">
        <v>8</v>
      </c>
      <c r="B74" s="181" t="s">
        <v>7</v>
      </c>
      <c r="C74" s="182"/>
      <c r="D74" s="14">
        <f t="shared" si="5"/>
        <v>0</v>
      </c>
      <c r="E74" s="17">
        <f>IF(F3="1",SUMIF(Data!A:A,'46'!$A$2,Data!EF:EF),0)</f>
        <v>0</v>
      </c>
      <c r="F74" s="21" t="str">
        <f t="shared" si="4"/>
        <v/>
      </c>
    </row>
    <row r="75" spans="1:6" x14ac:dyDescent="0.2">
      <c r="A75" s="19">
        <v>9</v>
      </c>
      <c r="B75" s="181" t="s">
        <v>8</v>
      </c>
      <c r="C75" s="182"/>
      <c r="D75" s="14">
        <f t="shared" si="5"/>
        <v>98541</v>
      </c>
      <c r="E75" s="17">
        <f>IF(F3="1",SUMIF(Data!A:A,'46'!$A$2,Data!EG:EG),0)</f>
        <v>154821</v>
      </c>
      <c r="F75" s="21">
        <f t="shared" si="4"/>
        <v>1.57</v>
      </c>
    </row>
    <row r="76" spans="1:6" x14ac:dyDescent="0.2">
      <c r="A76" s="19">
        <v>10</v>
      </c>
      <c r="B76" s="181" t="s">
        <v>9</v>
      </c>
      <c r="C76" s="182"/>
      <c r="D76" s="14">
        <f t="shared" si="5"/>
        <v>0</v>
      </c>
      <c r="E76" s="17">
        <f>IF(F3="1",SUMIF(Data!A:A,'46'!$A$2,Data!EH:EH),0)</f>
        <v>0</v>
      </c>
      <c r="F76" s="21" t="str">
        <f t="shared" si="4"/>
        <v/>
      </c>
    </row>
    <row r="77" spans="1:6" x14ac:dyDescent="0.2">
      <c r="A77" s="19">
        <v>11</v>
      </c>
      <c r="B77" s="181" t="s">
        <v>10</v>
      </c>
      <c r="C77" s="182"/>
      <c r="D77" s="14">
        <f t="shared" si="5"/>
        <v>30112</v>
      </c>
      <c r="E77" s="17">
        <f>IF(F3="1",SUMIF(Data!A:A,'46'!$A$2,Data!EI:EI),0)</f>
        <v>69961</v>
      </c>
      <c r="F77" s="21">
        <f t="shared" si="4"/>
        <v>2.3199999999999998</v>
      </c>
    </row>
    <row r="78" spans="1:6" ht="14.25" customHeight="1" x14ac:dyDescent="0.2">
      <c r="A78" s="19">
        <v>12</v>
      </c>
      <c r="B78" s="181" t="s">
        <v>11</v>
      </c>
      <c r="C78" s="182"/>
      <c r="D78" s="14">
        <f t="shared" si="5"/>
        <v>129452</v>
      </c>
      <c r="E78" s="17">
        <f>IF(F3="1",SUMIF(Data!A:A,'46'!$A$2,Data!EJ:EJ),0)</f>
        <v>355795</v>
      </c>
      <c r="F78" s="21">
        <f t="shared" si="4"/>
        <v>2.75</v>
      </c>
    </row>
    <row r="79" spans="1:6" x14ac:dyDescent="0.2">
      <c r="A79" s="19">
        <v>13</v>
      </c>
      <c r="B79" s="181" t="s">
        <v>12</v>
      </c>
      <c r="C79" s="182"/>
      <c r="D79" s="14">
        <f t="shared" si="5"/>
        <v>19648</v>
      </c>
      <c r="E79" s="17">
        <f>IF(F3="1",SUMIF(Data!A:A,'46'!$A$2,Data!EK:EK),0)</f>
        <v>48711</v>
      </c>
      <c r="F79" s="21">
        <f t="shared" si="4"/>
        <v>2.48</v>
      </c>
    </row>
    <row r="80" spans="1:6" ht="14.25" customHeight="1" x14ac:dyDescent="0.2">
      <c r="A80" s="19">
        <v>14</v>
      </c>
      <c r="B80" s="181" t="s">
        <v>464</v>
      </c>
      <c r="C80" s="182"/>
      <c r="D80" s="14">
        <f t="shared" si="5"/>
        <v>83056</v>
      </c>
      <c r="E80" s="17">
        <f>IF(F3="1",SUMIF(Data!A:A,'46'!$A$2,Data!EL:EL),0)</f>
        <v>267195</v>
      </c>
      <c r="F80" s="21">
        <f t="shared" si="4"/>
        <v>3.22</v>
      </c>
    </row>
    <row r="81" spans="1:6" x14ac:dyDescent="0.2">
      <c r="A81" s="19">
        <v>15</v>
      </c>
      <c r="B81" s="181" t="s">
        <v>13</v>
      </c>
      <c r="C81" s="182"/>
      <c r="D81" s="14">
        <f t="shared" si="5"/>
        <v>0</v>
      </c>
      <c r="E81" s="17">
        <f>IF(F3="1",SUMIF(Data!A:A,'46'!$A$2,Data!EM:EM),0)</f>
        <v>0</v>
      </c>
      <c r="F81" s="21" t="str">
        <f t="shared" si="4"/>
        <v/>
      </c>
    </row>
    <row r="82" spans="1:6" x14ac:dyDescent="0.2">
      <c r="A82" s="19">
        <v>16</v>
      </c>
      <c r="B82" s="181" t="s">
        <v>14</v>
      </c>
      <c r="C82" s="182"/>
      <c r="D82" s="14">
        <f t="shared" si="5"/>
        <v>94232</v>
      </c>
      <c r="E82" s="17">
        <f>IF(F3="1",SUMIF(Data!A:A,'46'!$A$2,Data!EN:EN),0)</f>
        <v>168887</v>
      </c>
      <c r="F82" s="21">
        <f t="shared" si="4"/>
        <v>1.79</v>
      </c>
    </row>
    <row r="83" spans="1:6" x14ac:dyDescent="0.2">
      <c r="A83" s="19">
        <v>17</v>
      </c>
      <c r="B83" s="181" t="s">
        <v>15</v>
      </c>
      <c r="C83" s="182"/>
      <c r="D83" s="14">
        <f t="shared" si="5"/>
        <v>0</v>
      </c>
      <c r="E83" s="17">
        <f>IF(F3="1",SUMIF(Data!A:A,'46'!$A$2,Data!EO:EO),0)</f>
        <v>0</v>
      </c>
      <c r="F83" s="21" t="str">
        <f t="shared" si="4"/>
        <v/>
      </c>
    </row>
    <row r="84" spans="1:6" x14ac:dyDescent="0.2">
      <c r="A84" s="19">
        <v>18</v>
      </c>
      <c r="B84" s="181" t="s">
        <v>16</v>
      </c>
      <c r="C84" s="182"/>
      <c r="D84" s="14">
        <f t="shared" si="5"/>
        <v>217888</v>
      </c>
      <c r="E84" s="17">
        <f>IF(F3="1",SUMIF(Data!A:A,'46'!$A$2,Data!EP:EP),0)</f>
        <v>546544</v>
      </c>
      <c r="F84" s="21">
        <f t="shared" si="4"/>
        <v>2.5099999999999998</v>
      </c>
    </row>
    <row r="85" spans="1:6" x14ac:dyDescent="0.2">
      <c r="A85" s="19">
        <v>19</v>
      </c>
      <c r="B85" s="181" t="s">
        <v>17</v>
      </c>
      <c r="C85" s="182"/>
      <c r="D85" s="14">
        <f t="shared" si="5"/>
        <v>79500</v>
      </c>
      <c r="E85" s="17">
        <f>IF(F3="1",SUMIF(Data!A:A,'46'!$A$2,Data!EQ:EQ),0)</f>
        <v>174229</v>
      </c>
      <c r="F85" s="21">
        <f t="shared" si="4"/>
        <v>2.19</v>
      </c>
    </row>
    <row r="86" spans="1:6" x14ac:dyDescent="0.2">
      <c r="A86" s="19">
        <v>20</v>
      </c>
      <c r="B86" s="181" t="s">
        <v>18</v>
      </c>
      <c r="C86" s="182"/>
      <c r="D86" s="14">
        <f t="shared" si="5"/>
        <v>7488</v>
      </c>
      <c r="E86" s="17">
        <f>IF(F3="1",SUMIF(Data!A:A,'46'!$A$2,Data!ER:ER),0)</f>
        <v>48183</v>
      </c>
      <c r="F86" s="21">
        <f t="shared" si="4"/>
        <v>6.43</v>
      </c>
    </row>
    <row r="87" spans="1:6" ht="14.25" customHeight="1" x14ac:dyDescent="0.2">
      <c r="A87" s="19">
        <v>21</v>
      </c>
      <c r="B87" s="181" t="s">
        <v>461</v>
      </c>
      <c r="C87" s="182"/>
      <c r="D87" s="14">
        <f t="shared" si="5"/>
        <v>0</v>
      </c>
      <c r="E87" s="17">
        <f>IF(F3="1",SUMIF(Data!A:A,'46'!$A$2,Data!ES:ES),0)</f>
        <v>0</v>
      </c>
      <c r="F87" s="21" t="str">
        <f t="shared" si="4"/>
        <v/>
      </c>
    </row>
    <row r="88" spans="1:6" x14ac:dyDescent="0.2">
      <c r="A88" s="19">
        <v>22</v>
      </c>
      <c r="B88" s="181" t="s">
        <v>19</v>
      </c>
      <c r="C88" s="182"/>
      <c r="D88" s="14">
        <f t="shared" si="5"/>
        <v>2400</v>
      </c>
      <c r="E88" s="17">
        <f>IF(F3="1",SUMIF(Data!A:A,'46'!$A$2,Data!ET:ET),0)</f>
        <v>1400</v>
      </c>
      <c r="F88" s="21">
        <f t="shared" si="4"/>
        <v>0.57999999999999996</v>
      </c>
    </row>
    <row r="89" spans="1:6" x14ac:dyDescent="0.2">
      <c r="A89" s="19">
        <v>23</v>
      </c>
      <c r="B89" s="181" t="s">
        <v>20</v>
      </c>
      <c r="C89" s="182"/>
      <c r="D89" s="14">
        <f t="shared" si="5"/>
        <v>21213</v>
      </c>
      <c r="E89" s="17">
        <f>IF(F3="1",SUMIF(Data!A:A,'46'!$A$2,Data!EU:EU),0)</f>
        <v>69033</v>
      </c>
      <c r="F89" s="21">
        <f t="shared" si="4"/>
        <v>3.25</v>
      </c>
    </row>
    <row r="90" spans="1:6" x14ac:dyDescent="0.2">
      <c r="A90" s="19">
        <v>24</v>
      </c>
      <c r="B90" s="181" t="s">
        <v>21</v>
      </c>
      <c r="C90" s="182"/>
      <c r="D90" s="14">
        <f t="shared" si="5"/>
        <v>103501</v>
      </c>
      <c r="E90" s="17">
        <f>IF(F3="1",SUMIF(Data!A:A,'46'!$A$2,Data!EV:EV),0)</f>
        <v>281065</v>
      </c>
      <c r="F90" s="21">
        <f t="shared" si="4"/>
        <v>2.72</v>
      </c>
    </row>
    <row r="91" spans="1:6" x14ac:dyDescent="0.2">
      <c r="A91" s="19">
        <v>25</v>
      </c>
      <c r="B91" s="181" t="s">
        <v>22</v>
      </c>
      <c r="C91" s="182"/>
      <c r="D91" s="14">
        <f t="shared" si="5"/>
        <v>128112</v>
      </c>
      <c r="E91" s="17">
        <f>IF(F3="1",SUMIF(Data!A:A,'46'!$A$2,Data!EW:EW),0)</f>
        <v>265977</v>
      </c>
      <c r="F91" s="21">
        <f t="shared" si="4"/>
        <v>2.08</v>
      </c>
    </row>
    <row r="92" spans="1:6" x14ac:dyDescent="0.2">
      <c r="A92" s="19">
        <v>26</v>
      </c>
      <c r="B92" s="181" t="s">
        <v>23</v>
      </c>
      <c r="C92" s="182"/>
      <c r="D92" s="14">
        <f t="shared" si="5"/>
        <v>26020</v>
      </c>
      <c r="E92" s="17">
        <f>IF(F3="1",SUMIF(Data!A:A,'46'!$A$2,Data!EX:EX),0)</f>
        <v>80121</v>
      </c>
      <c r="F92" s="21">
        <f t="shared" si="4"/>
        <v>3.08</v>
      </c>
    </row>
    <row r="93" spans="1:6" x14ac:dyDescent="0.2">
      <c r="A93" s="19">
        <v>28</v>
      </c>
      <c r="B93" s="181" t="s">
        <v>24</v>
      </c>
      <c r="C93" s="182"/>
      <c r="D93" s="14">
        <f t="shared" si="5"/>
        <v>0</v>
      </c>
      <c r="E93" s="17">
        <f>IF(F3="1",SUMIF(Data!A:A,'46'!$A$2,Data!EZ:EZ),0)</f>
        <v>0</v>
      </c>
      <c r="F93" s="21" t="str">
        <f t="shared" si="4"/>
        <v/>
      </c>
    </row>
    <row r="94" spans="1:6" ht="15.75" customHeight="1" thickBot="1" x14ac:dyDescent="0.25">
      <c r="A94" s="22">
        <v>29</v>
      </c>
      <c r="B94" s="183" t="s">
        <v>25</v>
      </c>
      <c r="C94" s="184"/>
      <c r="D94" s="23">
        <f t="shared" si="5"/>
        <v>0</v>
      </c>
      <c r="E94" s="24">
        <f>IF(F3="1",SUMIF(Data!A:A,'46'!$A$2,Data!FA:FA),0)</f>
        <v>0</v>
      </c>
      <c r="F94" s="25" t="str">
        <f t="shared" si="4"/>
        <v/>
      </c>
    </row>
    <row r="95" spans="1:6" x14ac:dyDescent="0.2">
      <c r="B95" s="30" t="s">
        <v>35</v>
      </c>
      <c r="C95" s="30"/>
      <c r="D95" s="59">
        <f>SUM(D67:D94)</f>
        <v>1344130</v>
      </c>
      <c r="E95" s="31">
        <f>SUM(E67:E94)</f>
        <v>3458727</v>
      </c>
      <c r="F95" s="32">
        <f t="shared" si="4"/>
        <v>2.57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IF(F3="1",SUMIF(Data!A:A,'46'!$A$2,Data!AH:AH),0)</f>
        <v>1378216</v>
      </c>
      <c r="F98" s="20">
        <f>IF(OR(E98=0,E98=0),"",ROUND(E98/$D$105,2))</f>
        <v>1.03</v>
      </c>
    </row>
    <row r="99" spans="2:6" x14ac:dyDescent="0.2">
      <c r="B99" s="187" t="s">
        <v>31</v>
      </c>
      <c r="C99" s="188"/>
      <c r="D99" s="36"/>
      <c r="E99" s="17">
        <f>IF(F3="1",SUMIF(Data!A:A,'46'!$A$2,Data!AI:AI),0)</f>
        <v>759174</v>
      </c>
      <c r="F99" s="21">
        <f t="shared" ref="F99:F104" si="6">IF(OR(E99=0,E99=0),"",ROUND(E99/$D$105,2))</f>
        <v>0.56000000000000005</v>
      </c>
    </row>
    <row r="100" spans="2:6" x14ac:dyDescent="0.2">
      <c r="B100" s="187" t="s">
        <v>1078</v>
      </c>
      <c r="C100" s="188"/>
      <c r="D100" s="36"/>
      <c r="E100" s="17">
        <f>IF(F3="1",SUMIF(Data!A:A,'46'!$A$2,Data!AJ:AJ),0)</f>
        <v>311314</v>
      </c>
      <c r="F100" s="21">
        <f t="shared" si="6"/>
        <v>0.23</v>
      </c>
    </row>
    <row r="101" spans="2:6" x14ac:dyDescent="0.2">
      <c r="B101" s="187" t="s">
        <v>1079</v>
      </c>
      <c r="C101" s="188"/>
      <c r="D101" s="36"/>
      <c r="E101" s="17">
        <f>IF(F3="1",SUMIF(Data!A:A,'46'!$A$2,Data!AK:AK),0)</f>
        <v>1076087</v>
      </c>
      <c r="F101" s="21">
        <f t="shared" si="6"/>
        <v>0.8</v>
      </c>
    </row>
    <row r="102" spans="2:6" x14ac:dyDescent="0.2">
      <c r="B102" s="187" t="s">
        <v>1080</v>
      </c>
      <c r="C102" s="188"/>
      <c r="D102" s="36"/>
      <c r="E102" s="17">
        <f>IF(F3="1",SUMIF(Data!A:A,'46'!$A$2,Data!AL:AL),0)</f>
        <v>21214</v>
      </c>
      <c r="F102" s="21">
        <f t="shared" si="6"/>
        <v>0.02</v>
      </c>
    </row>
    <row r="103" spans="2:6" x14ac:dyDescent="0.2">
      <c r="B103" s="189" t="s">
        <v>34</v>
      </c>
      <c r="C103" s="190"/>
      <c r="D103" s="36"/>
      <c r="E103" s="17">
        <f>IF(F3="1",SUMIF(Data!A:A,'46'!$A$2,Data!AM:AM),0)</f>
        <v>0</v>
      </c>
      <c r="F103" s="21" t="str">
        <f t="shared" si="6"/>
        <v/>
      </c>
    </row>
    <row r="104" spans="2:6" ht="15.75" customHeight="1" thickBot="1" x14ac:dyDescent="0.25">
      <c r="B104" s="179" t="s">
        <v>29</v>
      </c>
      <c r="C104" s="180"/>
      <c r="D104" s="37"/>
      <c r="E104" s="24">
        <f>IF(F3="1",SUMIF(Data!A:A,'46'!$A$2,Data!Q:Q),0)</f>
        <v>332110</v>
      </c>
      <c r="F104" s="25">
        <f t="shared" si="6"/>
        <v>0.25</v>
      </c>
    </row>
    <row r="105" spans="2:6" x14ac:dyDescent="0.2">
      <c r="B105" s="30" t="s">
        <v>35</v>
      </c>
      <c r="C105" s="30"/>
      <c r="D105" s="34">
        <f>D95</f>
        <v>1344130</v>
      </c>
      <c r="E105" s="31">
        <f>SUM(E98:E104)</f>
        <v>3878115</v>
      </c>
      <c r="F105" s="32">
        <f>IF($D$105=0,"",ROUND(E105/$D$105,2))</f>
        <v>2.89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3458727</v>
      </c>
      <c r="D109" s="15">
        <f>IF(F3="1",SUMIF(Data!$A:$A,$A$2,Data!HJ:HJ),0)</f>
        <v>0</v>
      </c>
      <c r="E109" s="15">
        <f>IF(F3="1",SUMIF(Data!$A:$A,$A$2,Data!IN:IN),0)</f>
        <v>0</v>
      </c>
      <c r="F109" s="47">
        <f>SUM(C109:E109)</f>
        <v>3458727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21214</v>
      </c>
      <c r="F116" s="48">
        <f t="shared" si="7"/>
        <v>21214</v>
      </c>
    </row>
    <row r="117" spans="1:6" ht="15" thickBot="1" x14ac:dyDescent="0.25">
      <c r="B117" s="43" t="s">
        <v>933</v>
      </c>
      <c r="C117" s="52"/>
      <c r="D117" s="52">
        <f>IF(F3="1",SUMIF(Data!A:A,$A$2,Data!Q:Q),0)</f>
        <v>332110</v>
      </c>
      <c r="E117" s="52"/>
      <c r="F117" s="49">
        <f>SUM(C117:E117)</f>
        <v>332110</v>
      </c>
    </row>
    <row r="118" spans="1:6" x14ac:dyDescent="0.2">
      <c r="B118" s="13" t="s">
        <v>35</v>
      </c>
      <c r="C118" s="4">
        <f>SUM(C109:C116)</f>
        <v>3458727</v>
      </c>
      <c r="D118" s="4">
        <f>SUM(D109:D116)</f>
        <v>0</v>
      </c>
      <c r="E118" s="4">
        <f>SUM(E109:E116)</f>
        <v>21214</v>
      </c>
      <c r="F118" s="4">
        <f>SUM(F109:F116)</f>
        <v>3479941</v>
      </c>
    </row>
    <row r="119" spans="1:6" ht="15" thickBot="1" x14ac:dyDescent="0.25"/>
    <row r="120" spans="1:6" ht="15" thickBot="1" x14ac:dyDescent="0.25">
      <c r="B120" s="55" t="s">
        <v>934</v>
      </c>
      <c r="C120" s="53"/>
      <c r="D120" s="53"/>
      <c r="E120" s="53">
        <f>IF(F3="1",SUMIF(Data!A:A,'46'!$A$2,Data!AM:AM),0)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413</v>
      </c>
      <c r="B2" s="58" t="str">
        <f>VLOOKUP(A2,Data!A:G,7,0)</f>
        <v>Victoria College, The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4416</v>
      </c>
      <c r="E5" s="15">
        <f>E36+E67+IFERROR($E$105/$D$105*D5,0)</f>
        <v>15751.532761199534</v>
      </c>
      <c r="F5" s="20">
        <f>IF(OR(D5=0,E5=0),"",ROUND(E5/D5,2))</f>
        <v>3.57</v>
      </c>
    </row>
    <row r="6" spans="1:6" x14ac:dyDescent="0.2">
      <c r="A6" s="19">
        <v>2</v>
      </c>
      <c r="B6" s="181" t="s">
        <v>1</v>
      </c>
      <c r="C6" s="182"/>
      <c r="D6" s="14">
        <f t="shared" ref="D6:D32" si="0">D37</f>
        <v>60389</v>
      </c>
      <c r="E6" s="17">
        <f t="shared" ref="E6:E32" si="1">E37+E68+IFERROR($E$105/$D$105*D6,0)</f>
        <v>381246.2314121555</v>
      </c>
      <c r="F6" s="21">
        <f t="shared" ref="F6:F33" si="2">IF(OR(D6=0,E6=0),"",ROUND(E6/D6,2))</f>
        <v>6.31</v>
      </c>
    </row>
    <row r="7" spans="1:6" ht="14.25" customHeight="1" x14ac:dyDescent="0.2">
      <c r="A7" s="19">
        <v>3</v>
      </c>
      <c r="B7" s="181" t="s">
        <v>2</v>
      </c>
      <c r="C7" s="182"/>
      <c r="D7" s="14">
        <f t="shared" si="0"/>
        <v>201904</v>
      </c>
      <c r="E7" s="17">
        <f t="shared" si="1"/>
        <v>1405337.7460636846</v>
      </c>
      <c r="F7" s="21">
        <f t="shared" si="2"/>
        <v>6.96</v>
      </c>
    </row>
    <row r="8" spans="1:6" ht="14.25" customHeight="1" x14ac:dyDescent="0.2">
      <c r="A8" s="19">
        <v>4</v>
      </c>
      <c r="B8" s="181" t="s">
        <v>3</v>
      </c>
      <c r="C8" s="182"/>
      <c r="D8" s="14">
        <f t="shared" si="0"/>
        <v>112786</v>
      </c>
      <c r="E8" s="17">
        <f t="shared" si="1"/>
        <v>700122.18885974889</v>
      </c>
      <c r="F8" s="21">
        <f t="shared" si="2"/>
        <v>6.21</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10368</v>
      </c>
      <c r="E10" s="17">
        <f t="shared" si="1"/>
        <v>70724.598656729344</v>
      </c>
      <c r="F10" s="21">
        <f t="shared" si="2"/>
        <v>6.82</v>
      </c>
    </row>
    <row r="11" spans="1:6" x14ac:dyDescent="0.2">
      <c r="A11" s="19">
        <v>7</v>
      </c>
      <c r="B11" s="181" t="s">
        <v>6</v>
      </c>
      <c r="C11" s="182"/>
      <c r="D11" s="14">
        <f t="shared" si="0"/>
        <v>102679</v>
      </c>
      <c r="E11" s="17">
        <f t="shared" si="1"/>
        <v>722586.61829420447</v>
      </c>
      <c r="F11" s="21">
        <f t="shared" si="2"/>
        <v>7.04</v>
      </c>
    </row>
    <row r="12" spans="1:6" x14ac:dyDescent="0.2">
      <c r="A12" s="19">
        <v>8</v>
      </c>
      <c r="B12" s="181" t="s">
        <v>7</v>
      </c>
      <c r="C12" s="182"/>
      <c r="D12" s="14">
        <f t="shared" si="0"/>
        <v>7584</v>
      </c>
      <c r="E12" s="17">
        <f t="shared" si="1"/>
        <v>71794.632350755724</v>
      </c>
      <c r="F12" s="21">
        <f t="shared" si="2"/>
        <v>9.4700000000000006</v>
      </c>
    </row>
    <row r="13" spans="1:6" x14ac:dyDescent="0.2">
      <c r="A13" s="19">
        <v>9</v>
      </c>
      <c r="B13" s="181" t="s">
        <v>8</v>
      </c>
      <c r="C13" s="182"/>
      <c r="D13" s="14">
        <f t="shared" si="0"/>
        <v>46763</v>
      </c>
      <c r="E13" s="17">
        <f t="shared" si="1"/>
        <v>181229.62692753031</v>
      </c>
      <c r="F13" s="21">
        <f t="shared" si="2"/>
        <v>3.88</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36456</v>
      </c>
      <c r="E15" s="17">
        <f t="shared" si="1"/>
        <v>191396.15361012006</v>
      </c>
      <c r="F15" s="21">
        <f t="shared" si="2"/>
        <v>5.25</v>
      </c>
    </row>
    <row r="16" spans="1:6" ht="14.25" customHeight="1" x14ac:dyDescent="0.2">
      <c r="A16" s="19">
        <v>12</v>
      </c>
      <c r="B16" s="181" t="s">
        <v>11</v>
      </c>
      <c r="C16" s="182"/>
      <c r="D16" s="14">
        <f t="shared" si="0"/>
        <v>216711</v>
      </c>
      <c r="E16" s="17">
        <f t="shared" si="1"/>
        <v>1384941.5312980781</v>
      </c>
      <c r="F16" s="21">
        <f t="shared" si="2"/>
        <v>6.39</v>
      </c>
    </row>
    <row r="17" spans="1:6" x14ac:dyDescent="0.2">
      <c r="A17" s="19">
        <v>13</v>
      </c>
      <c r="B17" s="181" t="s">
        <v>12</v>
      </c>
      <c r="C17" s="182"/>
      <c r="D17" s="14">
        <f t="shared" si="0"/>
        <v>13402</v>
      </c>
      <c r="E17" s="17">
        <f t="shared" si="1"/>
        <v>95973.193402535369</v>
      </c>
      <c r="F17" s="21">
        <f t="shared" si="2"/>
        <v>7.16</v>
      </c>
    </row>
    <row r="18" spans="1:6" ht="14.25" customHeight="1" x14ac:dyDescent="0.2">
      <c r="A18" s="19">
        <v>14</v>
      </c>
      <c r="B18" s="181" t="s">
        <v>464</v>
      </c>
      <c r="C18" s="182"/>
      <c r="D18" s="14">
        <f t="shared" si="0"/>
        <v>95587</v>
      </c>
      <c r="E18" s="17">
        <f t="shared" si="1"/>
        <v>1144827.4067130389</v>
      </c>
      <c r="F18" s="21">
        <f t="shared" si="2"/>
        <v>11.98</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120184</v>
      </c>
      <c r="E20" s="17">
        <f t="shared" si="1"/>
        <v>655443.88165126927</v>
      </c>
      <c r="F20" s="21">
        <f t="shared" si="2"/>
        <v>5.45</v>
      </c>
    </row>
    <row r="21" spans="1:6" x14ac:dyDescent="0.2">
      <c r="A21" s="19">
        <v>17</v>
      </c>
      <c r="B21" s="181" t="s">
        <v>15</v>
      </c>
      <c r="C21" s="182"/>
      <c r="D21" s="14">
        <f t="shared" si="0"/>
        <v>21360</v>
      </c>
      <c r="E21" s="17">
        <f t="shared" si="1"/>
        <v>237507.41389928036</v>
      </c>
      <c r="F21" s="21">
        <f t="shared" si="2"/>
        <v>11.12</v>
      </c>
    </row>
    <row r="22" spans="1:6" x14ac:dyDescent="0.2">
      <c r="A22" s="19">
        <v>18</v>
      </c>
      <c r="B22" s="181" t="s">
        <v>16</v>
      </c>
      <c r="C22" s="182"/>
      <c r="D22" s="14">
        <f t="shared" si="0"/>
        <v>231216</v>
      </c>
      <c r="E22" s="17">
        <f t="shared" si="1"/>
        <v>1543667.253377154</v>
      </c>
      <c r="F22" s="21">
        <f t="shared" si="2"/>
        <v>6.68</v>
      </c>
    </row>
    <row r="23" spans="1:6" x14ac:dyDescent="0.2">
      <c r="A23" s="19">
        <v>19</v>
      </c>
      <c r="B23" s="181" t="s">
        <v>17</v>
      </c>
      <c r="C23" s="182"/>
      <c r="D23" s="14">
        <f t="shared" si="0"/>
        <v>144832</v>
      </c>
      <c r="E23" s="17">
        <f t="shared" si="1"/>
        <v>934319.93679122534</v>
      </c>
      <c r="F23" s="21">
        <f t="shared" si="2"/>
        <v>6.45</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960</v>
      </c>
      <c r="E25" s="17">
        <f t="shared" si="1"/>
        <v>25824.333208956421</v>
      </c>
      <c r="F25" s="21">
        <f t="shared" si="2"/>
        <v>26.9</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59616</v>
      </c>
      <c r="E27" s="17">
        <f t="shared" si="1"/>
        <v>441285.69227619376</v>
      </c>
      <c r="F27" s="21">
        <f t="shared" si="2"/>
        <v>7.4</v>
      </c>
    </row>
    <row r="28" spans="1:6" x14ac:dyDescent="0.2">
      <c r="A28" s="19">
        <v>24</v>
      </c>
      <c r="B28" s="181" t="s">
        <v>21</v>
      </c>
      <c r="C28" s="182"/>
      <c r="D28" s="14">
        <f t="shared" si="0"/>
        <v>71685</v>
      </c>
      <c r="E28" s="17">
        <f t="shared" si="1"/>
        <v>454030.81883754273</v>
      </c>
      <c r="F28" s="21">
        <f t="shared" si="2"/>
        <v>6.33</v>
      </c>
    </row>
    <row r="29" spans="1:6" x14ac:dyDescent="0.2">
      <c r="A29" s="19">
        <v>25</v>
      </c>
      <c r="B29" s="181" t="s">
        <v>22</v>
      </c>
      <c r="C29" s="182"/>
      <c r="D29" s="14">
        <f t="shared" si="0"/>
        <v>255456</v>
      </c>
      <c r="E29" s="17">
        <f t="shared" si="1"/>
        <v>1468144.6669033035</v>
      </c>
      <c r="F29" s="21">
        <f t="shared" si="2"/>
        <v>5.75</v>
      </c>
    </row>
    <row r="30" spans="1:6" x14ac:dyDescent="0.2">
      <c r="A30" s="19">
        <v>26</v>
      </c>
      <c r="B30" s="181" t="s">
        <v>23</v>
      </c>
      <c r="C30" s="182"/>
      <c r="D30" s="14">
        <f t="shared" si="0"/>
        <v>56304</v>
      </c>
      <c r="E30" s="17">
        <f t="shared" si="1"/>
        <v>544397.54270529409</v>
      </c>
      <c r="F30" s="21">
        <f t="shared" si="2"/>
        <v>9.67</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1870658</v>
      </c>
      <c r="E33" s="31">
        <f>SUM(E5:E32)</f>
        <v>12670552.999999998</v>
      </c>
      <c r="F33" s="32">
        <f t="shared" si="2"/>
        <v>6.77</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IF(F3="1",SUMIF(Data!A:A,'47'!$A$2,Data!CU:CU),0)</f>
        <v>4416</v>
      </c>
      <c r="E36" s="15">
        <f>IF(F3="1",SUMIF(Data!$A:$A,$A$2,Data!IO:IO),0)</f>
        <v>0</v>
      </c>
      <c r="F36" s="20" t="str">
        <f t="shared" ref="F36:F64" si="3">IF(OR(D36=0,E36=0),"",ROUND(E36/D36,2))</f>
        <v/>
      </c>
    </row>
    <row r="37" spans="1:6" x14ac:dyDescent="0.2">
      <c r="A37" s="19">
        <v>2</v>
      </c>
      <c r="B37" s="181" t="s">
        <v>1</v>
      </c>
      <c r="C37" s="182"/>
      <c r="D37" s="14">
        <f>IF(F3="1",SUMIF(Data!A:A,'47'!$A$2,Data!CV:CV),0)</f>
        <v>60389</v>
      </c>
      <c r="E37" s="17">
        <f>IF(F3="1",SUMIF(Data!$A:$A,$A$2,Data!IP:IP),0)</f>
        <v>46709</v>
      </c>
      <c r="F37" s="21">
        <f t="shared" si="3"/>
        <v>0.77</v>
      </c>
    </row>
    <row r="38" spans="1:6" ht="14.25" customHeight="1" x14ac:dyDescent="0.2">
      <c r="A38" s="19">
        <v>3</v>
      </c>
      <c r="B38" s="181" t="s">
        <v>2</v>
      </c>
      <c r="C38" s="182"/>
      <c r="D38" s="14">
        <f>IF(F3="1",SUMIF(Data!A:A,'47'!$A$2,Data!CW:CW),0)</f>
        <v>201904</v>
      </c>
      <c r="E38" s="17">
        <f>IF($F$3="1",SUMIF(Data!$A:$A,$A$2,Data!IQ:IQ),0)</f>
        <v>137314</v>
      </c>
      <c r="F38" s="21">
        <f t="shared" si="3"/>
        <v>0.68</v>
      </c>
    </row>
    <row r="39" spans="1:6" ht="14.25" customHeight="1" x14ac:dyDescent="0.2">
      <c r="A39" s="19">
        <v>4</v>
      </c>
      <c r="B39" s="181" t="s">
        <v>3</v>
      </c>
      <c r="C39" s="182"/>
      <c r="D39" s="14">
        <f>IF(F3="1",SUMIF(Data!A:A,'47'!$A$2,Data!CX:CX),0)</f>
        <v>112786</v>
      </c>
      <c r="E39" s="17">
        <f>IF($F$3="1",SUMIF(Data!$A:$A,$A$2,Data!IR:IR),0)</f>
        <v>72939</v>
      </c>
      <c r="F39" s="21">
        <f t="shared" si="3"/>
        <v>0.65</v>
      </c>
    </row>
    <row r="40" spans="1:6" x14ac:dyDescent="0.2">
      <c r="A40" s="19">
        <v>5</v>
      </c>
      <c r="B40" s="181" t="s">
        <v>4</v>
      </c>
      <c r="C40" s="182"/>
      <c r="D40" s="14">
        <f>IF(F3="1",SUMIF(Data!A:A,'47'!$A$2,Data!CY:CY),0)</f>
        <v>0</v>
      </c>
      <c r="E40" s="17">
        <f>IF($F$3="1",SUMIF(Data!$A:$A,$A$2,Data!IS:IS),0)</f>
        <v>0</v>
      </c>
      <c r="F40" s="21" t="str">
        <f t="shared" si="3"/>
        <v/>
      </c>
    </row>
    <row r="41" spans="1:6" x14ac:dyDescent="0.2">
      <c r="A41" s="19">
        <v>6</v>
      </c>
      <c r="B41" s="181" t="s">
        <v>5</v>
      </c>
      <c r="C41" s="182"/>
      <c r="D41" s="14">
        <f>IF(F3="1",SUMIF(Data!A:A,'47'!$A$2,Data!CZ:CZ),0)</f>
        <v>10368</v>
      </c>
      <c r="E41" s="17">
        <f>IF($F$3="1",SUMIF(Data!$A:$A,$A$2,Data!IT:IT),0)</f>
        <v>0</v>
      </c>
      <c r="F41" s="21" t="str">
        <f t="shared" si="3"/>
        <v/>
      </c>
    </row>
    <row r="42" spans="1:6" x14ac:dyDescent="0.2">
      <c r="A42" s="19">
        <v>7</v>
      </c>
      <c r="B42" s="181" t="s">
        <v>6</v>
      </c>
      <c r="C42" s="182"/>
      <c r="D42" s="14">
        <f>IF(F3="1",SUMIF(Data!A:A,'47'!$A$2,Data!DA:DA),0)</f>
        <v>102679</v>
      </c>
      <c r="E42" s="17">
        <f>IF($F$3="1",SUMIF(Data!$A:$A,$A$2,Data!IU:IU),0)</f>
        <v>83879</v>
      </c>
      <c r="F42" s="21">
        <f t="shared" si="3"/>
        <v>0.82</v>
      </c>
    </row>
    <row r="43" spans="1:6" x14ac:dyDescent="0.2">
      <c r="A43" s="19">
        <v>8</v>
      </c>
      <c r="B43" s="181" t="s">
        <v>7</v>
      </c>
      <c r="C43" s="182"/>
      <c r="D43" s="14">
        <f>IF(F3="1",SUMIF(Data!A:A,'47'!$A$2,Data!DB:DB),0)</f>
        <v>7584</v>
      </c>
      <c r="E43" s="17">
        <f>IF($F$3="1",SUMIF(Data!$A:$A,$A$2,Data!IV:IV),0)</f>
        <v>285</v>
      </c>
      <c r="F43" s="21">
        <f t="shared" si="3"/>
        <v>0.04</v>
      </c>
    </row>
    <row r="44" spans="1:6" x14ac:dyDescent="0.2">
      <c r="A44" s="19">
        <v>9</v>
      </c>
      <c r="B44" s="181" t="s">
        <v>8</v>
      </c>
      <c r="C44" s="182"/>
      <c r="D44" s="14">
        <f>IF(F3="1",SUMIF(Data!A:A,'47'!$A$2,Data!DC:DC),0)</f>
        <v>46763</v>
      </c>
      <c r="E44" s="17">
        <f>IF($F$3="1",SUMIF(Data!$A:$A,$A$2,Data!IW:IW),0)</f>
        <v>9709</v>
      </c>
      <c r="F44" s="21">
        <f t="shared" si="3"/>
        <v>0.21</v>
      </c>
    </row>
    <row r="45" spans="1:6" x14ac:dyDescent="0.2">
      <c r="A45" s="19">
        <v>10</v>
      </c>
      <c r="B45" s="181" t="s">
        <v>9</v>
      </c>
      <c r="C45" s="182"/>
      <c r="D45" s="14">
        <f>IF(F3="1",SUMIF(Data!A:A,'47'!$A$2,Data!DD:DD),0)</f>
        <v>0</v>
      </c>
      <c r="E45" s="17">
        <f>IF($F$3="1",SUMIF(Data!$A:$A,$A$2,Data!IX:IX),0)</f>
        <v>0</v>
      </c>
      <c r="F45" s="21" t="str">
        <f t="shared" si="3"/>
        <v/>
      </c>
    </row>
    <row r="46" spans="1:6" x14ac:dyDescent="0.2">
      <c r="A46" s="19">
        <v>11</v>
      </c>
      <c r="B46" s="181" t="s">
        <v>10</v>
      </c>
      <c r="C46" s="182"/>
      <c r="D46" s="14">
        <f>IF(F3="1",SUMIF(Data!A:A,'47'!$A$2,Data!DE:DE),0)</f>
        <v>36456</v>
      </c>
      <c r="E46" s="17">
        <f>IF($F$3="1",SUMIF(Data!$A:$A,$A$2,Data!IY:IY),0)</f>
        <v>16049</v>
      </c>
      <c r="F46" s="21">
        <f t="shared" si="3"/>
        <v>0.44</v>
      </c>
    </row>
    <row r="47" spans="1:6" ht="14.25" customHeight="1" x14ac:dyDescent="0.2">
      <c r="A47" s="19">
        <v>12</v>
      </c>
      <c r="B47" s="181" t="s">
        <v>11</v>
      </c>
      <c r="C47" s="182"/>
      <c r="D47" s="14">
        <f>IF(F3="1",SUMIF(Data!A:A,'47'!$A$2,Data!DF:DF),0)</f>
        <v>216711</v>
      </c>
      <c r="E47" s="17">
        <f>IF($F$3="1",SUMIF(Data!$A:$A,$A$2,Data!IZ:IZ),0)</f>
        <v>69472</v>
      </c>
      <c r="F47" s="21">
        <f t="shared" si="3"/>
        <v>0.32</v>
      </c>
    </row>
    <row r="48" spans="1:6" x14ac:dyDescent="0.2">
      <c r="A48" s="19">
        <v>13</v>
      </c>
      <c r="B48" s="181" t="s">
        <v>12</v>
      </c>
      <c r="C48" s="182"/>
      <c r="D48" s="14">
        <f>IF(F3="1",SUMIF(Data!A:A,'47'!$A$2,Data!DG:DG),0)</f>
        <v>13402</v>
      </c>
      <c r="E48" s="17">
        <f>IF($F$3="1",SUMIF(Data!$A:$A,$A$2,Data!JA:JA),0)</f>
        <v>10038</v>
      </c>
      <c r="F48" s="21">
        <f t="shared" si="3"/>
        <v>0.75</v>
      </c>
    </row>
    <row r="49" spans="1:6" ht="14.25" customHeight="1" x14ac:dyDescent="0.2">
      <c r="A49" s="19">
        <v>14</v>
      </c>
      <c r="B49" s="181" t="s">
        <v>464</v>
      </c>
      <c r="C49" s="182"/>
      <c r="D49" s="14">
        <f>IF(F3="1",SUMIF(Data!A:A,'47'!$A$2,Data!DH:DH),0)</f>
        <v>95587</v>
      </c>
      <c r="E49" s="17">
        <f>IF($F$3="1",SUMIF(Data!$A:$A,$A$2,Data!JB:JB),0)</f>
        <v>105575</v>
      </c>
      <c r="F49" s="21">
        <f t="shared" si="3"/>
        <v>1.1000000000000001</v>
      </c>
    </row>
    <row r="50" spans="1:6" x14ac:dyDescent="0.2">
      <c r="A50" s="19">
        <v>15</v>
      </c>
      <c r="B50" s="181" t="s">
        <v>13</v>
      </c>
      <c r="C50" s="182"/>
      <c r="D50" s="14">
        <f>IF(F3="1",SUMIF(Data!A:A,'47'!$A$2,Data!DI:DI),0)</f>
        <v>0</v>
      </c>
      <c r="E50" s="17">
        <f>IF($F$3="1",SUMIF(Data!$A:$A,$A$2,Data!JC:JC),0)</f>
        <v>0</v>
      </c>
      <c r="F50" s="21" t="str">
        <f t="shared" si="3"/>
        <v/>
      </c>
    </row>
    <row r="51" spans="1:6" x14ac:dyDescent="0.2">
      <c r="A51" s="19">
        <v>16</v>
      </c>
      <c r="B51" s="181" t="s">
        <v>14</v>
      </c>
      <c r="C51" s="182"/>
      <c r="D51" s="14">
        <f>IF(F3="1",SUMIF(Data!A:A,'47'!$A$2,Data!DJ:DJ),0)</f>
        <v>120184</v>
      </c>
      <c r="E51" s="17">
        <f>IF($F$3="1",SUMIF(Data!$A:$A,$A$2,Data!JD:JD),0)</f>
        <v>60073</v>
      </c>
      <c r="F51" s="21">
        <f t="shared" si="3"/>
        <v>0.5</v>
      </c>
    </row>
    <row r="52" spans="1:6" x14ac:dyDescent="0.2">
      <c r="A52" s="19">
        <v>17</v>
      </c>
      <c r="B52" s="181" t="s">
        <v>15</v>
      </c>
      <c r="C52" s="182"/>
      <c r="D52" s="14">
        <f>IF(F3="1",SUMIF(Data!A:A,'47'!$A$2,Data!DK:DK),0)</f>
        <v>21360</v>
      </c>
      <c r="E52" s="17">
        <f>IF($F$3="1",SUMIF(Data!$A:$A,$A$2,Data!JE:JE),0)</f>
        <v>23501</v>
      </c>
      <c r="F52" s="21">
        <f t="shared" si="3"/>
        <v>1.1000000000000001</v>
      </c>
    </row>
    <row r="53" spans="1:6" x14ac:dyDescent="0.2">
      <c r="A53" s="19">
        <v>18</v>
      </c>
      <c r="B53" s="181" t="s">
        <v>16</v>
      </c>
      <c r="C53" s="182"/>
      <c r="D53" s="14">
        <f>IF(F3="1",SUMIF(Data!A:A,'47'!$A$2,Data!DL:DL),0)</f>
        <v>231216</v>
      </c>
      <c r="E53" s="17">
        <f>IF($F$3="1",SUMIF(Data!$A:$A,$A$2,Data!JF:JF),0)</f>
        <v>163377</v>
      </c>
      <c r="F53" s="21">
        <f t="shared" si="3"/>
        <v>0.71</v>
      </c>
    </row>
    <row r="54" spans="1:6" x14ac:dyDescent="0.2">
      <c r="A54" s="19">
        <v>19</v>
      </c>
      <c r="B54" s="181" t="s">
        <v>17</v>
      </c>
      <c r="C54" s="182"/>
      <c r="D54" s="14">
        <f>IF(F3="1",SUMIF(Data!A:A,'47'!$A$2,Data!DM:DM),0)</f>
        <v>144832</v>
      </c>
      <c r="E54" s="17">
        <f>IF($F$3="1",SUMIF(Data!$A:$A,$A$2,Data!JG:JG),0)</f>
        <v>139918</v>
      </c>
      <c r="F54" s="21">
        <f t="shared" si="3"/>
        <v>0.97</v>
      </c>
    </row>
    <row r="55" spans="1:6" x14ac:dyDescent="0.2">
      <c r="A55" s="19">
        <v>20</v>
      </c>
      <c r="B55" s="181" t="s">
        <v>18</v>
      </c>
      <c r="C55" s="182"/>
      <c r="D55" s="14">
        <f>IF(F3="1",SUMIF(Data!A:A,'47'!$A$2,Data!DN:DN),0)</f>
        <v>0</v>
      </c>
      <c r="E55" s="17">
        <f>IF($F$3="1",SUMIF(Data!$A:$A,$A$2,Data!JH:JH),0)</f>
        <v>0</v>
      </c>
      <c r="F55" s="21" t="str">
        <f t="shared" si="3"/>
        <v/>
      </c>
    </row>
    <row r="56" spans="1:6" ht="14.25" customHeight="1" x14ac:dyDescent="0.2">
      <c r="A56" s="19">
        <v>21</v>
      </c>
      <c r="B56" s="181" t="s">
        <v>461</v>
      </c>
      <c r="C56" s="182"/>
      <c r="D56" s="14">
        <f>IF(F3="1",SUMIF(Data!A:A,'47'!$A$2,Data!DO:DO),0)</f>
        <v>960</v>
      </c>
      <c r="E56" s="17">
        <f>IF($F$3="1",SUMIF(Data!$A:$A,$A$2,Data!JI:JI),0)</f>
        <v>7853</v>
      </c>
      <c r="F56" s="21">
        <f t="shared" si="3"/>
        <v>8.18</v>
      </c>
    </row>
    <row r="57" spans="1:6" x14ac:dyDescent="0.2">
      <c r="A57" s="19">
        <v>22</v>
      </c>
      <c r="B57" s="181" t="s">
        <v>19</v>
      </c>
      <c r="C57" s="182"/>
      <c r="D57" s="14">
        <f>IF(F3="1",SUMIF(Data!A:A,'47'!$A$2,Data!DP:DP),0)</f>
        <v>0</v>
      </c>
      <c r="E57" s="17">
        <f>IF($F$3="1",SUMIF(Data!$A:$A,$A$2,Data!JJ:JJ),0)</f>
        <v>0</v>
      </c>
      <c r="F57" s="21" t="str">
        <f t="shared" si="3"/>
        <v/>
      </c>
    </row>
    <row r="58" spans="1:6" x14ac:dyDescent="0.2">
      <c r="A58" s="19">
        <v>23</v>
      </c>
      <c r="B58" s="181" t="s">
        <v>20</v>
      </c>
      <c r="C58" s="182"/>
      <c r="D58" s="14">
        <f>IF(F3="1",SUMIF(Data!A:A,'47'!$A$2,Data!DQ:DQ),0)</f>
        <v>59616</v>
      </c>
      <c r="E58" s="17">
        <f>IF($F$3="1",SUMIF(Data!$A:$A,$A$2,Data!JK:JK),0)</f>
        <v>46913</v>
      </c>
      <c r="F58" s="21">
        <f t="shared" si="3"/>
        <v>0.79</v>
      </c>
    </row>
    <row r="59" spans="1:6" x14ac:dyDescent="0.2">
      <c r="A59" s="19">
        <v>24</v>
      </c>
      <c r="B59" s="181" t="s">
        <v>21</v>
      </c>
      <c r="C59" s="182"/>
      <c r="D59" s="14">
        <f>IF(F3="1",SUMIF(Data!A:A,'47'!$A$2,Data!DR:DR),0)</f>
        <v>71685</v>
      </c>
      <c r="E59" s="17">
        <f>IF($F$3="1",SUMIF(Data!$A:$A,$A$2,Data!JL:JL),0)</f>
        <v>49767</v>
      </c>
      <c r="F59" s="21">
        <f t="shared" si="3"/>
        <v>0.69</v>
      </c>
    </row>
    <row r="60" spans="1:6" x14ac:dyDescent="0.2">
      <c r="A60" s="19">
        <v>25</v>
      </c>
      <c r="B60" s="181" t="s">
        <v>22</v>
      </c>
      <c r="C60" s="182"/>
      <c r="D60" s="14">
        <f>IF(F3="1",SUMIF(Data!A:A,'47'!$A$2,Data!DS:DS),0)</f>
        <v>255456</v>
      </c>
      <c r="E60" s="17">
        <f>IF($F$3="1",SUMIF(Data!$A:$A,$A$2,Data!JM:JM),0)</f>
        <v>60856</v>
      </c>
      <c r="F60" s="21">
        <f t="shared" si="3"/>
        <v>0.24</v>
      </c>
    </row>
    <row r="61" spans="1:6" x14ac:dyDescent="0.2">
      <c r="A61" s="19">
        <v>26</v>
      </c>
      <c r="B61" s="181" t="s">
        <v>23</v>
      </c>
      <c r="C61" s="182"/>
      <c r="D61" s="14">
        <f>IF(F3="1",SUMIF(Data!A:A,'47'!$A$2,Data!DT:DT),0)</f>
        <v>56304</v>
      </c>
      <c r="E61" s="17">
        <f>IF($F$3="1",SUMIF(Data!$A:$A,$A$2,Data!JN:JN),0)</f>
        <v>83035</v>
      </c>
      <c r="F61" s="21">
        <f t="shared" si="3"/>
        <v>1.47</v>
      </c>
    </row>
    <row r="62" spans="1:6" x14ac:dyDescent="0.2">
      <c r="A62" s="19">
        <v>28</v>
      </c>
      <c r="B62" s="181" t="s">
        <v>24</v>
      </c>
      <c r="C62" s="182"/>
      <c r="D62" s="14">
        <f>IF(F3="1",SUMIF(Data!A:A,'47'!$A$2,Data!DV:DV),0)</f>
        <v>0</v>
      </c>
      <c r="E62" s="17">
        <f>IF($F$3="1",SUMIF(Data!$A:$A,$A$2,Data!JP:JP),0)</f>
        <v>0</v>
      </c>
      <c r="F62" s="21" t="str">
        <f t="shared" si="3"/>
        <v/>
      </c>
    </row>
    <row r="63" spans="1:6" ht="15.75" customHeight="1" thickBot="1" x14ac:dyDescent="0.25">
      <c r="A63" s="22">
        <v>29</v>
      </c>
      <c r="B63" s="183" t="s">
        <v>25</v>
      </c>
      <c r="C63" s="184"/>
      <c r="D63" s="23">
        <f>IF(F3="1",SUMIF(Data!A:A,'47'!$A$2,Data!DW:DW),0)</f>
        <v>0</v>
      </c>
      <c r="E63" s="24">
        <f>IF($F$3="1",SUMIF(Data!$A:$A,$A$2,Data!JQ:JQ),0)</f>
        <v>0</v>
      </c>
      <c r="F63" s="25" t="str">
        <f t="shared" si="3"/>
        <v/>
      </c>
    </row>
    <row r="64" spans="1:6" x14ac:dyDescent="0.2">
      <c r="B64" s="30" t="s">
        <v>35</v>
      </c>
      <c r="C64" s="30"/>
      <c r="D64" s="59">
        <f>SUM(D36:D63)</f>
        <v>1870658</v>
      </c>
      <c r="E64" s="31">
        <f>SUM(E36:E63)</f>
        <v>1187262</v>
      </c>
      <c r="F64" s="32">
        <f t="shared" si="3"/>
        <v>0.63</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4416</v>
      </c>
      <c r="E67" s="15">
        <f>IF(F3="1",SUMIF(Data!A:A,'47'!$A$2,Data!DY:DY),0)</f>
        <v>3146</v>
      </c>
      <c r="F67" s="20">
        <f t="shared" ref="F67:F95" si="4">IF(OR(D67=0,E67=0),"",ROUND(E67/D67,2))</f>
        <v>0.71</v>
      </c>
    </row>
    <row r="68" spans="1:6" x14ac:dyDescent="0.2">
      <c r="A68" s="19">
        <v>2</v>
      </c>
      <c r="B68" s="181" t="s">
        <v>1</v>
      </c>
      <c r="C68" s="182"/>
      <c r="D68" s="14">
        <f t="shared" ref="D68:D94" si="5">D37</f>
        <v>60389</v>
      </c>
      <c r="E68" s="17">
        <f>IF(F3="1",SUMIF(Data!A:A,'47'!$A$2,Data!DZ:DZ),0)</f>
        <v>162156</v>
      </c>
      <c r="F68" s="21">
        <f t="shared" si="4"/>
        <v>2.69</v>
      </c>
    </row>
    <row r="69" spans="1:6" ht="14.25" customHeight="1" x14ac:dyDescent="0.2">
      <c r="A69" s="19">
        <v>3</v>
      </c>
      <c r="B69" s="181" t="s">
        <v>2</v>
      </c>
      <c r="C69" s="182"/>
      <c r="D69" s="14">
        <f t="shared" si="5"/>
        <v>201904</v>
      </c>
      <c r="E69" s="17">
        <f>IF(F3="1",SUMIF(Data!A:A,'47'!$A$2,Data!EA:EA),0)</f>
        <v>691686</v>
      </c>
      <c r="F69" s="21">
        <f t="shared" si="4"/>
        <v>3.43</v>
      </c>
    </row>
    <row r="70" spans="1:6" ht="14.25" customHeight="1" x14ac:dyDescent="0.2">
      <c r="A70" s="19">
        <v>4</v>
      </c>
      <c r="B70" s="181" t="s">
        <v>3</v>
      </c>
      <c r="C70" s="182"/>
      <c r="D70" s="14">
        <f t="shared" si="5"/>
        <v>112786</v>
      </c>
      <c r="E70" s="17">
        <f>IF(F3="1",SUMIF(Data!A:A,'47'!$A$2,Data!EB:EB),0)</f>
        <v>305234</v>
      </c>
      <c r="F70" s="21">
        <f t="shared" si="4"/>
        <v>2.71</v>
      </c>
    </row>
    <row r="71" spans="1:6" x14ac:dyDescent="0.2">
      <c r="A71" s="19">
        <v>5</v>
      </c>
      <c r="B71" s="181" t="s">
        <v>4</v>
      </c>
      <c r="C71" s="182"/>
      <c r="D71" s="14">
        <f t="shared" si="5"/>
        <v>0</v>
      </c>
      <c r="E71" s="17">
        <f>IF(F3="1",SUMIF(Data!A:A,'47'!$A$2,Data!EC:EC),0)</f>
        <v>0</v>
      </c>
      <c r="F71" s="21" t="str">
        <f t="shared" si="4"/>
        <v/>
      </c>
    </row>
    <row r="72" spans="1:6" x14ac:dyDescent="0.2">
      <c r="A72" s="19">
        <v>6</v>
      </c>
      <c r="B72" s="181" t="s">
        <v>5</v>
      </c>
      <c r="C72" s="182"/>
      <c r="D72" s="14">
        <f t="shared" si="5"/>
        <v>10368</v>
      </c>
      <c r="E72" s="17">
        <f>IF(F3="1",SUMIF(Data!A:A,'47'!$A$2,Data!ED:ED),0)</f>
        <v>41129</v>
      </c>
      <c r="F72" s="21">
        <f t="shared" si="4"/>
        <v>3.97</v>
      </c>
    </row>
    <row r="73" spans="1:6" x14ac:dyDescent="0.2">
      <c r="A73" s="19">
        <v>7</v>
      </c>
      <c r="B73" s="181" t="s">
        <v>6</v>
      </c>
      <c r="C73" s="182"/>
      <c r="D73" s="14">
        <f t="shared" si="5"/>
        <v>102679</v>
      </c>
      <c r="E73" s="17">
        <f>IF(F3="1",SUMIF(Data!A:A,'47'!$A$2,Data!EE:EE),0)</f>
        <v>345609</v>
      </c>
      <c r="F73" s="21">
        <f t="shared" si="4"/>
        <v>3.37</v>
      </c>
    </row>
    <row r="74" spans="1:6" x14ac:dyDescent="0.2">
      <c r="A74" s="19">
        <v>8</v>
      </c>
      <c r="B74" s="181" t="s">
        <v>7</v>
      </c>
      <c r="C74" s="182"/>
      <c r="D74" s="14">
        <f t="shared" si="5"/>
        <v>7584</v>
      </c>
      <c r="E74" s="17">
        <f>IF(F3="1",SUMIF(Data!A:A,'47'!$A$2,Data!EF:EF),0)</f>
        <v>49861</v>
      </c>
      <c r="F74" s="21">
        <f t="shared" si="4"/>
        <v>6.57</v>
      </c>
    </row>
    <row r="75" spans="1:6" x14ac:dyDescent="0.2">
      <c r="A75" s="19">
        <v>9</v>
      </c>
      <c r="B75" s="181" t="s">
        <v>8</v>
      </c>
      <c r="C75" s="182"/>
      <c r="D75" s="14">
        <f t="shared" si="5"/>
        <v>46763</v>
      </c>
      <c r="E75" s="17">
        <f>IF(F3="1",SUMIF(Data!A:A,'47'!$A$2,Data!EG:EG),0)</f>
        <v>38035</v>
      </c>
      <c r="F75" s="21">
        <f t="shared" si="4"/>
        <v>0.81</v>
      </c>
    </row>
    <row r="76" spans="1:6" x14ac:dyDescent="0.2">
      <c r="A76" s="19">
        <v>10</v>
      </c>
      <c r="B76" s="181" t="s">
        <v>9</v>
      </c>
      <c r="C76" s="182"/>
      <c r="D76" s="14">
        <f t="shared" si="5"/>
        <v>0</v>
      </c>
      <c r="E76" s="17">
        <f>IF(F3="1",SUMIF(Data!A:A,'47'!$A$2,Data!EH:EH),0)</f>
        <v>0</v>
      </c>
      <c r="F76" s="21" t="str">
        <f t="shared" si="4"/>
        <v/>
      </c>
    </row>
    <row r="77" spans="1:6" x14ac:dyDescent="0.2">
      <c r="A77" s="19">
        <v>11</v>
      </c>
      <c r="B77" s="181" t="s">
        <v>10</v>
      </c>
      <c r="C77" s="182"/>
      <c r="D77" s="14">
        <f t="shared" si="5"/>
        <v>36456</v>
      </c>
      <c r="E77" s="17">
        <f>IF(F3="1",SUMIF(Data!A:A,'47'!$A$2,Data!EI:EI),0)</f>
        <v>71283</v>
      </c>
      <c r="F77" s="21">
        <f t="shared" si="4"/>
        <v>1.96</v>
      </c>
    </row>
    <row r="78" spans="1:6" ht="14.25" customHeight="1" x14ac:dyDescent="0.2">
      <c r="A78" s="19">
        <v>12</v>
      </c>
      <c r="B78" s="181" t="s">
        <v>11</v>
      </c>
      <c r="C78" s="182"/>
      <c r="D78" s="14">
        <f t="shared" si="5"/>
        <v>216711</v>
      </c>
      <c r="E78" s="17">
        <f>IF(F3="1",SUMIF(Data!A:A,'47'!$A$2,Data!EJ:EJ),0)</f>
        <v>696865</v>
      </c>
      <c r="F78" s="21">
        <f t="shared" si="4"/>
        <v>3.22</v>
      </c>
    </row>
    <row r="79" spans="1:6" x14ac:dyDescent="0.2">
      <c r="A79" s="19">
        <v>13</v>
      </c>
      <c r="B79" s="181" t="s">
        <v>12</v>
      </c>
      <c r="C79" s="182"/>
      <c r="D79" s="14">
        <f t="shared" si="5"/>
        <v>13402</v>
      </c>
      <c r="E79" s="17">
        <f>IF(F3="1",SUMIF(Data!A:A,'47'!$A$2,Data!EK:EK),0)</f>
        <v>47679</v>
      </c>
      <c r="F79" s="21">
        <f t="shared" si="4"/>
        <v>3.56</v>
      </c>
    </row>
    <row r="80" spans="1:6" ht="14.25" customHeight="1" x14ac:dyDescent="0.2">
      <c r="A80" s="19">
        <v>14</v>
      </c>
      <c r="B80" s="181" t="s">
        <v>464</v>
      </c>
      <c r="C80" s="182"/>
      <c r="D80" s="14">
        <f t="shared" si="5"/>
        <v>95587</v>
      </c>
      <c r="E80" s="17">
        <f>IF(F3="1",SUMIF(Data!A:A,'47'!$A$2,Data!EL:EL),0)</f>
        <v>766398</v>
      </c>
      <c r="F80" s="21">
        <f t="shared" si="4"/>
        <v>8.02</v>
      </c>
    </row>
    <row r="81" spans="1:6" x14ac:dyDescent="0.2">
      <c r="A81" s="19">
        <v>15</v>
      </c>
      <c r="B81" s="181" t="s">
        <v>13</v>
      </c>
      <c r="C81" s="182"/>
      <c r="D81" s="14">
        <f t="shared" si="5"/>
        <v>0</v>
      </c>
      <c r="E81" s="17">
        <f>IF(F3="1",SUMIF(Data!A:A,'47'!$A$2,Data!EM:EM),0)</f>
        <v>0</v>
      </c>
      <c r="F81" s="21" t="str">
        <f t="shared" si="4"/>
        <v/>
      </c>
    </row>
    <row r="82" spans="1:6" x14ac:dyDescent="0.2">
      <c r="A82" s="19">
        <v>16</v>
      </c>
      <c r="B82" s="181" t="s">
        <v>14</v>
      </c>
      <c r="C82" s="182"/>
      <c r="D82" s="14">
        <f t="shared" si="5"/>
        <v>120184</v>
      </c>
      <c r="E82" s="17">
        <f>IF(F3="1",SUMIF(Data!A:A,'47'!$A$2,Data!EN:EN),0)</f>
        <v>252304</v>
      </c>
      <c r="F82" s="21">
        <f t="shared" si="4"/>
        <v>2.1</v>
      </c>
    </row>
    <row r="83" spans="1:6" x14ac:dyDescent="0.2">
      <c r="A83" s="19">
        <v>17</v>
      </c>
      <c r="B83" s="181" t="s">
        <v>15</v>
      </c>
      <c r="C83" s="182"/>
      <c r="D83" s="14">
        <f t="shared" si="5"/>
        <v>21360</v>
      </c>
      <c r="E83" s="17">
        <f>IF(F3="1",SUMIF(Data!A:A,'47'!$A$2,Data!EO:EO),0)</f>
        <v>153034</v>
      </c>
      <c r="F83" s="21">
        <f t="shared" si="4"/>
        <v>7.16</v>
      </c>
    </row>
    <row r="84" spans="1:6" x14ac:dyDescent="0.2">
      <c r="A84" s="19">
        <v>18</v>
      </c>
      <c r="B84" s="181" t="s">
        <v>16</v>
      </c>
      <c r="C84" s="182"/>
      <c r="D84" s="14">
        <f t="shared" si="5"/>
        <v>231216</v>
      </c>
      <c r="E84" s="17">
        <f>IF(F3="1",SUMIF(Data!A:A,'47'!$A$2,Data!EP:EP),0)</f>
        <v>720281</v>
      </c>
      <c r="F84" s="21">
        <f t="shared" si="4"/>
        <v>3.12</v>
      </c>
    </row>
    <row r="85" spans="1:6" x14ac:dyDescent="0.2">
      <c r="A85" s="19">
        <v>19</v>
      </c>
      <c r="B85" s="181" t="s">
        <v>17</v>
      </c>
      <c r="C85" s="182"/>
      <c r="D85" s="14">
        <f t="shared" si="5"/>
        <v>144832</v>
      </c>
      <c r="E85" s="17">
        <f>IF(F3="1",SUMIF(Data!A:A,'47'!$A$2,Data!EQ:EQ),0)</f>
        <v>380977</v>
      </c>
      <c r="F85" s="21">
        <f t="shared" si="4"/>
        <v>2.63</v>
      </c>
    </row>
    <row r="86" spans="1:6" x14ac:dyDescent="0.2">
      <c r="A86" s="19">
        <v>20</v>
      </c>
      <c r="B86" s="181" t="s">
        <v>18</v>
      </c>
      <c r="C86" s="182"/>
      <c r="D86" s="14">
        <f t="shared" si="5"/>
        <v>0</v>
      </c>
      <c r="E86" s="17">
        <f>IF(F3="1",SUMIF(Data!A:A,'47'!$A$2,Data!ER:ER),0)</f>
        <v>0</v>
      </c>
      <c r="F86" s="21" t="str">
        <f t="shared" si="4"/>
        <v/>
      </c>
    </row>
    <row r="87" spans="1:6" ht="14.25" customHeight="1" x14ac:dyDescent="0.2">
      <c r="A87" s="19">
        <v>21</v>
      </c>
      <c r="B87" s="181" t="s">
        <v>461</v>
      </c>
      <c r="C87" s="182"/>
      <c r="D87" s="14">
        <f t="shared" si="5"/>
        <v>960</v>
      </c>
      <c r="E87" s="17">
        <f>IF(F3="1",SUMIF(Data!A:A,'47'!$A$2,Data!ES:ES),0)</f>
        <v>15231</v>
      </c>
      <c r="F87" s="21">
        <f t="shared" si="4"/>
        <v>15.87</v>
      </c>
    </row>
    <row r="88" spans="1:6" x14ac:dyDescent="0.2">
      <c r="A88" s="19">
        <v>22</v>
      </c>
      <c r="B88" s="181" t="s">
        <v>19</v>
      </c>
      <c r="C88" s="182"/>
      <c r="D88" s="14">
        <f t="shared" si="5"/>
        <v>0</v>
      </c>
      <c r="E88" s="17">
        <f>IF(F3="1",SUMIF(Data!A:A,'47'!$A$2,Data!ET:ET),0)</f>
        <v>0</v>
      </c>
      <c r="F88" s="21" t="str">
        <f t="shared" si="4"/>
        <v/>
      </c>
    </row>
    <row r="89" spans="1:6" x14ac:dyDescent="0.2">
      <c r="A89" s="19">
        <v>23</v>
      </c>
      <c r="B89" s="181" t="s">
        <v>20</v>
      </c>
      <c r="C89" s="182"/>
      <c r="D89" s="14">
        <f t="shared" si="5"/>
        <v>59616</v>
      </c>
      <c r="E89" s="17">
        <f>IF(F3="1",SUMIF(Data!A:A,'47'!$A$2,Data!EU:EU),0)</f>
        <v>224198</v>
      </c>
      <c r="F89" s="21">
        <f t="shared" si="4"/>
        <v>3.76</v>
      </c>
    </row>
    <row r="90" spans="1:6" x14ac:dyDescent="0.2">
      <c r="A90" s="19">
        <v>24</v>
      </c>
      <c r="B90" s="181" t="s">
        <v>21</v>
      </c>
      <c r="C90" s="182"/>
      <c r="D90" s="14">
        <f t="shared" si="5"/>
        <v>71685</v>
      </c>
      <c r="E90" s="17">
        <f>IF(F3="1",SUMIF(Data!A:A,'47'!$A$2,Data!EV:EV),0)</f>
        <v>199638</v>
      </c>
      <c r="F90" s="21">
        <f t="shared" si="4"/>
        <v>2.78</v>
      </c>
    </row>
    <row r="91" spans="1:6" x14ac:dyDescent="0.2">
      <c r="A91" s="19">
        <v>25</v>
      </c>
      <c r="B91" s="181" t="s">
        <v>22</v>
      </c>
      <c r="C91" s="182"/>
      <c r="D91" s="14">
        <f t="shared" si="5"/>
        <v>255456</v>
      </c>
      <c r="E91" s="17">
        <f>IF(F3="1",SUMIF(Data!A:A,'47'!$A$2,Data!EW:EW),0)</f>
        <v>678086</v>
      </c>
      <c r="F91" s="21">
        <f t="shared" si="4"/>
        <v>2.65</v>
      </c>
    </row>
    <row r="92" spans="1:6" x14ac:dyDescent="0.2">
      <c r="A92" s="19">
        <v>26</v>
      </c>
      <c r="B92" s="181" t="s">
        <v>23</v>
      </c>
      <c r="C92" s="182"/>
      <c r="D92" s="14">
        <f t="shared" si="5"/>
        <v>56304</v>
      </c>
      <c r="E92" s="17">
        <f>IF(F3="1",SUMIF(Data!A:A,'47'!$A$2,Data!EX:EX),0)</f>
        <v>300642</v>
      </c>
      <c r="F92" s="21">
        <f t="shared" si="4"/>
        <v>5.34</v>
      </c>
    </row>
    <row r="93" spans="1:6" x14ac:dyDescent="0.2">
      <c r="A93" s="19">
        <v>28</v>
      </c>
      <c r="B93" s="181" t="s">
        <v>24</v>
      </c>
      <c r="C93" s="182"/>
      <c r="D93" s="14">
        <f t="shared" si="5"/>
        <v>0</v>
      </c>
      <c r="E93" s="17">
        <f>IF(F3="1",SUMIF(Data!A:A,'47'!$A$2,Data!EZ:EZ),0)</f>
        <v>0</v>
      </c>
      <c r="F93" s="21" t="str">
        <f t="shared" si="4"/>
        <v/>
      </c>
    </row>
    <row r="94" spans="1:6" ht="15.75" customHeight="1" thickBot="1" x14ac:dyDescent="0.25">
      <c r="A94" s="22">
        <v>29</v>
      </c>
      <c r="B94" s="183" t="s">
        <v>25</v>
      </c>
      <c r="C94" s="184"/>
      <c r="D94" s="23">
        <f t="shared" si="5"/>
        <v>0</v>
      </c>
      <c r="E94" s="24">
        <f>IF(F3="1",SUMIF(Data!A:A,'47'!$A$2,Data!FA:FA),0)</f>
        <v>0</v>
      </c>
      <c r="F94" s="25" t="str">
        <f t="shared" si="4"/>
        <v/>
      </c>
    </row>
    <row r="95" spans="1:6" x14ac:dyDescent="0.2">
      <c r="B95" s="30" t="s">
        <v>35</v>
      </c>
      <c r="C95" s="30"/>
      <c r="D95" s="59">
        <f>SUM(D67:D94)</f>
        <v>1870658</v>
      </c>
      <c r="E95" s="31">
        <f>SUM(E67:E94)</f>
        <v>6143472</v>
      </c>
      <c r="F95" s="32">
        <f t="shared" si="4"/>
        <v>3.28</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IF(F3="1",SUMIF(Data!A:A,'47'!$A$2,Data!AH:AH),0)</f>
        <v>2094948</v>
      </c>
      <c r="F98" s="20">
        <f>IF(OR(E98=0,E98=0),"",ROUND(E98/$D$105,2))</f>
        <v>1.1200000000000001</v>
      </c>
    </row>
    <row r="99" spans="2:6" x14ac:dyDescent="0.2">
      <c r="B99" s="187" t="s">
        <v>31</v>
      </c>
      <c r="C99" s="188"/>
      <c r="D99" s="36"/>
      <c r="E99" s="17">
        <f>IF(F3="1",SUMIF(Data!A:A,'47'!$A$2,Data!AI:AI),0)</f>
        <v>1009531</v>
      </c>
      <c r="F99" s="21">
        <f t="shared" ref="F99:F104" si="6">IF(OR(E99=0,E99=0),"",ROUND(E99/$D$105,2))</f>
        <v>0.54</v>
      </c>
    </row>
    <row r="100" spans="2:6" x14ac:dyDescent="0.2">
      <c r="B100" s="187" t="s">
        <v>1078</v>
      </c>
      <c r="C100" s="188"/>
      <c r="D100" s="36"/>
      <c r="E100" s="17">
        <f>IF(F3="1",SUMIF(Data!A:A,'47'!$A$2,Data!AJ:AJ),0)</f>
        <v>613228</v>
      </c>
      <c r="F100" s="21">
        <f t="shared" si="6"/>
        <v>0.33</v>
      </c>
    </row>
    <row r="101" spans="2:6" x14ac:dyDescent="0.2">
      <c r="B101" s="187" t="s">
        <v>1079</v>
      </c>
      <c r="C101" s="188"/>
      <c r="D101" s="36"/>
      <c r="E101" s="17">
        <f>IF(F3="1",SUMIF(Data!A:A,'47'!$A$2,Data!AK:AK),0)</f>
        <v>530872</v>
      </c>
      <c r="F101" s="21">
        <f t="shared" si="6"/>
        <v>0.28000000000000003</v>
      </c>
    </row>
    <row r="102" spans="2:6" x14ac:dyDescent="0.2">
      <c r="B102" s="187" t="s">
        <v>1080</v>
      </c>
      <c r="C102" s="188"/>
      <c r="D102" s="36"/>
      <c r="E102" s="17">
        <f>IF(F3="1",SUMIF(Data!A:A,'47'!$A$2,Data!AL:AL),0)</f>
        <v>0</v>
      </c>
      <c r="F102" s="21" t="str">
        <f t="shared" si="6"/>
        <v/>
      </c>
    </row>
    <row r="103" spans="2:6" x14ac:dyDescent="0.2">
      <c r="B103" s="189" t="s">
        <v>34</v>
      </c>
      <c r="C103" s="190"/>
      <c r="D103" s="36"/>
      <c r="E103" s="17">
        <f>IF(F3="1",SUMIF(Data!A:A,'47'!$A$2,Data!AM:AM),0)</f>
        <v>0</v>
      </c>
      <c r="F103" s="21" t="str">
        <f t="shared" si="6"/>
        <v/>
      </c>
    </row>
    <row r="104" spans="2:6" ht="15.75" customHeight="1" thickBot="1" x14ac:dyDescent="0.25">
      <c r="B104" s="179" t="s">
        <v>29</v>
      </c>
      <c r="C104" s="180"/>
      <c r="D104" s="37"/>
      <c r="E104" s="24">
        <f>IF(F3="1",SUMIF(Data!A:A,'47'!$A$2,Data!Q:Q),0)</f>
        <v>1091240</v>
      </c>
      <c r="F104" s="25">
        <f t="shared" si="6"/>
        <v>0.57999999999999996</v>
      </c>
    </row>
    <row r="105" spans="2:6" x14ac:dyDescent="0.2">
      <c r="B105" s="30" t="s">
        <v>35</v>
      </c>
      <c r="C105" s="30"/>
      <c r="D105" s="34">
        <f>D95</f>
        <v>1870658</v>
      </c>
      <c r="E105" s="31">
        <f>SUM(E98:E104)</f>
        <v>5339819</v>
      </c>
      <c r="F105" s="32">
        <f>IF($D$105=0,"",ROUND(E105/$D$105,2))</f>
        <v>2.85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6143472</v>
      </c>
      <c r="D109" s="15">
        <f>IF(F3="1",SUMIF(Data!$A:$A,$A$2,Data!HJ:HJ),0)</f>
        <v>0</v>
      </c>
      <c r="E109" s="15">
        <f>IF(F3="1",SUMIF(Data!$A:$A,$A$2,Data!IN:IN),0)</f>
        <v>0</v>
      </c>
      <c r="F109" s="47">
        <f>SUM(C109:E109)</f>
        <v>6143472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1091240</v>
      </c>
      <c r="E117" s="52"/>
      <c r="F117" s="49">
        <f>SUM(C117:E117)</f>
        <v>1091240</v>
      </c>
    </row>
    <row r="118" spans="1:6" x14ac:dyDescent="0.2">
      <c r="B118" s="13" t="s">
        <v>35</v>
      </c>
      <c r="C118" s="4">
        <f>SUM(C109:C116)</f>
        <v>6143472</v>
      </c>
      <c r="D118" s="4">
        <f>SUM(D109:D116)</f>
        <v>0</v>
      </c>
      <c r="E118" s="4">
        <f>SUM(E109:E116)</f>
        <v>0</v>
      </c>
      <c r="F118" s="4">
        <f>SUM(F109:F116)</f>
        <v>6143472</v>
      </c>
    </row>
    <row r="119" spans="1:6" ht="15" thickBot="1" x14ac:dyDescent="0.25"/>
    <row r="120" spans="1:6" ht="15" thickBot="1" x14ac:dyDescent="0.25">
      <c r="B120" s="55" t="s">
        <v>934</v>
      </c>
      <c r="C120" s="53"/>
      <c r="D120" s="53"/>
      <c r="E120" s="53">
        <f>IF(F3="1",SUMIF(Data!A:A,'47'!$A$2,Data!AM:AM),0)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415</v>
      </c>
      <c r="B2" s="58" t="str">
        <f>VLOOKUP(A2,Data!A:G,7,0)</f>
        <v>Weatherford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19488</v>
      </c>
      <c r="E5" s="15">
        <f>E36+E67+IFERROR($E$105/$D$105*D5,0)</f>
        <v>199843.32583937849</v>
      </c>
      <c r="F5" s="20">
        <f>IF(OR(D5=0,E5=0),"",ROUND(E5/D5,2))</f>
        <v>10.25</v>
      </c>
    </row>
    <row r="6" spans="1:6" x14ac:dyDescent="0.2">
      <c r="A6" s="19">
        <v>2</v>
      </c>
      <c r="B6" s="181" t="s">
        <v>1</v>
      </c>
      <c r="C6" s="182"/>
      <c r="D6" s="14">
        <f t="shared" ref="D6:D32" si="0">D37</f>
        <v>12272</v>
      </c>
      <c r="E6" s="17">
        <f t="shared" ref="E6:E32" si="1">E37+E68+IFERROR($E$105/$D$105*D6,0)</f>
        <v>92112.308636127505</v>
      </c>
      <c r="F6" s="21">
        <f t="shared" ref="F6:F33" si="2">IF(OR(D6=0,E6=0),"",ROUND(E6/D6,2))</f>
        <v>7.51</v>
      </c>
    </row>
    <row r="7" spans="1:6" ht="14.25" customHeight="1" x14ac:dyDescent="0.2">
      <c r="A7" s="19">
        <v>3</v>
      </c>
      <c r="B7" s="181" t="s">
        <v>2</v>
      </c>
      <c r="C7" s="182"/>
      <c r="D7" s="14">
        <f t="shared" si="0"/>
        <v>140832</v>
      </c>
      <c r="E7" s="17">
        <f t="shared" si="1"/>
        <v>618777.32022841508</v>
      </c>
      <c r="F7" s="21">
        <f t="shared" si="2"/>
        <v>4.3899999999999997</v>
      </c>
    </row>
    <row r="8" spans="1:6" ht="14.25" customHeight="1" x14ac:dyDescent="0.2">
      <c r="A8" s="19">
        <v>4</v>
      </c>
      <c r="B8" s="181" t="s">
        <v>3</v>
      </c>
      <c r="C8" s="182"/>
      <c r="D8" s="14">
        <f t="shared" si="0"/>
        <v>104601</v>
      </c>
      <c r="E8" s="17">
        <f t="shared" si="1"/>
        <v>597207.00754950894</v>
      </c>
      <c r="F8" s="21">
        <f t="shared" si="2"/>
        <v>5.71</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1056</v>
      </c>
      <c r="E10" s="17">
        <f t="shared" si="1"/>
        <v>2239.4659321830713</v>
      </c>
      <c r="F10" s="21">
        <f t="shared" si="2"/>
        <v>2.12</v>
      </c>
    </row>
    <row r="11" spans="1:6" x14ac:dyDescent="0.2">
      <c r="A11" s="19">
        <v>7</v>
      </c>
      <c r="B11" s="181" t="s">
        <v>6</v>
      </c>
      <c r="C11" s="182"/>
      <c r="D11" s="14">
        <f t="shared" si="0"/>
        <v>105546</v>
      </c>
      <c r="E11" s="17">
        <f t="shared" si="1"/>
        <v>576065.07507404778</v>
      </c>
      <c r="F11" s="21">
        <f t="shared" si="2"/>
        <v>5.46</v>
      </c>
    </row>
    <row r="12" spans="1:6" x14ac:dyDescent="0.2">
      <c r="A12" s="19">
        <v>8</v>
      </c>
      <c r="B12" s="181" t="s">
        <v>7</v>
      </c>
      <c r="C12" s="182"/>
      <c r="D12" s="14">
        <f t="shared" si="0"/>
        <v>42960</v>
      </c>
      <c r="E12" s="17">
        <f t="shared" si="1"/>
        <v>205705.54587744767</v>
      </c>
      <c r="F12" s="21">
        <f t="shared" si="2"/>
        <v>4.79</v>
      </c>
    </row>
    <row r="13" spans="1:6" x14ac:dyDescent="0.2">
      <c r="A13" s="19">
        <v>9</v>
      </c>
      <c r="B13" s="181" t="s">
        <v>8</v>
      </c>
      <c r="C13" s="182"/>
      <c r="D13" s="14">
        <f t="shared" si="0"/>
        <v>69470</v>
      </c>
      <c r="E13" s="17">
        <f t="shared" si="1"/>
        <v>397939.47188329347</v>
      </c>
      <c r="F13" s="21">
        <f t="shared" si="2"/>
        <v>5.73</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56896</v>
      </c>
      <c r="E15" s="17">
        <f t="shared" si="1"/>
        <v>366562.70992186363</v>
      </c>
      <c r="F15" s="21">
        <f t="shared" si="2"/>
        <v>6.44</v>
      </c>
    </row>
    <row r="16" spans="1:6" ht="14.25" customHeight="1" x14ac:dyDescent="0.2">
      <c r="A16" s="19">
        <v>12</v>
      </c>
      <c r="B16" s="181" t="s">
        <v>11</v>
      </c>
      <c r="C16" s="182"/>
      <c r="D16" s="14">
        <f t="shared" si="0"/>
        <v>376373</v>
      </c>
      <c r="E16" s="17">
        <f t="shared" si="1"/>
        <v>1800928.6205431242</v>
      </c>
      <c r="F16" s="21">
        <f t="shared" si="2"/>
        <v>4.78</v>
      </c>
    </row>
    <row r="17" spans="1:6" x14ac:dyDescent="0.2">
      <c r="A17" s="19">
        <v>13</v>
      </c>
      <c r="B17" s="181" t="s">
        <v>12</v>
      </c>
      <c r="C17" s="182"/>
      <c r="D17" s="14">
        <f t="shared" si="0"/>
        <v>14120</v>
      </c>
      <c r="E17" s="17">
        <f t="shared" si="1"/>
        <v>72990.374017447888</v>
      </c>
      <c r="F17" s="21">
        <f t="shared" si="2"/>
        <v>5.17</v>
      </c>
    </row>
    <row r="18" spans="1:6" ht="14.25" customHeight="1" x14ac:dyDescent="0.2">
      <c r="A18" s="19">
        <v>14</v>
      </c>
      <c r="B18" s="181" t="s">
        <v>464</v>
      </c>
      <c r="C18" s="182"/>
      <c r="D18" s="14">
        <f t="shared" si="0"/>
        <v>52864</v>
      </c>
      <c r="E18" s="17">
        <f t="shared" si="1"/>
        <v>421923.02181716467</v>
      </c>
      <c r="F18" s="21">
        <f t="shared" si="2"/>
        <v>7.98</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288890</v>
      </c>
      <c r="E20" s="17">
        <f t="shared" si="1"/>
        <v>1002410.8647238328</v>
      </c>
      <c r="F20" s="21">
        <f t="shared" si="2"/>
        <v>3.47</v>
      </c>
    </row>
    <row r="21" spans="1:6" x14ac:dyDescent="0.2">
      <c r="A21" s="19">
        <v>17</v>
      </c>
      <c r="B21" s="181" t="s">
        <v>15</v>
      </c>
      <c r="C21" s="182"/>
      <c r="D21" s="14">
        <f t="shared" si="0"/>
        <v>25488</v>
      </c>
      <c r="E21" s="17">
        <f t="shared" si="1"/>
        <v>201250.56409041869</v>
      </c>
      <c r="F21" s="21">
        <f t="shared" si="2"/>
        <v>7.9</v>
      </c>
    </row>
    <row r="22" spans="1:6" x14ac:dyDescent="0.2">
      <c r="A22" s="19">
        <v>18</v>
      </c>
      <c r="B22" s="181" t="s">
        <v>16</v>
      </c>
      <c r="C22" s="182"/>
      <c r="D22" s="14">
        <f t="shared" si="0"/>
        <v>78496</v>
      </c>
      <c r="E22" s="17">
        <f t="shared" si="1"/>
        <v>461485.96762560832</v>
      </c>
      <c r="F22" s="21">
        <f t="shared" si="2"/>
        <v>5.88</v>
      </c>
    </row>
    <row r="23" spans="1:6" x14ac:dyDescent="0.2">
      <c r="A23" s="19">
        <v>19</v>
      </c>
      <c r="B23" s="181" t="s">
        <v>17</v>
      </c>
      <c r="C23" s="182"/>
      <c r="D23" s="14">
        <f t="shared" si="0"/>
        <v>154000</v>
      </c>
      <c r="E23" s="17">
        <f t="shared" si="1"/>
        <v>570275.78177669784</v>
      </c>
      <c r="F23" s="21">
        <f t="shared" si="2"/>
        <v>3.7</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49200</v>
      </c>
      <c r="E25" s="17">
        <f t="shared" si="1"/>
        <v>421940.75365852943</v>
      </c>
      <c r="F25" s="21">
        <f t="shared" si="2"/>
        <v>8.58</v>
      </c>
    </row>
    <row r="26" spans="1:6" x14ac:dyDescent="0.2">
      <c r="A26" s="19">
        <v>22</v>
      </c>
      <c r="B26" s="181" t="s">
        <v>19</v>
      </c>
      <c r="C26" s="182"/>
      <c r="D26" s="14">
        <f t="shared" si="0"/>
        <v>1800</v>
      </c>
      <c r="E26" s="17">
        <f t="shared" si="1"/>
        <v>8619.2714753120526</v>
      </c>
      <c r="F26" s="21">
        <f t="shared" si="2"/>
        <v>4.79</v>
      </c>
    </row>
    <row r="27" spans="1:6" x14ac:dyDescent="0.2">
      <c r="A27" s="19">
        <v>23</v>
      </c>
      <c r="B27" s="181" t="s">
        <v>20</v>
      </c>
      <c r="C27" s="182"/>
      <c r="D27" s="14">
        <f t="shared" si="0"/>
        <v>60176</v>
      </c>
      <c r="E27" s="17">
        <f t="shared" si="1"/>
        <v>435751.62683243229</v>
      </c>
      <c r="F27" s="21">
        <f t="shared" si="2"/>
        <v>7.24</v>
      </c>
    </row>
    <row r="28" spans="1:6" x14ac:dyDescent="0.2">
      <c r="A28" s="19">
        <v>24</v>
      </c>
      <c r="B28" s="181" t="s">
        <v>21</v>
      </c>
      <c r="C28" s="182"/>
      <c r="D28" s="14">
        <f t="shared" si="0"/>
        <v>77526</v>
      </c>
      <c r="E28" s="17">
        <f t="shared" si="1"/>
        <v>526281.88244169019</v>
      </c>
      <c r="F28" s="21">
        <f t="shared" si="2"/>
        <v>6.79</v>
      </c>
    </row>
    <row r="29" spans="1:6" x14ac:dyDescent="0.2">
      <c r="A29" s="19">
        <v>25</v>
      </c>
      <c r="B29" s="181" t="s">
        <v>22</v>
      </c>
      <c r="C29" s="182"/>
      <c r="D29" s="14">
        <f t="shared" si="0"/>
        <v>266192</v>
      </c>
      <c r="E29" s="17">
        <f t="shared" si="1"/>
        <v>1219364.0714201478</v>
      </c>
      <c r="F29" s="21">
        <f t="shared" si="2"/>
        <v>4.58</v>
      </c>
    </row>
    <row r="30" spans="1:6" x14ac:dyDescent="0.2">
      <c r="A30" s="19">
        <v>26</v>
      </c>
      <c r="B30" s="181" t="s">
        <v>23</v>
      </c>
      <c r="C30" s="182"/>
      <c r="D30" s="14">
        <f t="shared" si="0"/>
        <v>53808</v>
      </c>
      <c r="E30" s="17">
        <f t="shared" si="1"/>
        <v>370587.96863532829</v>
      </c>
      <c r="F30" s="21">
        <f t="shared" si="2"/>
        <v>6.89</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2052054</v>
      </c>
      <c r="E33" s="31">
        <f>SUM(E5:E32)</f>
        <v>10570263</v>
      </c>
      <c r="F33" s="32">
        <f t="shared" si="2"/>
        <v>5.15</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IF(F3="1",SUMIF(Data!A:A,'48'!$A$2,Data!CU:CU),0)</f>
        <v>19488</v>
      </c>
      <c r="E36" s="15">
        <f>IF(F3="1",SUMIF(Data!$A:$A,$A$2,Data!IO:IO),0)</f>
        <v>85300</v>
      </c>
      <c r="F36" s="20">
        <f t="shared" ref="F36:F64" si="3">IF(OR(D36=0,E36=0),"",ROUND(E36/D36,2))</f>
        <v>4.38</v>
      </c>
    </row>
    <row r="37" spans="1:6" x14ac:dyDescent="0.2">
      <c r="A37" s="19">
        <v>2</v>
      </c>
      <c r="B37" s="181" t="s">
        <v>1</v>
      </c>
      <c r="C37" s="182"/>
      <c r="D37" s="14">
        <f>IF(F3="1",SUMIF(Data!A:A,'48'!$A$2,Data!CV:CV),0)</f>
        <v>12272</v>
      </c>
      <c r="E37" s="17">
        <f>IF(F3="1",SUMIF(Data!$A:$A,$A$2,Data!IP:IP),0)</f>
        <v>16184</v>
      </c>
      <c r="F37" s="21">
        <f t="shared" si="3"/>
        <v>1.32</v>
      </c>
    </row>
    <row r="38" spans="1:6" ht="14.25" customHeight="1" x14ac:dyDescent="0.2">
      <c r="A38" s="19">
        <v>3</v>
      </c>
      <c r="B38" s="181" t="s">
        <v>2</v>
      </c>
      <c r="C38" s="182"/>
      <c r="D38" s="14">
        <f>IF(F3="1",SUMIF(Data!A:A,'48'!$A$2,Data!CW:CW),0)</f>
        <v>140832</v>
      </c>
      <c r="E38" s="17">
        <f>IF($F$3="1",SUMIF(Data!$A:$A,$A$2,Data!IQ:IQ),0)</f>
        <v>42697</v>
      </c>
      <c r="F38" s="21">
        <f t="shared" si="3"/>
        <v>0.3</v>
      </c>
    </row>
    <row r="39" spans="1:6" ht="14.25" customHeight="1" x14ac:dyDescent="0.2">
      <c r="A39" s="19">
        <v>4</v>
      </c>
      <c r="B39" s="181" t="s">
        <v>3</v>
      </c>
      <c r="C39" s="182"/>
      <c r="D39" s="14">
        <f>IF(F3="1",SUMIF(Data!A:A,'48'!$A$2,Data!CX:CX),0)</f>
        <v>104601</v>
      </c>
      <c r="E39" s="17">
        <f>IF($F$3="1",SUMIF(Data!$A:$A,$A$2,Data!IR:IR),0)</f>
        <v>56724</v>
      </c>
      <c r="F39" s="21">
        <f t="shared" si="3"/>
        <v>0.54</v>
      </c>
    </row>
    <row r="40" spans="1:6" x14ac:dyDescent="0.2">
      <c r="A40" s="19">
        <v>5</v>
      </c>
      <c r="B40" s="181" t="s">
        <v>4</v>
      </c>
      <c r="C40" s="182"/>
      <c r="D40" s="14">
        <f>IF(F3="1",SUMIF(Data!A:A,'48'!$A$2,Data!CY:CY),0)</f>
        <v>0</v>
      </c>
      <c r="E40" s="17">
        <f>IF($F$3="1",SUMIF(Data!$A:$A,$A$2,Data!IS:IS),0)</f>
        <v>0</v>
      </c>
      <c r="F40" s="21" t="str">
        <f t="shared" si="3"/>
        <v/>
      </c>
    </row>
    <row r="41" spans="1:6" x14ac:dyDescent="0.2">
      <c r="A41" s="19">
        <v>6</v>
      </c>
      <c r="B41" s="181" t="s">
        <v>5</v>
      </c>
      <c r="C41" s="182"/>
      <c r="D41" s="14">
        <f>IF(F3="1",SUMIF(Data!A:A,'48'!$A$2,Data!CZ:CZ),0)</f>
        <v>1056</v>
      </c>
      <c r="E41" s="17">
        <f>IF($F$3="1",SUMIF(Data!$A:$A,$A$2,Data!IT:IT),0)</f>
        <v>0</v>
      </c>
      <c r="F41" s="21" t="str">
        <f t="shared" si="3"/>
        <v/>
      </c>
    </row>
    <row r="42" spans="1:6" x14ac:dyDescent="0.2">
      <c r="A42" s="19">
        <v>7</v>
      </c>
      <c r="B42" s="181" t="s">
        <v>6</v>
      </c>
      <c r="C42" s="182"/>
      <c r="D42" s="14">
        <f>IF(F3="1",SUMIF(Data!A:A,'48'!$A$2,Data!DA:DA),0)</f>
        <v>105546</v>
      </c>
      <c r="E42" s="17">
        <f>IF($F$3="1",SUMIF(Data!$A:$A,$A$2,Data!IU:IU),0)</f>
        <v>104792</v>
      </c>
      <c r="F42" s="21">
        <f t="shared" si="3"/>
        <v>0.99</v>
      </c>
    </row>
    <row r="43" spans="1:6" x14ac:dyDescent="0.2">
      <c r="A43" s="19">
        <v>8</v>
      </c>
      <c r="B43" s="181" t="s">
        <v>7</v>
      </c>
      <c r="C43" s="182"/>
      <c r="D43" s="14">
        <f>IF(F3="1",SUMIF(Data!A:A,'48'!$A$2,Data!DB:DB),0)</f>
        <v>42960</v>
      </c>
      <c r="E43" s="17">
        <f>IF($F$3="1",SUMIF(Data!$A:$A,$A$2,Data!IV:IV),0)</f>
        <v>89340</v>
      </c>
      <c r="F43" s="21">
        <f t="shared" si="3"/>
        <v>2.08</v>
      </c>
    </row>
    <row r="44" spans="1:6" x14ac:dyDescent="0.2">
      <c r="A44" s="19">
        <v>9</v>
      </c>
      <c r="B44" s="181" t="s">
        <v>8</v>
      </c>
      <c r="C44" s="182"/>
      <c r="D44" s="14">
        <f>IF(F3="1",SUMIF(Data!A:A,'48'!$A$2,Data!DC:DC),0)</f>
        <v>69470</v>
      </c>
      <c r="E44" s="17">
        <f>IF($F$3="1",SUMIF(Data!$A:$A,$A$2,Data!IW:IW),0)</f>
        <v>115352</v>
      </c>
      <c r="F44" s="21">
        <f t="shared" si="3"/>
        <v>1.66</v>
      </c>
    </row>
    <row r="45" spans="1:6" x14ac:dyDescent="0.2">
      <c r="A45" s="19">
        <v>10</v>
      </c>
      <c r="B45" s="181" t="s">
        <v>9</v>
      </c>
      <c r="C45" s="182"/>
      <c r="D45" s="14">
        <f>IF(F3="1",SUMIF(Data!A:A,'48'!$A$2,Data!DD:DD),0)</f>
        <v>0</v>
      </c>
      <c r="E45" s="17">
        <f>IF($F$3="1",SUMIF(Data!$A:$A,$A$2,Data!IX:IX),0)</f>
        <v>0</v>
      </c>
      <c r="F45" s="21" t="str">
        <f t="shared" si="3"/>
        <v/>
      </c>
    </row>
    <row r="46" spans="1:6" x14ac:dyDescent="0.2">
      <c r="A46" s="19">
        <v>11</v>
      </c>
      <c r="B46" s="181" t="s">
        <v>10</v>
      </c>
      <c r="C46" s="182"/>
      <c r="D46" s="14">
        <f>IF(F3="1",SUMIF(Data!A:A,'48'!$A$2,Data!DE:DE),0)</f>
        <v>56896</v>
      </c>
      <c r="E46" s="17">
        <f>IF($F$3="1",SUMIF(Data!$A:$A,$A$2,Data!IY:IY),0)</f>
        <v>94967</v>
      </c>
      <c r="F46" s="21">
        <f t="shared" si="3"/>
        <v>1.67</v>
      </c>
    </row>
    <row r="47" spans="1:6" ht="14.25" customHeight="1" x14ac:dyDescent="0.2">
      <c r="A47" s="19">
        <v>12</v>
      </c>
      <c r="B47" s="181" t="s">
        <v>11</v>
      </c>
      <c r="C47" s="182"/>
      <c r="D47" s="14">
        <f>IF(F3="1",SUMIF(Data!A:A,'48'!$A$2,Data!DF:DF),0)</f>
        <v>376373</v>
      </c>
      <c r="E47" s="17">
        <f>IF($F$3="1",SUMIF(Data!$A:$A,$A$2,Data!IZ:IZ),0)</f>
        <v>161829</v>
      </c>
      <c r="F47" s="21">
        <f t="shared" si="3"/>
        <v>0.43</v>
      </c>
    </row>
    <row r="48" spans="1:6" x14ac:dyDescent="0.2">
      <c r="A48" s="19">
        <v>13</v>
      </c>
      <c r="B48" s="181" t="s">
        <v>12</v>
      </c>
      <c r="C48" s="182"/>
      <c r="D48" s="14">
        <f>IF(F3="1",SUMIF(Data!A:A,'48'!$A$2,Data!DG:DG),0)</f>
        <v>14120</v>
      </c>
      <c r="E48" s="17">
        <f>IF($F$3="1",SUMIF(Data!$A:$A,$A$2,Data!JA:JA),0)</f>
        <v>4708</v>
      </c>
      <c r="F48" s="21">
        <f t="shared" si="3"/>
        <v>0.33</v>
      </c>
    </row>
    <row r="49" spans="1:6" ht="14.25" customHeight="1" x14ac:dyDescent="0.2">
      <c r="A49" s="19">
        <v>14</v>
      </c>
      <c r="B49" s="181" t="s">
        <v>464</v>
      </c>
      <c r="C49" s="182"/>
      <c r="D49" s="14">
        <f>IF(F3="1",SUMIF(Data!A:A,'48'!$A$2,Data!DH:DH),0)</f>
        <v>52864</v>
      </c>
      <c r="E49" s="17">
        <f>IF($F$3="1",SUMIF(Data!$A:$A,$A$2,Data!JB:JB),0)</f>
        <v>31345</v>
      </c>
      <c r="F49" s="21">
        <f t="shared" si="3"/>
        <v>0.59</v>
      </c>
    </row>
    <row r="50" spans="1:6" x14ac:dyDescent="0.2">
      <c r="A50" s="19">
        <v>15</v>
      </c>
      <c r="B50" s="181" t="s">
        <v>13</v>
      </c>
      <c r="C50" s="182"/>
      <c r="D50" s="14">
        <f>IF(F3="1",SUMIF(Data!A:A,'48'!$A$2,Data!DI:DI),0)</f>
        <v>0</v>
      </c>
      <c r="E50" s="17">
        <f>IF($F$3="1",SUMIF(Data!$A:$A,$A$2,Data!JC:JC),0)</f>
        <v>0</v>
      </c>
      <c r="F50" s="21" t="str">
        <f t="shared" si="3"/>
        <v/>
      </c>
    </row>
    <row r="51" spans="1:6" x14ac:dyDescent="0.2">
      <c r="A51" s="19">
        <v>16</v>
      </c>
      <c r="B51" s="181" t="s">
        <v>14</v>
      </c>
      <c r="C51" s="182"/>
      <c r="D51" s="14">
        <f>IF(F3="1",SUMIF(Data!A:A,'48'!$A$2,Data!DJ:DJ),0)</f>
        <v>288890</v>
      </c>
      <c r="E51" s="17">
        <f>IF($F$3="1",SUMIF(Data!$A:$A,$A$2,Data!JD:JD),0)</f>
        <v>107696</v>
      </c>
      <c r="F51" s="21">
        <f t="shared" si="3"/>
        <v>0.37</v>
      </c>
    </row>
    <row r="52" spans="1:6" x14ac:dyDescent="0.2">
      <c r="A52" s="19">
        <v>17</v>
      </c>
      <c r="B52" s="181" t="s">
        <v>15</v>
      </c>
      <c r="C52" s="182"/>
      <c r="D52" s="14">
        <f>IF(F3="1",SUMIF(Data!A:A,'48'!$A$2,Data!DK:DK),0)</f>
        <v>25488</v>
      </c>
      <c r="E52" s="17">
        <f>IF($F$3="1",SUMIF(Data!$A:$A,$A$2,Data!JE:JE),0)</f>
        <v>22286</v>
      </c>
      <c r="F52" s="21">
        <f t="shared" si="3"/>
        <v>0.87</v>
      </c>
    </row>
    <row r="53" spans="1:6" x14ac:dyDescent="0.2">
      <c r="A53" s="19">
        <v>18</v>
      </c>
      <c r="B53" s="181" t="s">
        <v>16</v>
      </c>
      <c r="C53" s="182"/>
      <c r="D53" s="14">
        <f>IF(F3="1",SUMIF(Data!A:A,'48'!$A$2,Data!DL:DL),0)</f>
        <v>78496</v>
      </c>
      <c r="E53" s="17">
        <f>IF($F$3="1",SUMIF(Data!$A:$A,$A$2,Data!JF:JF),0)</f>
        <v>54425</v>
      </c>
      <c r="F53" s="21">
        <f t="shared" si="3"/>
        <v>0.69</v>
      </c>
    </row>
    <row r="54" spans="1:6" x14ac:dyDescent="0.2">
      <c r="A54" s="19">
        <v>19</v>
      </c>
      <c r="B54" s="181" t="s">
        <v>17</v>
      </c>
      <c r="C54" s="182"/>
      <c r="D54" s="14">
        <f>IF(F3="1",SUMIF(Data!A:A,'48'!$A$2,Data!DM:DM),0)</f>
        <v>154000</v>
      </c>
      <c r="E54" s="17">
        <f>IF($F$3="1",SUMIF(Data!$A:$A,$A$2,Data!JG:JG),0)</f>
        <v>16964</v>
      </c>
      <c r="F54" s="21">
        <f t="shared" si="3"/>
        <v>0.11</v>
      </c>
    </row>
    <row r="55" spans="1:6" x14ac:dyDescent="0.2">
      <c r="A55" s="19">
        <v>20</v>
      </c>
      <c r="B55" s="181" t="s">
        <v>18</v>
      </c>
      <c r="C55" s="182"/>
      <c r="D55" s="14">
        <f>IF(F3="1",SUMIF(Data!A:A,'48'!$A$2,Data!DN:DN),0)</f>
        <v>0</v>
      </c>
      <c r="E55" s="17">
        <f>IF($F$3="1",SUMIF(Data!$A:$A,$A$2,Data!JH:JH),0)</f>
        <v>0</v>
      </c>
      <c r="F55" s="21" t="str">
        <f t="shared" si="3"/>
        <v/>
      </c>
    </row>
    <row r="56" spans="1:6" ht="14.25" customHeight="1" x14ac:dyDescent="0.2">
      <c r="A56" s="19">
        <v>21</v>
      </c>
      <c r="B56" s="181" t="s">
        <v>461</v>
      </c>
      <c r="C56" s="182"/>
      <c r="D56" s="14">
        <f>IF(F3="1",SUMIF(Data!A:A,'48'!$A$2,Data!DO:DO),0)</f>
        <v>49200</v>
      </c>
      <c r="E56" s="17">
        <f>IF($F$3="1",SUMIF(Data!$A:$A,$A$2,Data!JI:JI),0)</f>
        <v>123256</v>
      </c>
      <c r="F56" s="21">
        <f t="shared" si="3"/>
        <v>2.5099999999999998</v>
      </c>
    </row>
    <row r="57" spans="1:6" x14ac:dyDescent="0.2">
      <c r="A57" s="19">
        <v>22</v>
      </c>
      <c r="B57" s="181" t="s">
        <v>19</v>
      </c>
      <c r="C57" s="182"/>
      <c r="D57" s="14">
        <f>IF(F3="1",SUMIF(Data!A:A,'48'!$A$2,Data!DP:DP),0)</f>
        <v>1800</v>
      </c>
      <c r="E57" s="17">
        <f>IF($F$3="1",SUMIF(Data!$A:$A,$A$2,Data!JJ:JJ),0)</f>
        <v>3744</v>
      </c>
      <c r="F57" s="21">
        <f t="shared" si="3"/>
        <v>2.08</v>
      </c>
    </row>
    <row r="58" spans="1:6" x14ac:dyDescent="0.2">
      <c r="A58" s="19">
        <v>23</v>
      </c>
      <c r="B58" s="181" t="s">
        <v>20</v>
      </c>
      <c r="C58" s="182"/>
      <c r="D58" s="14">
        <f>IF(F3="1",SUMIF(Data!A:A,'48'!$A$2,Data!DQ:DQ),0)</f>
        <v>60176</v>
      </c>
      <c r="E58" s="17">
        <f>IF($F$3="1",SUMIF(Data!$A:$A,$A$2,Data!JK:JK),0)</f>
        <v>86230</v>
      </c>
      <c r="F58" s="21">
        <f t="shared" si="3"/>
        <v>1.43</v>
      </c>
    </row>
    <row r="59" spans="1:6" x14ac:dyDescent="0.2">
      <c r="A59" s="19">
        <v>24</v>
      </c>
      <c r="B59" s="181" t="s">
        <v>21</v>
      </c>
      <c r="C59" s="182"/>
      <c r="D59" s="14">
        <f>IF(F3="1",SUMIF(Data!A:A,'48'!$A$2,Data!DR:DR),0)</f>
        <v>77526</v>
      </c>
      <c r="E59" s="17">
        <f>IF($F$3="1",SUMIF(Data!$A:$A,$A$2,Data!JL:JL),0)</f>
        <v>55717</v>
      </c>
      <c r="F59" s="21">
        <f t="shared" si="3"/>
        <v>0.72</v>
      </c>
    </row>
    <row r="60" spans="1:6" x14ac:dyDescent="0.2">
      <c r="A60" s="19">
        <v>25</v>
      </c>
      <c r="B60" s="181" t="s">
        <v>22</v>
      </c>
      <c r="C60" s="182"/>
      <c r="D60" s="14">
        <f>IF(F3="1",SUMIF(Data!A:A,'48'!$A$2,Data!DS:DS),0)</f>
        <v>266192</v>
      </c>
      <c r="E60" s="17">
        <f>IF($F$3="1",SUMIF(Data!$A:$A,$A$2,Data!JM:JM),0)</f>
        <v>72231</v>
      </c>
      <c r="F60" s="21">
        <f t="shared" si="3"/>
        <v>0.27</v>
      </c>
    </row>
    <row r="61" spans="1:6" x14ac:dyDescent="0.2">
      <c r="A61" s="19">
        <v>26</v>
      </c>
      <c r="B61" s="181" t="s">
        <v>23</v>
      </c>
      <c r="C61" s="182"/>
      <c r="D61" s="14">
        <f>IF(F3="1",SUMIF(Data!A:A,'48'!$A$2,Data!DT:DT),0)</f>
        <v>53808</v>
      </c>
      <c r="E61" s="17">
        <f>IF($F$3="1",SUMIF(Data!$A:$A,$A$2,Data!JN:JN),0)</f>
        <v>26778</v>
      </c>
      <c r="F61" s="21">
        <f t="shared" si="3"/>
        <v>0.5</v>
      </c>
    </row>
    <row r="62" spans="1:6" x14ac:dyDescent="0.2">
      <c r="A62" s="19">
        <v>28</v>
      </c>
      <c r="B62" s="181" t="s">
        <v>24</v>
      </c>
      <c r="C62" s="182"/>
      <c r="D62" s="14">
        <f>IF(F3="1",SUMIF(Data!A:A,'48'!$A$2,Data!DV:DV),0)</f>
        <v>0</v>
      </c>
      <c r="E62" s="17">
        <f>IF($F$3="1",SUMIF(Data!$A:$A,$A$2,Data!JP:JP),0)</f>
        <v>0</v>
      </c>
      <c r="F62" s="21" t="str">
        <f t="shared" si="3"/>
        <v/>
      </c>
    </row>
    <row r="63" spans="1:6" ht="15.75" customHeight="1" thickBot="1" x14ac:dyDescent="0.25">
      <c r="A63" s="22">
        <v>29</v>
      </c>
      <c r="B63" s="183" t="s">
        <v>25</v>
      </c>
      <c r="C63" s="184"/>
      <c r="D63" s="23">
        <f>IF(F3="1",SUMIF(Data!A:A,'48'!$A$2,Data!DW:DW),0)</f>
        <v>0</v>
      </c>
      <c r="E63" s="24">
        <f>IF($F$3="1",SUMIF(Data!$A:$A,$A$2,Data!JQ:JQ),0)</f>
        <v>0</v>
      </c>
      <c r="F63" s="25" t="str">
        <f t="shared" si="3"/>
        <v/>
      </c>
    </row>
    <row r="64" spans="1:6" x14ac:dyDescent="0.2">
      <c r="B64" s="30" t="s">
        <v>35</v>
      </c>
      <c r="C64" s="30"/>
      <c r="D64" s="59">
        <f>SUM(D36:D63)</f>
        <v>2052054</v>
      </c>
      <c r="E64" s="31">
        <f>SUM(E36:E63)</f>
        <v>1372565</v>
      </c>
      <c r="F64" s="32">
        <f t="shared" si="3"/>
        <v>0.67</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19488</v>
      </c>
      <c r="E67" s="15">
        <f>IF(F3="1",SUMIF(Data!A:A,'48'!$A$2,Data!DY:DY),0)</f>
        <v>73215</v>
      </c>
      <c r="F67" s="20">
        <f t="shared" ref="F67:F95" si="4">IF(OR(D67=0,E67=0),"",ROUND(E67/D67,2))</f>
        <v>3.76</v>
      </c>
    </row>
    <row r="68" spans="1:6" x14ac:dyDescent="0.2">
      <c r="A68" s="19">
        <v>2</v>
      </c>
      <c r="B68" s="181" t="s">
        <v>1</v>
      </c>
      <c r="C68" s="182"/>
      <c r="D68" s="14">
        <f t="shared" ref="D68:D94" si="5">D37</f>
        <v>12272</v>
      </c>
      <c r="E68" s="17">
        <f>IF(F3="1",SUMIF(Data!A:A,'48'!$A$2,Data!DZ:DZ),0)</f>
        <v>49903</v>
      </c>
      <c r="F68" s="21">
        <f t="shared" si="4"/>
        <v>4.07</v>
      </c>
    </row>
    <row r="69" spans="1:6" ht="14.25" customHeight="1" x14ac:dyDescent="0.2">
      <c r="A69" s="19">
        <v>3</v>
      </c>
      <c r="B69" s="181" t="s">
        <v>2</v>
      </c>
      <c r="C69" s="182"/>
      <c r="D69" s="14">
        <f t="shared" si="5"/>
        <v>140832</v>
      </c>
      <c r="E69" s="17">
        <f>IF(F3="1",SUMIF(Data!A:A,'48'!$A$2,Data!EA:EA),0)</f>
        <v>277417</v>
      </c>
      <c r="F69" s="21">
        <f t="shared" si="4"/>
        <v>1.97</v>
      </c>
    </row>
    <row r="70" spans="1:6" ht="14.25" customHeight="1" x14ac:dyDescent="0.2">
      <c r="A70" s="19">
        <v>4</v>
      </c>
      <c r="B70" s="181" t="s">
        <v>3</v>
      </c>
      <c r="C70" s="182"/>
      <c r="D70" s="14">
        <f t="shared" si="5"/>
        <v>104601</v>
      </c>
      <c r="E70" s="17">
        <f>IF(F3="1",SUMIF(Data!A:A,'48'!$A$2,Data!EB:EB),0)</f>
        <v>318655</v>
      </c>
      <c r="F70" s="21">
        <f t="shared" si="4"/>
        <v>3.05</v>
      </c>
    </row>
    <row r="71" spans="1:6" x14ac:dyDescent="0.2">
      <c r="A71" s="19">
        <v>5</v>
      </c>
      <c r="B71" s="181" t="s">
        <v>4</v>
      </c>
      <c r="C71" s="182"/>
      <c r="D71" s="14">
        <f t="shared" si="5"/>
        <v>0</v>
      </c>
      <c r="E71" s="17">
        <f>IF(F3="1",SUMIF(Data!A:A,'48'!$A$2,Data!EC:EC),0)</f>
        <v>0</v>
      </c>
      <c r="F71" s="21" t="str">
        <f t="shared" si="4"/>
        <v/>
      </c>
    </row>
    <row r="72" spans="1:6" x14ac:dyDescent="0.2">
      <c r="A72" s="19">
        <v>6</v>
      </c>
      <c r="B72" s="181" t="s">
        <v>5</v>
      </c>
      <c r="C72" s="182"/>
      <c r="D72" s="14">
        <f t="shared" si="5"/>
        <v>1056</v>
      </c>
      <c r="E72" s="17">
        <f>IF(F3="1",SUMIF(Data!A:A,'48'!$A$2,Data!ED:ED),0)</f>
        <v>0</v>
      </c>
      <c r="F72" s="21" t="str">
        <f t="shared" si="4"/>
        <v/>
      </c>
    </row>
    <row r="73" spans="1:6" x14ac:dyDescent="0.2">
      <c r="A73" s="19">
        <v>7</v>
      </c>
      <c r="B73" s="181" t="s">
        <v>6</v>
      </c>
      <c r="C73" s="182"/>
      <c r="D73" s="14">
        <f t="shared" si="5"/>
        <v>105546</v>
      </c>
      <c r="E73" s="17">
        <f>IF(F3="1",SUMIF(Data!A:A,'48'!$A$2,Data!EE:EE),0)</f>
        <v>247441</v>
      </c>
      <c r="F73" s="21">
        <f t="shared" si="4"/>
        <v>2.34</v>
      </c>
    </row>
    <row r="74" spans="1:6" x14ac:dyDescent="0.2">
      <c r="A74" s="19">
        <v>8</v>
      </c>
      <c r="B74" s="181" t="s">
        <v>7</v>
      </c>
      <c r="C74" s="182"/>
      <c r="D74" s="14">
        <f t="shared" si="5"/>
        <v>42960</v>
      </c>
      <c r="E74" s="17">
        <f>IF(F3="1",SUMIF(Data!A:A,'48'!$A$2,Data!EF:EF),0)</f>
        <v>25260</v>
      </c>
      <c r="F74" s="21">
        <f t="shared" si="4"/>
        <v>0.59</v>
      </c>
    </row>
    <row r="75" spans="1:6" x14ac:dyDescent="0.2">
      <c r="A75" s="19">
        <v>9</v>
      </c>
      <c r="B75" s="181" t="s">
        <v>8</v>
      </c>
      <c r="C75" s="182"/>
      <c r="D75" s="14">
        <f t="shared" si="5"/>
        <v>69470</v>
      </c>
      <c r="E75" s="17">
        <f>IF(F3="1",SUMIF(Data!A:A,'48'!$A$2,Data!EG:EG),0)</f>
        <v>135262</v>
      </c>
      <c r="F75" s="21">
        <f t="shared" si="4"/>
        <v>1.95</v>
      </c>
    </row>
    <row r="76" spans="1:6" x14ac:dyDescent="0.2">
      <c r="A76" s="19">
        <v>10</v>
      </c>
      <c r="B76" s="181" t="s">
        <v>9</v>
      </c>
      <c r="C76" s="182"/>
      <c r="D76" s="14">
        <f t="shared" si="5"/>
        <v>0</v>
      </c>
      <c r="E76" s="17">
        <f>IF(F3="1",SUMIF(Data!A:A,'48'!$A$2,Data!EH:EH),0)</f>
        <v>0</v>
      </c>
      <c r="F76" s="21" t="str">
        <f t="shared" si="4"/>
        <v/>
      </c>
    </row>
    <row r="77" spans="1:6" x14ac:dyDescent="0.2">
      <c r="A77" s="19">
        <v>11</v>
      </c>
      <c r="B77" s="181" t="s">
        <v>10</v>
      </c>
      <c r="C77" s="182"/>
      <c r="D77" s="14">
        <f t="shared" si="5"/>
        <v>56896</v>
      </c>
      <c r="E77" s="17">
        <f>IF(F3="1",SUMIF(Data!A:A,'48'!$A$2,Data!EI:EI),0)</f>
        <v>150936</v>
      </c>
      <c r="F77" s="21">
        <f t="shared" si="4"/>
        <v>2.65</v>
      </c>
    </row>
    <row r="78" spans="1:6" ht="14.25" customHeight="1" x14ac:dyDescent="0.2">
      <c r="A78" s="19">
        <v>12</v>
      </c>
      <c r="B78" s="181" t="s">
        <v>11</v>
      </c>
      <c r="C78" s="182"/>
      <c r="D78" s="14">
        <f t="shared" si="5"/>
        <v>376373</v>
      </c>
      <c r="E78" s="17">
        <f>IF(F3="1",SUMIF(Data!A:A,'48'!$A$2,Data!EJ:EJ),0)</f>
        <v>840923</v>
      </c>
      <c r="F78" s="21">
        <f t="shared" si="4"/>
        <v>2.23</v>
      </c>
    </row>
    <row r="79" spans="1:6" x14ac:dyDescent="0.2">
      <c r="A79" s="19">
        <v>13</v>
      </c>
      <c r="B79" s="181" t="s">
        <v>12</v>
      </c>
      <c r="C79" s="182"/>
      <c r="D79" s="14">
        <f t="shared" si="5"/>
        <v>14120</v>
      </c>
      <c r="E79" s="17">
        <f>IF(F3="1",SUMIF(Data!A:A,'48'!$A$2,Data!EK:EK),0)</f>
        <v>38338</v>
      </c>
      <c r="F79" s="21">
        <f t="shared" si="4"/>
        <v>2.72</v>
      </c>
    </row>
    <row r="80" spans="1:6" ht="14.25" customHeight="1" x14ac:dyDescent="0.2">
      <c r="A80" s="19">
        <v>14</v>
      </c>
      <c r="B80" s="181" t="s">
        <v>464</v>
      </c>
      <c r="C80" s="182"/>
      <c r="D80" s="14">
        <f t="shared" si="5"/>
        <v>52864</v>
      </c>
      <c r="E80" s="17">
        <f>IF(F3="1",SUMIF(Data!A:A,'48'!$A$2,Data!EL:EL),0)</f>
        <v>278469</v>
      </c>
      <c r="F80" s="21">
        <f t="shared" si="4"/>
        <v>5.27</v>
      </c>
    </row>
    <row r="81" spans="1:6" x14ac:dyDescent="0.2">
      <c r="A81" s="19">
        <v>15</v>
      </c>
      <c r="B81" s="181" t="s">
        <v>13</v>
      </c>
      <c r="C81" s="182"/>
      <c r="D81" s="14">
        <f t="shared" si="5"/>
        <v>0</v>
      </c>
      <c r="E81" s="17">
        <f>IF(F3="1",SUMIF(Data!A:A,'48'!$A$2,Data!EM:EM),0)</f>
        <v>0</v>
      </c>
      <c r="F81" s="21" t="str">
        <f t="shared" si="4"/>
        <v/>
      </c>
    </row>
    <row r="82" spans="1:6" x14ac:dyDescent="0.2">
      <c r="A82" s="19">
        <v>16</v>
      </c>
      <c r="B82" s="181" t="s">
        <v>14</v>
      </c>
      <c r="C82" s="182"/>
      <c r="D82" s="14">
        <f t="shared" si="5"/>
        <v>288890</v>
      </c>
      <c r="E82" s="17">
        <f>IF(F3="1",SUMIF(Data!A:A,'48'!$A$2,Data!EN:EN),0)</f>
        <v>282064</v>
      </c>
      <c r="F82" s="21">
        <f t="shared" si="4"/>
        <v>0.98</v>
      </c>
    </row>
    <row r="83" spans="1:6" x14ac:dyDescent="0.2">
      <c r="A83" s="19">
        <v>17</v>
      </c>
      <c r="B83" s="181" t="s">
        <v>15</v>
      </c>
      <c r="C83" s="182"/>
      <c r="D83" s="14">
        <f t="shared" si="5"/>
        <v>25488</v>
      </c>
      <c r="E83" s="17">
        <f>IF(F3="1",SUMIF(Data!A:A,'48'!$A$2,Data!EO:EO),0)</f>
        <v>124912</v>
      </c>
      <c r="F83" s="21">
        <f t="shared" si="4"/>
        <v>4.9000000000000004</v>
      </c>
    </row>
    <row r="84" spans="1:6" x14ac:dyDescent="0.2">
      <c r="A84" s="19">
        <v>18</v>
      </c>
      <c r="B84" s="181" t="s">
        <v>16</v>
      </c>
      <c r="C84" s="182"/>
      <c r="D84" s="14">
        <f t="shared" si="5"/>
        <v>78496</v>
      </c>
      <c r="E84" s="17">
        <f>IF(F3="1",SUMIF(Data!A:A,'48'!$A$2,Data!EP:EP),0)</f>
        <v>240594</v>
      </c>
      <c r="F84" s="21">
        <f t="shared" si="4"/>
        <v>3.07</v>
      </c>
    </row>
    <row r="85" spans="1:6" x14ac:dyDescent="0.2">
      <c r="A85" s="19">
        <v>19</v>
      </c>
      <c r="B85" s="181" t="s">
        <v>17</v>
      </c>
      <c r="C85" s="182"/>
      <c r="D85" s="14">
        <f t="shared" si="5"/>
        <v>154000</v>
      </c>
      <c r="E85" s="17">
        <f>IF(F3="1",SUMIF(Data!A:A,'48'!$A$2,Data!EQ:EQ),0)</f>
        <v>226723</v>
      </c>
      <c r="F85" s="21">
        <f t="shared" si="4"/>
        <v>1.47</v>
      </c>
    </row>
    <row r="86" spans="1:6" x14ac:dyDescent="0.2">
      <c r="A86" s="19">
        <v>20</v>
      </c>
      <c r="B86" s="181" t="s">
        <v>18</v>
      </c>
      <c r="C86" s="182"/>
      <c r="D86" s="14">
        <f t="shared" si="5"/>
        <v>0</v>
      </c>
      <c r="E86" s="17">
        <f>IF(F3="1",SUMIF(Data!A:A,'48'!$A$2,Data!ER:ER),0)</f>
        <v>0</v>
      </c>
      <c r="F86" s="21" t="str">
        <f t="shared" si="4"/>
        <v/>
      </c>
    </row>
    <row r="87" spans="1:6" ht="14.25" customHeight="1" x14ac:dyDescent="0.2">
      <c r="A87" s="19">
        <v>21</v>
      </c>
      <c r="B87" s="181" t="s">
        <v>461</v>
      </c>
      <c r="C87" s="182"/>
      <c r="D87" s="14">
        <f t="shared" si="5"/>
        <v>49200</v>
      </c>
      <c r="E87" s="17">
        <f>IF(F3="1",SUMIF(Data!A:A,'48'!$A$2,Data!ES:ES),0)</f>
        <v>194346</v>
      </c>
      <c r="F87" s="21">
        <f t="shared" si="4"/>
        <v>3.95</v>
      </c>
    </row>
    <row r="88" spans="1:6" x14ac:dyDescent="0.2">
      <c r="A88" s="19">
        <v>22</v>
      </c>
      <c r="B88" s="181" t="s">
        <v>19</v>
      </c>
      <c r="C88" s="182"/>
      <c r="D88" s="14">
        <f t="shared" si="5"/>
        <v>1800</v>
      </c>
      <c r="E88" s="17">
        <f>IF(F3="1",SUMIF(Data!A:A,'48'!$A$2,Data!ET:ET),0)</f>
        <v>1058</v>
      </c>
      <c r="F88" s="21">
        <f t="shared" si="4"/>
        <v>0.59</v>
      </c>
    </row>
    <row r="89" spans="1:6" x14ac:dyDescent="0.2">
      <c r="A89" s="19">
        <v>23</v>
      </c>
      <c r="B89" s="181" t="s">
        <v>20</v>
      </c>
      <c r="C89" s="182"/>
      <c r="D89" s="14">
        <f t="shared" si="5"/>
        <v>60176</v>
      </c>
      <c r="E89" s="17">
        <f>IF(F3="1",SUMIF(Data!A:A,'48'!$A$2,Data!EU:EU),0)</f>
        <v>221906</v>
      </c>
      <c r="F89" s="21">
        <f t="shared" si="4"/>
        <v>3.69</v>
      </c>
    </row>
    <row r="90" spans="1:6" x14ac:dyDescent="0.2">
      <c r="A90" s="19">
        <v>24</v>
      </c>
      <c r="B90" s="181" t="s">
        <v>21</v>
      </c>
      <c r="C90" s="182"/>
      <c r="D90" s="14">
        <f t="shared" si="5"/>
        <v>77526</v>
      </c>
      <c r="E90" s="17">
        <f>IF(F3="1",SUMIF(Data!A:A,'48'!$A$2,Data!EV:EV),0)</f>
        <v>306155</v>
      </c>
      <c r="F90" s="21">
        <f t="shared" si="4"/>
        <v>3.95</v>
      </c>
    </row>
    <row r="91" spans="1:6" x14ac:dyDescent="0.2">
      <c r="A91" s="19">
        <v>25</v>
      </c>
      <c r="B91" s="181" t="s">
        <v>22</v>
      </c>
      <c r="C91" s="182"/>
      <c r="D91" s="14">
        <f t="shared" si="5"/>
        <v>266192</v>
      </c>
      <c r="E91" s="17">
        <f>IF(F3="1",SUMIF(Data!A:A,'48'!$A$2,Data!EW:EW),0)</f>
        <v>582618</v>
      </c>
      <c r="F91" s="21">
        <f t="shared" si="4"/>
        <v>2.19</v>
      </c>
    </row>
    <row r="92" spans="1:6" x14ac:dyDescent="0.2">
      <c r="A92" s="19">
        <v>26</v>
      </c>
      <c r="B92" s="181" t="s">
        <v>23</v>
      </c>
      <c r="C92" s="182"/>
      <c r="D92" s="14">
        <f t="shared" si="5"/>
        <v>53808</v>
      </c>
      <c r="E92" s="17">
        <f>IF(F3="1",SUMIF(Data!A:A,'48'!$A$2,Data!EX:EX),0)</f>
        <v>229699</v>
      </c>
      <c r="F92" s="21">
        <f t="shared" si="4"/>
        <v>4.2699999999999996</v>
      </c>
    </row>
    <row r="93" spans="1:6" x14ac:dyDescent="0.2">
      <c r="A93" s="19">
        <v>28</v>
      </c>
      <c r="B93" s="181" t="s">
        <v>24</v>
      </c>
      <c r="C93" s="182"/>
      <c r="D93" s="14">
        <f t="shared" si="5"/>
        <v>0</v>
      </c>
      <c r="E93" s="17">
        <f>IF(F3="1",SUMIF(Data!A:A,'48'!$A$2,Data!EZ:EZ),0)</f>
        <v>0</v>
      </c>
      <c r="F93" s="21" t="str">
        <f t="shared" si="4"/>
        <v/>
      </c>
    </row>
    <row r="94" spans="1:6" ht="15.75" customHeight="1" thickBot="1" x14ac:dyDescent="0.25">
      <c r="A94" s="22">
        <v>29</v>
      </c>
      <c r="B94" s="183" t="s">
        <v>25</v>
      </c>
      <c r="C94" s="184"/>
      <c r="D94" s="23">
        <f t="shared" si="5"/>
        <v>0</v>
      </c>
      <c r="E94" s="24">
        <f>IF(F3="1",SUMIF(Data!A:A,'48'!$A$2,Data!FA:FA),0)</f>
        <v>0</v>
      </c>
      <c r="F94" s="25" t="str">
        <f t="shared" si="4"/>
        <v/>
      </c>
    </row>
    <row r="95" spans="1:6" x14ac:dyDescent="0.2">
      <c r="B95" s="30" t="s">
        <v>35</v>
      </c>
      <c r="C95" s="30"/>
      <c r="D95" s="59">
        <f>SUM(D67:D94)</f>
        <v>2052054</v>
      </c>
      <c r="E95" s="31">
        <f>SUM(E67:E94)</f>
        <v>4845894</v>
      </c>
      <c r="F95" s="32">
        <f t="shared" si="4"/>
        <v>2.36</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IF(F3="1",SUMIF(Data!A:A,'48'!$A$2,Data!AH:AH),0)</f>
        <v>2580789</v>
      </c>
      <c r="F98" s="20">
        <f>IF(OR(E98=0,E98=0),"",ROUND(E98/$D$105,2))</f>
        <v>1.26</v>
      </c>
    </row>
    <row r="99" spans="2:6" x14ac:dyDescent="0.2">
      <c r="B99" s="187" t="s">
        <v>31</v>
      </c>
      <c r="C99" s="188"/>
      <c r="D99" s="36"/>
      <c r="E99" s="17">
        <f>IF(F3="1",SUMIF(Data!A:A,'48'!$A$2,Data!AI:AI),0)</f>
        <v>785781</v>
      </c>
      <c r="F99" s="21">
        <f t="shared" ref="F99:F104" si="6">IF(OR(E99=0,E99=0),"",ROUND(E99/$D$105,2))</f>
        <v>0.38</v>
      </c>
    </row>
    <row r="100" spans="2:6" x14ac:dyDescent="0.2">
      <c r="B100" s="187" t="s">
        <v>1078</v>
      </c>
      <c r="C100" s="188"/>
      <c r="D100" s="36"/>
      <c r="E100" s="17">
        <f>IF(F3="1",SUMIF(Data!A:A,'48'!$A$2,Data!AJ:AJ),0)</f>
        <v>434402</v>
      </c>
      <c r="F100" s="21">
        <f t="shared" si="6"/>
        <v>0.21</v>
      </c>
    </row>
    <row r="101" spans="2:6" x14ac:dyDescent="0.2">
      <c r="B101" s="187" t="s">
        <v>1079</v>
      </c>
      <c r="C101" s="188"/>
      <c r="D101" s="36"/>
      <c r="E101" s="17">
        <f>IF(F3="1",SUMIF(Data!A:A,'48'!$A$2,Data!AK:AK),0)</f>
        <v>415185</v>
      </c>
      <c r="F101" s="21">
        <f t="shared" si="6"/>
        <v>0.2</v>
      </c>
    </row>
    <row r="102" spans="2:6" x14ac:dyDescent="0.2">
      <c r="B102" s="187" t="s">
        <v>1080</v>
      </c>
      <c r="C102" s="188"/>
      <c r="D102" s="36"/>
      <c r="E102" s="17">
        <f>IF(F3="1",SUMIF(Data!A:A,'48'!$A$2,Data!AL:AL),0)</f>
        <v>0</v>
      </c>
      <c r="F102" s="21" t="str">
        <f t="shared" si="6"/>
        <v/>
      </c>
    </row>
    <row r="103" spans="2:6" x14ac:dyDescent="0.2">
      <c r="B103" s="189" t="s">
        <v>34</v>
      </c>
      <c r="C103" s="190"/>
      <c r="D103" s="36"/>
      <c r="E103" s="17">
        <f>IF(F3="1",SUMIF(Data!A:A,'48'!$A$2,Data!AM:AM),0)</f>
        <v>0</v>
      </c>
      <c r="F103" s="21" t="str">
        <f t="shared" si="6"/>
        <v/>
      </c>
    </row>
    <row r="104" spans="2:6" ht="15.75" customHeight="1" thickBot="1" x14ac:dyDescent="0.25">
      <c r="B104" s="179" t="s">
        <v>29</v>
      </c>
      <c r="C104" s="180"/>
      <c r="D104" s="37"/>
      <c r="E104" s="24">
        <f>IF(F3="1",SUMIF(Data!A:A,'48'!$A$2,Data!Q:Q),0)</f>
        <v>135647</v>
      </c>
      <c r="F104" s="25">
        <f t="shared" si="6"/>
        <v>7.0000000000000007E-2</v>
      </c>
    </row>
    <row r="105" spans="2:6" x14ac:dyDescent="0.2">
      <c r="B105" s="30" t="s">
        <v>35</v>
      </c>
      <c r="C105" s="30"/>
      <c r="D105" s="34">
        <f>D95</f>
        <v>2052054</v>
      </c>
      <c r="E105" s="31">
        <f>SUM(E98:E104)</f>
        <v>4351804</v>
      </c>
      <c r="F105" s="32">
        <f>IF($D$105=0,"",ROUND(E105/$D$105,2))</f>
        <v>2.12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4845894</v>
      </c>
      <c r="D109" s="15">
        <f>IF(F3="1",SUMIF(Data!$A:$A,$A$2,Data!HJ:HJ),0)</f>
        <v>0</v>
      </c>
      <c r="E109" s="15">
        <f>IF(F3="1",SUMIF(Data!$A:$A,$A$2,Data!IN:IN),0)</f>
        <v>0</v>
      </c>
      <c r="F109" s="47">
        <f>SUM(C109:E109)</f>
        <v>4845894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135647</v>
      </c>
      <c r="E117" s="52"/>
      <c r="F117" s="49">
        <f>SUM(C117:E117)</f>
        <v>135647</v>
      </c>
    </row>
    <row r="118" spans="1:6" x14ac:dyDescent="0.2">
      <c r="B118" s="13" t="s">
        <v>35</v>
      </c>
      <c r="C118" s="4">
        <f>SUM(C109:C116)</f>
        <v>4845894</v>
      </c>
      <c r="D118" s="4">
        <f>SUM(D109:D116)</f>
        <v>0</v>
      </c>
      <c r="E118" s="4">
        <f>SUM(E109:E116)</f>
        <v>0</v>
      </c>
      <c r="F118" s="4">
        <f>SUM(F109:F116)</f>
        <v>4845894</v>
      </c>
    </row>
    <row r="119" spans="1:6" ht="15" thickBot="1" x14ac:dyDescent="0.25"/>
    <row r="120" spans="1:6" ht="15" thickBot="1" x14ac:dyDescent="0.25">
      <c r="B120" s="55" t="s">
        <v>934</v>
      </c>
      <c r="C120" s="53"/>
      <c r="D120" s="53"/>
      <c r="E120" s="53">
        <f>IF(F3="1",SUMIF(Data!A:A,'48'!$A$2,Data!AM:AM),0)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431</v>
      </c>
      <c r="B2" s="58" t="str">
        <f>VLOOKUP(A2,Data!A:G,7,0)</f>
        <v>Western Texas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55504</v>
      </c>
      <c r="E5" s="15">
        <f>E36+E67+IFERROR($E$105/$D$105*D5,0)</f>
        <v>525431.89554195805</v>
      </c>
      <c r="F5" s="20">
        <f>IF(OR(D5=0,E5=0),"",ROUND(E5/D5,2))</f>
        <v>9.4700000000000006</v>
      </c>
    </row>
    <row r="6" spans="1:6" x14ac:dyDescent="0.2">
      <c r="A6" s="19">
        <v>2</v>
      </c>
      <c r="B6" s="181" t="s">
        <v>1</v>
      </c>
      <c r="C6" s="182"/>
      <c r="D6" s="14">
        <f t="shared" ref="D6:D32" si="0">D37</f>
        <v>16240</v>
      </c>
      <c r="E6" s="17">
        <f t="shared" ref="E6:E32" si="1">E37+E68+IFERROR($E$105/$D$105*D6,0)</f>
        <v>127033.74256993007</v>
      </c>
      <c r="F6" s="21">
        <f t="shared" ref="F6:F33" si="2">IF(OR(D6=0,E6=0),"",ROUND(E6/D6,2))</f>
        <v>7.82</v>
      </c>
    </row>
    <row r="7" spans="1:6" ht="14.25" customHeight="1" x14ac:dyDescent="0.2">
      <c r="A7" s="19">
        <v>3</v>
      </c>
      <c r="B7" s="181" t="s">
        <v>2</v>
      </c>
      <c r="C7" s="182"/>
      <c r="D7" s="14">
        <f t="shared" si="0"/>
        <v>25408</v>
      </c>
      <c r="E7" s="17">
        <f t="shared" si="1"/>
        <v>240564.24650349648</v>
      </c>
      <c r="F7" s="21">
        <f t="shared" si="2"/>
        <v>9.4700000000000006</v>
      </c>
    </row>
    <row r="8" spans="1:6" ht="14.25" customHeight="1" x14ac:dyDescent="0.2">
      <c r="A8" s="19">
        <v>4</v>
      </c>
      <c r="B8" s="181" t="s">
        <v>3</v>
      </c>
      <c r="C8" s="182"/>
      <c r="D8" s="14">
        <f t="shared" si="0"/>
        <v>34032</v>
      </c>
      <c r="E8" s="17">
        <f t="shared" si="1"/>
        <v>276306.11669580417</v>
      </c>
      <c r="F8" s="21">
        <f t="shared" si="2"/>
        <v>8.1199999999999992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5616</v>
      </c>
      <c r="E10" s="17">
        <f t="shared" si="1"/>
        <v>84359.130681818177</v>
      </c>
      <c r="F10" s="21">
        <f t="shared" si="2"/>
        <v>15.02</v>
      </c>
    </row>
    <row r="11" spans="1:6" x14ac:dyDescent="0.2">
      <c r="A11" s="19">
        <v>7</v>
      </c>
      <c r="B11" s="181" t="s">
        <v>6</v>
      </c>
      <c r="C11" s="182"/>
      <c r="D11" s="14">
        <f t="shared" si="0"/>
        <v>19328</v>
      </c>
      <c r="E11" s="17">
        <f t="shared" si="1"/>
        <v>162138.75174825173</v>
      </c>
      <c r="F11" s="21">
        <f t="shared" si="2"/>
        <v>8.39</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26064</v>
      </c>
      <c r="E13" s="17">
        <f t="shared" si="1"/>
        <v>154697.65777972026</v>
      </c>
      <c r="F13" s="21">
        <f t="shared" si="2"/>
        <v>5.94</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28736</v>
      </c>
      <c r="E15" s="17">
        <f t="shared" si="1"/>
        <v>227059.06468531466</v>
      </c>
      <c r="F15" s="21">
        <f t="shared" si="2"/>
        <v>7.9</v>
      </c>
    </row>
    <row r="16" spans="1:6" ht="14.25" customHeight="1" x14ac:dyDescent="0.2">
      <c r="A16" s="19">
        <v>12</v>
      </c>
      <c r="B16" s="181" t="s">
        <v>11</v>
      </c>
      <c r="C16" s="182"/>
      <c r="D16" s="14">
        <f t="shared" si="0"/>
        <v>98688</v>
      </c>
      <c r="E16" s="17">
        <f t="shared" si="1"/>
        <v>716657.26223776222</v>
      </c>
      <c r="F16" s="21">
        <f t="shared" si="2"/>
        <v>7.26</v>
      </c>
    </row>
    <row r="17" spans="1:6" x14ac:dyDescent="0.2">
      <c r="A17" s="19">
        <v>13</v>
      </c>
      <c r="B17" s="181" t="s">
        <v>12</v>
      </c>
      <c r="C17" s="182"/>
      <c r="D17" s="14">
        <f t="shared" si="0"/>
        <v>1312</v>
      </c>
      <c r="E17" s="17">
        <f t="shared" si="1"/>
        <v>16761.822552447553</v>
      </c>
      <c r="F17" s="21">
        <f t="shared" si="2"/>
        <v>12.78</v>
      </c>
    </row>
    <row r="18" spans="1:6" ht="14.25" customHeight="1" x14ac:dyDescent="0.2">
      <c r="A18" s="19">
        <v>14</v>
      </c>
      <c r="B18" s="181" t="s">
        <v>464</v>
      </c>
      <c r="C18" s="182"/>
      <c r="D18" s="14">
        <f t="shared" si="0"/>
        <v>0</v>
      </c>
      <c r="E18" s="17">
        <f t="shared" si="1"/>
        <v>0</v>
      </c>
      <c r="F18" s="21" t="str">
        <f t="shared" si="2"/>
        <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10912</v>
      </c>
      <c r="E20" s="17">
        <f t="shared" si="1"/>
        <v>126276.18269230769</v>
      </c>
      <c r="F20" s="21">
        <f t="shared" si="2"/>
        <v>11.57</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29232</v>
      </c>
      <c r="E22" s="17">
        <f t="shared" si="1"/>
        <v>212493.93662587411</v>
      </c>
      <c r="F22" s="21">
        <f t="shared" si="2"/>
        <v>7.27</v>
      </c>
    </row>
    <row r="23" spans="1:6" x14ac:dyDescent="0.2">
      <c r="A23" s="19">
        <v>19</v>
      </c>
      <c r="B23" s="181" t="s">
        <v>17</v>
      </c>
      <c r="C23" s="182"/>
      <c r="D23" s="14">
        <f t="shared" si="0"/>
        <v>65520</v>
      </c>
      <c r="E23" s="17">
        <f t="shared" si="1"/>
        <v>475594.85795454541</v>
      </c>
      <c r="F23" s="21">
        <f t="shared" si="2"/>
        <v>7.26</v>
      </c>
    </row>
    <row r="24" spans="1:6" x14ac:dyDescent="0.2">
      <c r="A24" s="19">
        <v>20</v>
      </c>
      <c r="B24" s="181" t="s">
        <v>18</v>
      </c>
      <c r="C24" s="182"/>
      <c r="D24" s="14">
        <f t="shared" si="0"/>
        <v>13024</v>
      </c>
      <c r="E24" s="17">
        <f t="shared" si="1"/>
        <v>110523.70192307691</v>
      </c>
      <c r="F24" s="21">
        <f t="shared" si="2"/>
        <v>8.49</v>
      </c>
    </row>
    <row r="25" spans="1:6" ht="14.25" customHeight="1" x14ac:dyDescent="0.2">
      <c r="A25" s="19">
        <v>21</v>
      </c>
      <c r="B25" s="181" t="s">
        <v>461</v>
      </c>
      <c r="C25" s="182"/>
      <c r="D25" s="14">
        <f t="shared" si="0"/>
        <v>1264</v>
      </c>
      <c r="E25" s="17">
        <f t="shared" si="1"/>
        <v>7634.0607517482513</v>
      </c>
      <c r="F25" s="21">
        <f t="shared" si="2"/>
        <v>6.04</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14784</v>
      </c>
      <c r="E27" s="17">
        <f t="shared" si="1"/>
        <v>199963.63461538462</v>
      </c>
      <c r="F27" s="21">
        <f t="shared" si="2"/>
        <v>13.53</v>
      </c>
    </row>
    <row r="28" spans="1:6" x14ac:dyDescent="0.2">
      <c r="A28" s="19">
        <v>24</v>
      </c>
      <c r="B28" s="181" t="s">
        <v>21</v>
      </c>
      <c r="C28" s="182"/>
      <c r="D28" s="14">
        <f t="shared" si="0"/>
        <v>11568</v>
      </c>
      <c r="E28" s="17">
        <f t="shared" si="1"/>
        <v>274141.59396853147</v>
      </c>
      <c r="F28" s="21">
        <f t="shared" si="2"/>
        <v>23.7</v>
      </c>
    </row>
    <row r="29" spans="1:6" x14ac:dyDescent="0.2">
      <c r="A29" s="19">
        <v>25</v>
      </c>
      <c r="B29" s="181" t="s">
        <v>22</v>
      </c>
      <c r="C29" s="182"/>
      <c r="D29" s="14">
        <f t="shared" si="0"/>
        <v>99264</v>
      </c>
      <c r="E29" s="17">
        <f t="shared" si="1"/>
        <v>702120.40384615376</v>
      </c>
      <c r="F29" s="21">
        <f t="shared" si="2"/>
        <v>7.07</v>
      </c>
    </row>
    <row r="30" spans="1:6" x14ac:dyDescent="0.2">
      <c r="A30" s="19">
        <v>26</v>
      </c>
      <c r="B30" s="181" t="s">
        <v>23</v>
      </c>
      <c r="C30" s="182"/>
      <c r="D30" s="14">
        <f t="shared" si="0"/>
        <v>29232</v>
      </c>
      <c r="E30" s="17">
        <f t="shared" si="1"/>
        <v>267623.93662587414</v>
      </c>
      <c r="F30" s="21">
        <f t="shared" si="2"/>
        <v>9.16</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585728</v>
      </c>
      <c r="E33" s="31">
        <f>SUM(E5:E32)</f>
        <v>4907382</v>
      </c>
      <c r="F33" s="32">
        <f t="shared" si="2"/>
        <v>8.3800000000000008</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IF(F3="1",SUMIF(Data!A:A,'49'!$A$2,Data!CU:CU),0)</f>
        <v>55504</v>
      </c>
      <c r="E36" s="15">
        <f>IF(F3="1",SUMIF(Data!$A:$A,$A$2,Data!IO:IO),0)</f>
        <v>75048</v>
      </c>
      <c r="F36" s="20">
        <f t="shared" ref="F36:F64" si="3">IF(OR(D36=0,E36=0),"",ROUND(E36/D36,2))</f>
        <v>1.35</v>
      </c>
    </row>
    <row r="37" spans="1:6" x14ac:dyDescent="0.2">
      <c r="A37" s="19">
        <v>2</v>
      </c>
      <c r="B37" s="181" t="s">
        <v>1</v>
      </c>
      <c r="C37" s="182"/>
      <c r="D37" s="14">
        <f>IF(F3="1",SUMIF(Data!A:A,'49'!$A$2,Data!CV:CV),0)</f>
        <v>16240</v>
      </c>
      <c r="E37" s="17">
        <f>IF(F3="1",SUMIF(Data!$A:$A,$A$2,Data!IP:IP),0)</f>
        <v>14975</v>
      </c>
      <c r="F37" s="21">
        <f t="shared" si="3"/>
        <v>0.92</v>
      </c>
    </row>
    <row r="38" spans="1:6" ht="14.25" customHeight="1" x14ac:dyDescent="0.2">
      <c r="A38" s="19">
        <v>3</v>
      </c>
      <c r="B38" s="181" t="s">
        <v>2</v>
      </c>
      <c r="C38" s="182"/>
      <c r="D38" s="14">
        <f>IF(F3="1",SUMIF(Data!A:A,'49'!$A$2,Data!CW:CW),0)</f>
        <v>25408</v>
      </c>
      <c r="E38" s="17">
        <f>IF($F$3="1",SUMIF(Data!$A:$A,$A$2,Data!IQ:IQ),0)</f>
        <v>10579</v>
      </c>
      <c r="F38" s="21">
        <f t="shared" si="3"/>
        <v>0.42</v>
      </c>
    </row>
    <row r="39" spans="1:6" ht="14.25" customHeight="1" x14ac:dyDescent="0.2">
      <c r="A39" s="19">
        <v>4</v>
      </c>
      <c r="B39" s="181" t="s">
        <v>3</v>
      </c>
      <c r="C39" s="182"/>
      <c r="D39" s="14">
        <f>IF(F3="1",SUMIF(Data!A:A,'49'!$A$2,Data!CX:CX),0)</f>
        <v>34032</v>
      </c>
      <c r="E39" s="17">
        <f>IF($F$3="1",SUMIF(Data!$A:$A,$A$2,Data!IR:IR),0)</f>
        <v>15536</v>
      </c>
      <c r="F39" s="21">
        <f t="shared" si="3"/>
        <v>0.46</v>
      </c>
    </row>
    <row r="40" spans="1:6" x14ac:dyDescent="0.2">
      <c r="A40" s="19">
        <v>5</v>
      </c>
      <c r="B40" s="181" t="s">
        <v>4</v>
      </c>
      <c r="C40" s="182"/>
      <c r="D40" s="14">
        <f>IF(F3="1",SUMIF(Data!A:A,'49'!$A$2,Data!CY:CY),0)</f>
        <v>0</v>
      </c>
      <c r="E40" s="17">
        <f>IF($F$3="1",SUMIF(Data!$A:$A,$A$2,Data!IS:IS),0)</f>
        <v>0</v>
      </c>
      <c r="F40" s="21" t="str">
        <f t="shared" si="3"/>
        <v/>
      </c>
    </row>
    <row r="41" spans="1:6" x14ac:dyDescent="0.2">
      <c r="A41" s="19">
        <v>6</v>
      </c>
      <c r="B41" s="181" t="s">
        <v>5</v>
      </c>
      <c r="C41" s="182"/>
      <c r="D41" s="14">
        <f>IF(F3="1",SUMIF(Data!A:A,'49'!$A$2,Data!CZ:CZ),0)</f>
        <v>5616</v>
      </c>
      <c r="E41" s="17">
        <f>IF($F$3="1",SUMIF(Data!$A:$A,$A$2,Data!IT:IT),0)</f>
        <v>19293</v>
      </c>
      <c r="F41" s="21">
        <f t="shared" si="3"/>
        <v>3.44</v>
      </c>
    </row>
    <row r="42" spans="1:6" x14ac:dyDescent="0.2">
      <c r="A42" s="19">
        <v>7</v>
      </c>
      <c r="B42" s="181" t="s">
        <v>6</v>
      </c>
      <c r="C42" s="182"/>
      <c r="D42" s="14">
        <f>IF(F3="1",SUMIF(Data!A:A,'49'!$A$2,Data!DA:DA),0)</f>
        <v>19328</v>
      </c>
      <c r="E42" s="17">
        <f>IF($F$3="1",SUMIF(Data!$A:$A,$A$2,Data!IU:IU),0)</f>
        <v>3930</v>
      </c>
      <c r="F42" s="21">
        <f t="shared" si="3"/>
        <v>0.2</v>
      </c>
    </row>
    <row r="43" spans="1:6" x14ac:dyDescent="0.2">
      <c r="A43" s="19">
        <v>8</v>
      </c>
      <c r="B43" s="181" t="s">
        <v>7</v>
      </c>
      <c r="C43" s="182"/>
      <c r="D43" s="14">
        <f>IF(F3="1",SUMIF(Data!A:A,'49'!$A$2,Data!DB:DB),0)</f>
        <v>0</v>
      </c>
      <c r="E43" s="17">
        <f>IF($F$3="1",SUMIF(Data!$A:$A,$A$2,Data!IV:IV),0)</f>
        <v>0</v>
      </c>
      <c r="F43" s="21" t="str">
        <f t="shared" si="3"/>
        <v/>
      </c>
    </row>
    <row r="44" spans="1:6" x14ac:dyDescent="0.2">
      <c r="A44" s="19">
        <v>9</v>
      </c>
      <c r="B44" s="181" t="s">
        <v>8</v>
      </c>
      <c r="C44" s="182"/>
      <c r="D44" s="14">
        <f>IF(F3="1",SUMIF(Data!A:A,'49'!$A$2,Data!DC:DC),0)</f>
        <v>26064</v>
      </c>
      <c r="E44" s="17">
        <f>IF($F$3="1",SUMIF(Data!$A:$A,$A$2,Data!IW:IW),0)</f>
        <v>3981</v>
      </c>
      <c r="F44" s="21">
        <f t="shared" si="3"/>
        <v>0.15</v>
      </c>
    </row>
    <row r="45" spans="1:6" x14ac:dyDescent="0.2">
      <c r="A45" s="19">
        <v>10</v>
      </c>
      <c r="B45" s="181" t="s">
        <v>9</v>
      </c>
      <c r="C45" s="182"/>
      <c r="D45" s="14">
        <f>IF(F3="1",SUMIF(Data!A:A,'49'!$A$2,Data!DD:DD),0)</f>
        <v>0</v>
      </c>
      <c r="E45" s="17">
        <f>IF($F$3="1",SUMIF(Data!$A:$A,$A$2,Data!IX:IX),0)</f>
        <v>0</v>
      </c>
      <c r="F45" s="21" t="str">
        <f t="shared" si="3"/>
        <v/>
      </c>
    </row>
    <row r="46" spans="1:6" x14ac:dyDescent="0.2">
      <c r="A46" s="19">
        <v>11</v>
      </c>
      <c r="B46" s="181" t="s">
        <v>10</v>
      </c>
      <c r="C46" s="182"/>
      <c r="D46" s="14">
        <f>IF(F3="1",SUMIF(Data!A:A,'49'!$A$2,Data!DE:DE),0)</f>
        <v>28736</v>
      </c>
      <c r="E46" s="17">
        <f>IF($F$3="1",SUMIF(Data!$A:$A,$A$2,Data!IY:IY),0)</f>
        <v>45061</v>
      </c>
      <c r="F46" s="21">
        <f t="shared" si="3"/>
        <v>1.57</v>
      </c>
    </row>
    <row r="47" spans="1:6" ht="14.25" customHeight="1" x14ac:dyDescent="0.2">
      <c r="A47" s="19">
        <v>12</v>
      </c>
      <c r="B47" s="181" t="s">
        <v>11</v>
      </c>
      <c r="C47" s="182"/>
      <c r="D47" s="14">
        <f>IF(F3="1",SUMIF(Data!A:A,'49'!$A$2,Data!DF:DF),0)</f>
        <v>98688</v>
      </c>
      <c r="E47" s="17">
        <f>IF($F$3="1",SUMIF(Data!$A:$A,$A$2,Data!IZ:IZ),0)</f>
        <v>19754</v>
      </c>
      <c r="F47" s="21">
        <f t="shared" si="3"/>
        <v>0.2</v>
      </c>
    </row>
    <row r="48" spans="1:6" x14ac:dyDescent="0.2">
      <c r="A48" s="19">
        <v>13</v>
      </c>
      <c r="B48" s="181" t="s">
        <v>12</v>
      </c>
      <c r="C48" s="182"/>
      <c r="D48" s="14">
        <f>IF(F3="1",SUMIF(Data!A:A,'49'!$A$2,Data!DG:DG),0)</f>
        <v>1312</v>
      </c>
      <c r="E48" s="17">
        <f>IF($F$3="1",SUMIF(Data!$A:$A,$A$2,Data!JA:JA),0)</f>
        <v>373</v>
      </c>
      <c r="F48" s="21">
        <f t="shared" si="3"/>
        <v>0.28000000000000003</v>
      </c>
    </row>
    <row r="49" spans="1:6" ht="14.25" customHeight="1" x14ac:dyDescent="0.2">
      <c r="A49" s="19">
        <v>14</v>
      </c>
      <c r="B49" s="181" t="s">
        <v>464</v>
      </c>
      <c r="C49" s="182"/>
      <c r="D49" s="14">
        <f>IF(F3="1",SUMIF(Data!A:A,'49'!$A$2,Data!DH:DH),0)</f>
        <v>0</v>
      </c>
      <c r="E49" s="17">
        <f>IF($F$3="1",SUMIF(Data!$A:$A,$A$2,Data!JB:JB),0)</f>
        <v>0</v>
      </c>
      <c r="F49" s="21" t="str">
        <f t="shared" si="3"/>
        <v/>
      </c>
    </row>
    <row r="50" spans="1:6" x14ac:dyDescent="0.2">
      <c r="A50" s="19">
        <v>15</v>
      </c>
      <c r="B50" s="181" t="s">
        <v>13</v>
      </c>
      <c r="C50" s="182"/>
      <c r="D50" s="14">
        <f>IF(F3="1",SUMIF(Data!A:A,'49'!$A$2,Data!DI:DI),0)</f>
        <v>0</v>
      </c>
      <c r="E50" s="17">
        <f>IF($F$3="1",SUMIF(Data!$A:$A,$A$2,Data!JC:JC),0)</f>
        <v>0</v>
      </c>
      <c r="F50" s="21" t="str">
        <f t="shared" si="3"/>
        <v/>
      </c>
    </row>
    <row r="51" spans="1:6" x14ac:dyDescent="0.2">
      <c r="A51" s="19">
        <v>16</v>
      </c>
      <c r="B51" s="181" t="s">
        <v>14</v>
      </c>
      <c r="C51" s="182"/>
      <c r="D51" s="14">
        <f>IF(F3="1",SUMIF(Data!A:A,'49'!$A$2,Data!DJ:DJ),0)</f>
        <v>10912</v>
      </c>
      <c r="E51" s="17">
        <f>IF($F$3="1",SUMIF(Data!$A:$A,$A$2,Data!JD:JD),0)</f>
        <v>54010</v>
      </c>
      <c r="F51" s="21">
        <f t="shared" si="3"/>
        <v>4.95</v>
      </c>
    </row>
    <row r="52" spans="1:6" x14ac:dyDescent="0.2">
      <c r="A52" s="19">
        <v>17</v>
      </c>
      <c r="B52" s="181" t="s">
        <v>15</v>
      </c>
      <c r="C52" s="182"/>
      <c r="D52" s="14">
        <f>IF(F3="1",SUMIF(Data!A:A,'49'!$A$2,Data!DK:DK),0)</f>
        <v>0</v>
      </c>
      <c r="E52" s="17">
        <f>IF($F$3="1",SUMIF(Data!$A:$A,$A$2,Data!JE:JE),0)</f>
        <v>0</v>
      </c>
      <c r="F52" s="21" t="str">
        <f t="shared" si="3"/>
        <v/>
      </c>
    </row>
    <row r="53" spans="1:6" x14ac:dyDescent="0.2">
      <c r="A53" s="19">
        <v>18</v>
      </c>
      <c r="B53" s="181" t="s">
        <v>16</v>
      </c>
      <c r="C53" s="182"/>
      <c r="D53" s="14">
        <f>IF(F3="1",SUMIF(Data!A:A,'49'!$A$2,Data!DL:DL),0)</f>
        <v>29232</v>
      </c>
      <c r="E53" s="17">
        <f>IF($F$3="1",SUMIF(Data!$A:$A,$A$2,Data!JF:JF),0)</f>
        <v>6938</v>
      </c>
      <c r="F53" s="21">
        <f t="shared" si="3"/>
        <v>0.24</v>
      </c>
    </row>
    <row r="54" spans="1:6" x14ac:dyDescent="0.2">
      <c r="A54" s="19">
        <v>19</v>
      </c>
      <c r="B54" s="181" t="s">
        <v>17</v>
      </c>
      <c r="C54" s="182"/>
      <c r="D54" s="14">
        <f>IF(F3="1",SUMIF(Data!A:A,'49'!$A$2,Data!DM:DM),0)</f>
        <v>65520</v>
      </c>
      <c r="E54" s="17">
        <f>IF($F$3="1",SUMIF(Data!$A:$A,$A$2,Data!JG:JG),0)</f>
        <v>13511</v>
      </c>
      <c r="F54" s="21">
        <f t="shared" si="3"/>
        <v>0.21</v>
      </c>
    </row>
    <row r="55" spans="1:6" x14ac:dyDescent="0.2">
      <c r="A55" s="19">
        <v>20</v>
      </c>
      <c r="B55" s="181" t="s">
        <v>18</v>
      </c>
      <c r="C55" s="182"/>
      <c r="D55" s="14">
        <f>IF(F3="1",SUMIF(Data!A:A,'49'!$A$2,Data!DN:DN),0)</f>
        <v>13024</v>
      </c>
      <c r="E55" s="17">
        <f>IF($F$3="1",SUMIF(Data!$A:$A,$A$2,Data!JH:JH),0)</f>
        <v>12937</v>
      </c>
      <c r="F55" s="21">
        <f t="shared" si="3"/>
        <v>0.99</v>
      </c>
    </row>
    <row r="56" spans="1:6" ht="14.25" customHeight="1" x14ac:dyDescent="0.2">
      <c r="A56" s="19">
        <v>21</v>
      </c>
      <c r="B56" s="181" t="s">
        <v>461</v>
      </c>
      <c r="C56" s="182"/>
      <c r="D56" s="14">
        <f>IF(F3="1",SUMIF(Data!A:A,'49'!$A$2,Data!DO:DO),0)</f>
        <v>1264</v>
      </c>
      <c r="E56" s="17">
        <f>IF($F$3="1",SUMIF(Data!$A:$A,$A$2,Data!JI:JI),0)</f>
        <v>500</v>
      </c>
      <c r="F56" s="21">
        <f t="shared" si="3"/>
        <v>0.4</v>
      </c>
    </row>
    <row r="57" spans="1:6" x14ac:dyDescent="0.2">
      <c r="A57" s="19">
        <v>22</v>
      </c>
      <c r="B57" s="181" t="s">
        <v>19</v>
      </c>
      <c r="C57" s="182"/>
      <c r="D57" s="14">
        <f>IF(F3="1",SUMIF(Data!A:A,'49'!$A$2,Data!DP:DP),0)</f>
        <v>0</v>
      </c>
      <c r="E57" s="17">
        <f>IF($F$3="1",SUMIF(Data!$A:$A,$A$2,Data!JJ:JJ),0)</f>
        <v>0</v>
      </c>
      <c r="F57" s="21" t="str">
        <f t="shared" si="3"/>
        <v/>
      </c>
    </row>
    <row r="58" spans="1:6" x14ac:dyDescent="0.2">
      <c r="A58" s="19">
        <v>23</v>
      </c>
      <c r="B58" s="181" t="s">
        <v>20</v>
      </c>
      <c r="C58" s="182"/>
      <c r="D58" s="14">
        <f>IF(F3="1",SUMIF(Data!A:A,'49'!$A$2,Data!DQ:DQ),0)</f>
        <v>14784</v>
      </c>
      <c r="E58" s="17">
        <f>IF($F$3="1",SUMIF(Data!$A:$A,$A$2,Data!JK:JK),0)</f>
        <v>71778</v>
      </c>
      <c r="F58" s="21">
        <f t="shared" si="3"/>
        <v>4.8600000000000003</v>
      </c>
    </row>
    <row r="59" spans="1:6" x14ac:dyDescent="0.2">
      <c r="A59" s="19">
        <v>24</v>
      </c>
      <c r="B59" s="181" t="s">
        <v>21</v>
      </c>
      <c r="C59" s="182"/>
      <c r="D59" s="14">
        <f>IF(F3="1",SUMIF(Data!A:A,'49'!$A$2,Data!DR:DR),0)</f>
        <v>11568</v>
      </c>
      <c r="E59" s="17">
        <f>IF($F$3="1",SUMIF(Data!$A:$A,$A$2,Data!JL:JL),0)</f>
        <v>74937</v>
      </c>
      <c r="F59" s="21">
        <f t="shared" si="3"/>
        <v>6.48</v>
      </c>
    </row>
    <row r="60" spans="1:6" x14ac:dyDescent="0.2">
      <c r="A60" s="19">
        <v>25</v>
      </c>
      <c r="B60" s="181" t="s">
        <v>22</v>
      </c>
      <c r="C60" s="182"/>
      <c r="D60" s="14">
        <f>IF(F3="1",SUMIF(Data!A:A,'49'!$A$2,Data!DS:DS),0)</f>
        <v>99264</v>
      </c>
      <c r="E60" s="17">
        <f>IF($F$3="1",SUMIF(Data!$A:$A,$A$2,Data!JM:JM),0)</f>
        <v>13237</v>
      </c>
      <c r="F60" s="21">
        <f t="shared" si="3"/>
        <v>0.13</v>
      </c>
    </row>
    <row r="61" spans="1:6" x14ac:dyDescent="0.2">
      <c r="A61" s="19">
        <v>26</v>
      </c>
      <c r="B61" s="181" t="s">
        <v>23</v>
      </c>
      <c r="C61" s="182"/>
      <c r="D61" s="14">
        <f>IF(F3="1",SUMIF(Data!A:A,'49'!$A$2,Data!DT:DT),0)</f>
        <v>29232</v>
      </c>
      <c r="E61" s="17">
        <f>IF($F$3="1",SUMIF(Data!$A:$A,$A$2,Data!JN:JN),0)</f>
        <v>29153</v>
      </c>
      <c r="F61" s="21">
        <f t="shared" si="3"/>
        <v>1</v>
      </c>
    </row>
    <row r="62" spans="1:6" x14ac:dyDescent="0.2">
      <c r="A62" s="19">
        <v>28</v>
      </c>
      <c r="B62" s="181" t="s">
        <v>24</v>
      </c>
      <c r="C62" s="182"/>
      <c r="D62" s="14">
        <f>IF(F3="1",SUMIF(Data!A:A,'49'!$A$2,Data!DV:DV),0)</f>
        <v>0</v>
      </c>
      <c r="E62" s="17">
        <f>IF($F$3="1",SUMIF(Data!$A:$A,$A$2,Data!JP:JP),0)</f>
        <v>0</v>
      </c>
      <c r="F62" s="21" t="str">
        <f t="shared" si="3"/>
        <v/>
      </c>
    </row>
    <row r="63" spans="1:6" ht="15.75" customHeight="1" thickBot="1" x14ac:dyDescent="0.25">
      <c r="A63" s="22">
        <v>29</v>
      </c>
      <c r="B63" s="183" t="s">
        <v>25</v>
      </c>
      <c r="C63" s="184"/>
      <c r="D63" s="23">
        <f>IF(F3="1",SUMIF(Data!A:A,'49'!$A$2,Data!DW:DW),0)</f>
        <v>0</v>
      </c>
      <c r="E63" s="24">
        <f>IF($F$3="1",SUMIF(Data!$A:$A,$A$2,Data!JQ:JQ),0)</f>
        <v>0</v>
      </c>
      <c r="F63" s="25" t="str">
        <f t="shared" si="3"/>
        <v/>
      </c>
    </row>
    <row r="64" spans="1:6" x14ac:dyDescent="0.2">
      <c r="B64" s="30" t="s">
        <v>35</v>
      </c>
      <c r="C64" s="30"/>
      <c r="D64" s="59">
        <f>SUM(D36:D63)</f>
        <v>585728</v>
      </c>
      <c r="E64" s="31">
        <f>SUM(E36:E63)</f>
        <v>485531</v>
      </c>
      <c r="F64" s="32">
        <f t="shared" si="3"/>
        <v>0.83</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55504</v>
      </c>
      <c r="E67" s="15">
        <f>IF(F3="1",SUMIF(Data!A:A,'49'!$A$2,Data!DY:DY),0)</f>
        <v>220549</v>
      </c>
      <c r="F67" s="20">
        <f t="shared" ref="F67:F95" si="4">IF(OR(D67=0,E67=0),"",ROUND(E67/D67,2))</f>
        <v>3.97</v>
      </c>
    </row>
    <row r="68" spans="1:6" x14ac:dyDescent="0.2">
      <c r="A68" s="19">
        <v>2</v>
      </c>
      <c r="B68" s="181" t="s">
        <v>1</v>
      </c>
      <c r="C68" s="182"/>
      <c r="D68" s="14">
        <f t="shared" ref="D68:D94" si="5">D37</f>
        <v>16240</v>
      </c>
      <c r="E68" s="17">
        <f>IF(F3="1",SUMIF(Data!A:A,'49'!$A$2,Data!DZ:DZ),0)</f>
        <v>44811</v>
      </c>
      <c r="F68" s="21">
        <f t="shared" si="4"/>
        <v>2.76</v>
      </c>
    </row>
    <row r="69" spans="1:6" ht="14.25" customHeight="1" x14ac:dyDescent="0.2">
      <c r="A69" s="19">
        <v>3</v>
      </c>
      <c r="B69" s="181" t="s">
        <v>2</v>
      </c>
      <c r="C69" s="182"/>
      <c r="D69" s="14">
        <f t="shared" si="5"/>
        <v>25408</v>
      </c>
      <c r="E69" s="17">
        <f>IF(F3="1",SUMIF(Data!A:A,'49'!$A$2,Data!EA:EA),0)</f>
        <v>124774</v>
      </c>
      <c r="F69" s="21">
        <f t="shared" si="4"/>
        <v>4.91</v>
      </c>
    </row>
    <row r="70" spans="1:6" ht="14.25" customHeight="1" x14ac:dyDescent="0.2">
      <c r="A70" s="19">
        <v>4</v>
      </c>
      <c r="B70" s="181" t="s">
        <v>3</v>
      </c>
      <c r="C70" s="182"/>
      <c r="D70" s="14">
        <f t="shared" si="5"/>
        <v>34032</v>
      </c>
      <c r="E70" s="17">
        <f>IF(F3="1",SUMIF(Data!A:A,'49'!$A$2,Data!EB:EB),0)</f>
        <v>119848</v>
      </c>
      <c r="F70" s="21">
        <f t="shared" si="4"/>
        <v>3.52</v>
      </c>
    </row>
    <row r="71" spans="1:6" x14ac:dyDescent="0.2">
      <c r="A71" s="19">
        <v>5</v>
      </c>
      <c r="B71" s="181" t="s">
        <v>4</v>
      </c>
      <c r="C71" s="182"/>
      <c r="D71" s="14">
        <f t="shared" si="5"/>
        <v>0</v>
      </c>
      <c r="E71" s="17">
        <f>IF(F3="1",SUMIF(Data!A:A,'49'!$A$2,Data!EC:EC),0)</f>
        <v>0</v>
      </c>
      <c r="F71" s="21" t="str">
        <f t="shared" si="4"/>
        <v/>
      </c>
    </row>
    <row r="72" spans="1:6" x14ac:dyDescent="0.2">
      <c r="A72" s="19">
        <v>6</v>
      </c>
      <c r="B72" s="181" t="s">
        <v>5</v>
      </c>
      <c r="C72" s="182"/>
      <c r="D72" s="14">
        <f t="shared" si="5"/>
        <v>5616</v>
      </c>
      <c r="E72" s="17">
        <f>IF(F3="1",SUMIF(Data!A:A,'49'!$A$2,Data!ED:ED),0)</f>
        <v>41811</v>
      </c>
      <c r="F72" s="21">
        <f t="shared" si="4"/>
        <v>7.44</v>
      </c>
    </row>
    <row r="73" spans="1:6" x14ac:dyDescent="0.2">
      <c r="A73" s="19">
        <v>7</v>
      </c>
      <c r="B73" s="181" t="s">
        <v>6</v>
      </c>
      <c r="C73" s="182"/>
      <c r="D73" s="14">
        <f t="shared" si="5"/>
        <v>19328</v>
      </c>
      <c r="E73" s="17">
        <f>IF(F3="1",SUMIF(Data!A:A,'49'!$A$2,Data!EE:EE),0)</f>
        <v>78174</v>
      </c>
      <c r="F73" s="21">
        <f t="shared" si="4"/>
        <v>4.04</v>
      </c>
    </row>
    <row r="74" spans="1:6" x14ac:dyDescent="0.2">
      <c r="A74" s="19">
        <v>8</v>
      </c>
      <c r="B74" s="181" t="s">
        <v>7</v>
      </c>
      <c r="C74" s="182"/>
      <c r="D74" s="14">
        <f t="shared" si="5"/>
        <v>0</v>
      </c>
      <c r="E74" s="17">
        <f>IF(F3="1",SUMIF(Data!A:A,'49'!$A$2,Data!EF:EF),0)</f>
        <v>0</v>
      </c>
      <c r="F74" s="21" t="str">
        <f t="shared" si="4"/>
        <v/>
      </c>
    </row>
    <row r="75" spans="1:6" x14ac:dyDescent="0.2">
      <c r="A75" s="19">
        <v>9</v>
      </c>
      <c r="B75" s="181" t="s">
        <v>8</v>
      </c>
      <c r="C75" s="182"/>
      <c r="D75" s="14">
        <f t="shared" si="5"/>
        <v>26064</v>
      </c>
      <c r="E75" s="17">
        <f>IF(F3="1",SUMIF(Data!A:A,'49'!$A$2,Data!EG:EG),0)</f>
        <v>42789</v>
      </c>
      <c r="F75" s="21">
        <f t="shared" si="4"/>
        <v>1.64</v>
      </c>
    </row>
    <row r="76" spans="1:6" x14ac:dyDescent="0.2">
      <c r="A76" s="19">
        <v>10</v>
      </c>
      <c r="B76" s="181" t="s">
        <v>9</v>
      </c>
      <c r="C76" s="182"/>
      <c r="D76" s="14">
        <f t="shared" si="5"/>
        <v>0</v>
      </c>
      <c r="E76" s="17">
        <f>IF(F3="1",SUMIF(Data!A:A,'49'!$A$2,Data!EH:EH),0)</f>
        <v>0</v>
      </c>
      <c r="F76" s="21" t="str">
        <f t="shared" si="4"/>
        <v/>
      </c>
    </row>
    <row r="77" spans="1:6" x14ac:dyDescent="0.2">
      <c r="A77" s="19">
        <v>11</v>
      </c>
      <c r="B77" s="181" t="s">
        <v>10</v>
      </c>
      <c r="C77" s="182"/>
      <c r="D77" s="14">
        <f t="shared" si="5"/>
        <v>28736</v>
      </c>
      <c r="E77" s="17">
        <f>IF(F3="1",SUMIF(Data!A:A,'49'!$A$2,Data!EI:EI),0)</f>
        <v>63006</v>
      </c>
      <c r="F77" s="21">
        <f t="shared" si="4"/>
        <v>2.19</v>
      </c>
    </row>
    <row r="78" spans="1:6" ht="14.25" customHeight="1" x14ac:dyDescent="0.2">
      <c r="A78" s="19">
        <v>12</v>
      </c>
      <c r="B78" s="181" t="s">
        <v>11</v>
      </c>
      <c r="C78" s="182"/>
      <c r="D78" s="14">
        <f t="shared" si="5"/>
        <v>98688</v>
      </c>
      <c r="E78" s="17">
        <f>IF(F3="1",SUMIF(Data!A:A,'49'!$A$2,Data!EJ:EJ),0)</f>
        <v>288249</v>
      </c>
      <c r="F78" s="21">
        <f t="shared" si="4"/>
        <v>2.92</v>
      </c>
    </row>
    <row r="79" spans="1:6" x14ac:dyDescent="0.2">
      <c r="A79" s="19">
        <v>13</v>
      </c>
      <c r="B79" s="181" t="s">
        <v>12</v>
      </c>
      <c r="C79" s="182"/>
      <c r="D79" s="14">
        <f t="shared" si="5"/>
        <v>1312</v>
      </c>
      <c r="E79" s="17">
        <f>IF(F3="1",SUMIF(Data!A:A,'49'!$A$2,Data!EK:EK),0)</f>
        <v>10956</v>
      </c>
      <c r="F79" s="21">
        <f t="shared" si="4"/>
        <v>8.35</v>
      </c>
    </row>
    <row r="80" spans="1:6" ht="14.25" customHeight="1" x14ac:dyDescent="0.2">
      <c r="A80" s="19">
        <v>14</v>
      </c>
      <c r="B80" s="181" t="s">
        <v>464</v>
      </c>
      <c r="C80" s="182"/>
      <c r="D80" s="14">
        <f t="shared" si="5"/>
        <v>0</v>
      </c>
      <c r="E80" s="17">
        <f>IF(F3="1",SUMIF(Data!A:A,'49'!$A$2,Data!EL:EL),0)</f>
        <v>0</v>
      </c>
      <c r="F80" s="21" t="str">
        <f t="shared" si="4"/>
        <v/>
      </c>
    </row>
    <row r="81" spans="1:6" x14ac:dyDescent="0.2">
      <c r="A81" s="19">
        <v>15</v>
      </c>
      <c r="B81" s="181" t="s">
        <v>13</v>
      </c>
      <c r="C81" s="182"/>
      <c r="D81" s="14">
        <f t="shared" si="5"/>
        <v>0</v>
      </c>
      <c r="E81" s="17">
        <f>IF(F3="1",SUMIF(Data!A:A,'49'!$A$2,Data!EM:EM),0)</f>
        <v>0</v>
      </c>
      <c r="F81" s="21" t="str">
        <f t="shared" si="4"/>
        <v/>
      </c>
    </row>
    <row r="82" spans="1:6" x14ac:dyDescent="0.2">
      <c r="A82" s="19">
        <v>16</v>
      </c>
      <c r="B82" s="181" t="s">
        <v>14</v>
      </c>
      <c r="C82" s="182"/>
      <c r="D82" s="14">
        <f t="shared" si="5"/>
        <v>10912</v>
      </c>
      <c r="E82" s="17">
        <f>IF(F3="1",SUMIF(Data!A:A,'49'!$A$2,Data!EN:EN),0)</f>
        <v>27081</v>
      </c>
      <c r="F82" s="21">
        <f t="shared" si="4"/>
        <v>2.48</v>
      </c>
    </row>
    <row r="83" spans="1:6" x14ac:dyDescent="0.2">
      <c r="A83" s="19">
        <v>17</v>
      </c>
      <c r="B83" s="181" t="s">
        <v>15</v>
      </c>
      <c r="C83" s="182"/>
      <c r="D83" s="14">
        <f t="shared" si="5"/>
        <v>0</v>
      </c>
      <c r="E83" s="17">
        <f>IF(F3="1",SUMIF(Data!A:A,'49'!$A$2,Data!EO:EO),0)</f>
        <v>0</v>
      </c>
      <c r="F83" s="21" t="str">
        <f t="shared" si="4"/>
        <v/>
      </c>
    </row>
    <row r="84" spans="1:6" x14ac:dyDescent="0.2">
      <c r="A84" s="19">
        <v>18</v>
      </c>
      <c r="B84" s="181" t="s">
        <v>16</v>
      </c>
      <c r="C84" s="182"/>
      <c r="D84" s="14">
        <f t="shared" si="5"/>
        <v>29232</v>
      </c>
      <c r="E84" s="17">
        <f>IF(F3="1",SUMIF(Data!A:A,'49'!$A$2,Data!EP:EP),0)</f>
        <v>84510</v>
      </c>
      <c r="F84" s="21">
        <f t="shared" si="4"/>
        <v>2.89</v>
      </c>
    </row>
    <row r="85" spans="1:6" x14ac:dyDescent="0.2">
      <c r="A85" s="19">
        <v>19</v>
      </c>
      <c r="B85" s="181" t="s">
        <v>17</v>
      </c>
      <c r="C85" s="182"/>
      <c r="D85" s="14">
        <f t="shared" si="5"/>
        <v>65520</v>
      </c>
      <c r="E85" s="17">
        <f>IF(F3="1",SUMIF(Data!A:A,'49'!$A$2,Data!EQ:EQ),0)</f>
        <v>190774</v>
      </c>
      <c r="F85" s="21">
        <f t="shared" si="4"/>
        <v>2.91</v>
      </c>
    </row>
    <row r="86" spans="1:6" x14ac:dyDescent="0.2">
      <c r="A86" s="19">
        <v>20</v>
      </c>
      <c r="B86" s="181" t="s">
        <v>18</v>
      </c>
      <c r="C86" s="182"/>
      <c r="D86" s="14">
        <f t="shared" si="5"/>
        <v>13024</v>
      </c>
      <c r="E86" s="17">
        <f>IF(F3="1",SUMIF(Data!A:A,'49'!$A$2,Data!ER:ER),0)</f>
        <v>43656</v>
      </c>
      <c r="F86" s="21">
        <f t="shared" si="4"/>
        <v>3.35</v>
      </c>
    </row>
    <row r="87" spans="1:6" ht="14.25" customHeight="1" x14ac:dyDescent="0.2">
      <c r="A87" s="19">
        <v>21</v>
      </c>
      <c r="B87" s="181" t="s">
        <v>461</v>
      </c>
      <c r="C87" s="182"/>
      <c r="D87" s="14">
        <f t="shared" si="5"/>
        <v>1264</v>
      </c>
      <c r="E87" s="17">
        <f>IF(F3="1",SUMIF(Data!A:A,'49'!$A$2,Data!ES:ES),0)</f>
        <v>1900</v>
      </c>
      <c r="F87" s="21">
        <f t="shared" si="4"/>
        <v>1.5</v>
      </c>
    </row>
    <row r="88" spans="1:6" x14ac:dyDescent="0.2">
      <c r="A88" s="19">
        <v>22</v>
      </c>
      <c r="B88" s="181" t="s">
        <v>19</v>
      </c>
      <c r="C88" s="182"/>
      <c r="D88" s="14">
        <f t="shared" si="5"/>
        <v>0</v>
      </c>
      <c r="E88" s="17">
        <f>IF(F3="1",SUMIF(Data!A:A,'49'!$A$2,Data!ET:ET),0)</f>
        <v>0</v>
      </c>
      <c r="F88" s="21" t="str">
        <f t="shared" si="4"/>
        <v/>
      </c>
    </row>
    <row r="89" spans="1:6" x14ac:dyDescent="0.2">
      <c r="A89" s="19">
        <v>23</v>
      </c>
      <c r="B89" s="181" t="s">
        <v>20</v>
      </c>
      <c r="C89" s="182"/>
      <c r="D89" s="14">
        <f t="shared" si="5"/>
        <v>14784</v>
      </c>
      <c r="E89" s="17">
        <f>IF(F3="1",SUMIF(Data!A:A,'49'!$A$2,Data!EU:EU),0)</f>
        <v>66967</v>
      </c>
      <c r="F89" s="21">
        <f t="shared" si="4"/>
        <v>4.53</v>
      </c>
    </row>
    <row r="90" spans="1:6" x14ac:dyDescent="0.2">
      <c r="A90" s="19">
        <v>24</v>
      </c>
      <c r="B90" s="181" t="s">
        <v>21</v>
      </c>
      <c r="C90" s="182"/>
      <c r="D90" s="14">
        <f t="shared" si="5"/>
        <v>11568</v>
      </c>
      <c r="E90" s="17">
        <f>IF(F3="1",SUMIF(Data!A:A,'49'!$A$2,Data!EV:EV),0)</f>
        <v>151303</v>
      </c>
      <c r="F90" s="21">
        <f t="shared" si="4"/>
        <v>13.08</v>
      </c>
    </row>
    <row r="91" spans="1:6" x14ac:dyDescent="0.2">
      <c r="A91" s="19">
        <v>25</v>
      </c>
      <c r="B91" s="181" t="s">
        <v>22</v>
      </c>
      <c r="C91" s="182"/>
      <c r="D91" s="14">
        <f t="shared" si="5"/>
        <v>99264</v>
      </c>
      <c r="E91" s="17">
        <f>IF(F3="1",SUMIF(Data!A:A,'49'!$A$2,Data!EW:EW),0)</f>
        <v>277844</v>
      </c>
      <c r="F91" s="21">
        <f t="shared" si="4"/>
        <v>2.8</v>
      </c>
    </row>
    <row r="92" spans="1:6" x14ac:dyDescent="0.2">
      <c r="A92" s="19">
        <v>26</v>
      </c>
      <c r="B92" s="181" t="s">
        <v>23</v>
      </c>
      <c r="C92" s="182"/>
      <c r="D92" s="14">
        <f t="shared" si="5"/>
        <v>29232</v>
      </c>
      <c r="E92" s="17">
        <f>IF(F3="1",SUMIF(Data!A:A,'49'!$A$2,Data!EX:EX),0)</f>
        <v>117425</v>
      </c>
      <c r="F92" s="21">
        <f t="shared" si="4"/>
        <v>4.0199999999999996</v>
      </c>
    </row>
    <row r="93" spans="1:6" x14ac:dyDescent="0.2">
      <c r="A93" s="19">
        <v>28</v>
      </c>
      <c r="B93" s="181" t="s">
        <v>24</v>
      </c>
      <c r="C93" s="182"/>
      <c r="D93" s="14">
        <f t="shared" si="5"/>
        <v>0</v>
      </c>
      <c r="E93" s="17">
        <f>IF(F3="1",SUMIF(Data!A:A,'49'!$A$2,Data!EZ:EZ),0)</f>
        <v>0</v>
      </c>
      <c r="F93" s="21" t="str">
        <f t="shared" si="4"/>
        <v/>
      </c>
    </row>
    <row r="94" spans="1:6" ht="15.75" customHeight="1" thickBot="1" x14ac:dyDescent="0.25">
      <c r="A94" s="22">
        <v>29</v>
      </c>
      <c r="B94" s="183" t="s">
        <v>25</v>
      </c>
      <c r="C94" s="184"/>
      <c r="D94" s="23">
        <f t="shared" si="5"/>
        <v>0</v>
      </c>
      <c r="E94" s="24">
        <f>IF(F3="1",SUMIF(Data!A:A,'49'!$A$2,Data!FA:FA),0)</f>
        <v>0</v>
      </c>
      <c r="F94" s="25" t="str">
        <f t="shared" si="4"/>
        <v/>
      </c>
    </row>
    <row r="95" spans="1:6" x14ac:dyDescent="0.2">
      <c r="B95" s="30" t="s">
        <v>35</v>
      </c>
      <c r="C95" s="30"/>
      <c r="D95" s="59">
        <f>SUM(D67:D94)</f>
        <v>585728</v>
      </c>
      <c r="E95" s="31">
        <f>SUM(E67:E94)</f>
        <v>1996427</v>
      </c>
      <c r="F95" s="32">
        <f t="shared" si="4"/>
        <v>3.41</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IF(F3="1",SUMIF(Data!A:A,'49'!$A$2,Data!AH:AH),0)</f>
        <v>1198672</v>
      </c>
      <c r="F98" s="20">
        <f>IF(OR(E98=0,E98=0),"",ROUND(E98/$D$105,2))</f>
        <v>2.0499999999999998</v>
      </c>
    </row>
    <row r="99" spans="2:6" x14ac:dyDescent="0.2">
      <c r="B99" s="187" t="s">
        <v>31</v>
      </c>
      <c r="C99" s="188"/>
      <c r="D99" s="36"/>
      <c r="E99" s="17">
        <f>IF(F3="1",SUMIF(Data!A:A,'49'!$A$2,Data!AI:AI),0)</f>
        <v>360844</v>
      </c>
      <c r="F99" s="21">
        <f t="shared" ref="F99:F104" si="6">IF(OR(E99=0,E99=0),"",ROUND(E99/$D$105,2))</f>
        <v>0.62</v>
      </c>
    </row>
    <row r="100" spans="2:6" x14ac:dyDescent="0.2">
      <c r="B100" s="187" t="s">
        <v>1078</v>
      </c>
      <c r="C100" s="188"/>
      <c r="D100" s="36"/>
      <c r="E100" s="17">
        <f>IF(F3="1",SUMIF(Data!A:A,'49'!$A$2,Data!AJ:AJ),0)</f>
        <v>97348</v>
      </c>
      <c r="F100" s="21">
        <f t="shared" si="6"/>
        <v>0.17</v>
      </c>
    </row>
    <row r="101" spans="2:6" x14ac:dyDescent="0.2">
      <c r="B101" s="187" t="s">
        <v>1079</v>
      </c>
      <c r="C101" s="188"/>
      <c r="D101" s="36"/>
      <c r="E101" s="17">
        <f>IF(F3="1",SUMIF(Data!A:A,'49'!$A$2,Data!AK:AK),0)</f>
        <v>708507</v>
      </c>
      <c r="F101" s="21">
        <f t="shared" si="6"/>
        <v>1.21</v>
      </c>
    </row>
    <row r="102" spans="2:6" x14ac:dyDescent="0.2">
      <c r="B102" s="187" t="s">
        <v>1080</v>
      </c>
      <c r="C102" s="188"/>
      <c r="D102" s="36"/>
      <c r="E102" s="17">
        <f>IF(F3="1",SUMIF(Data!A:A,'49'!$A$2,Data!AL:AL),0)</f>
        <v>0</v>
      </c>
      <c r="F102" s="21" t="str">
        <f t="shared" si="6"/>
        <v/>
      </c>
    </row>
    <row r="103" spans="2:6" x14ac:dyDescent="0.2">
      <c r="B103" s="189" t="s">
        <v>34</v>
      </c>
      <c r="C103" s="190"/>
      <c r="D103" s="36"/>
      <c r="E103" s="17">
        <f>IF(F3="1",SUMIF(Data!A:A,'49'!$A$2,Data!AM:AM),0)</f>
        <v>0</v>
      </c>
      <c r="F103" s="21" t="str">
        <f t="shared" si="6"/>
        <v/>
      </c>
    </row>
    <row r="104" spans="2:6" ht="15.75" customHeight="1" thickBot="1" x14ac:dyDescent="0.25">
      <c r="B104" s="179" t="s">
        <v>29</v>
      </c>
      <c r="C104" s="180"/>
      <c r="D104" s="37"/>
      <c r="E104" s="24">
        <f>IF(F3="1",SUMIF(Data!A:A,'49'!$A$2,Data!Q:Q),0)</f>
        <v>60053</v>
      </c>
      <c r="F104" s="25">
        <f t="shared" si="6"/>
        <v>0.1</v>
      </c>
    </row>
    <row r="105" spans="2:6" x14ac:dyDescent="0.2">
      <c r="B105" s="30" t="s">
        <v>35</v>
      </c>
      <c r="C105" s="30"/>
      <c r="D105" s="34">
        <f>D95</f>
        <v>585728</v>
      </c>
      <c r="E105" s="31">
        <f>SUM(E98:E104)</f>
        <v>2425424</v>
      </c>
      <c r="F105" s="32">
        <f>IF($D$105=0,"",ROUND(E105/$D$105,2))</f>
        <v>4.1399999999999997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1996427</v>
      </c>
      <c r="D109" s="15">
        <f>IF(F3="1",SUMIF(Data!$A:$A,$A$2,Data!HJ:HJ),0)</f>
        <v>0</v>
      </c>
      <c r="E109" s="15">
        <f>IF(F3="1",SUMIF(Data!$A:$A,$A$2,Data!IN:IN),0)</f>
        <v>0</v>
      </c>
      <c r="F109" s="47">
        <f>SUM(C109:E109)</f>
        <v>1996427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60053</v>
      </c>
      <c r="E117" s="52"/>
      <c r="F117" s="49">
        <f>SUM(C117:E117)</f>
        <v>60053</v>
      </c>
    </row>
    <row r="118" spans="1:6" x14ac:dyDescent="0.2">
      <c r="B118" s="13" t="s">
        <v>35</v>
      </c>
      <c r="C118" s="4">
        <f>SUM(C109:C116)</f>
        <v>1996427</v>
      </c>
      <c r="D118" s="4">
        <f>SUM(D109:D116)</f>
        <v>0</v>
      </c>
      <c r="E118" s="4">
        <f>SUM(E109:E116)</f>
        <v>0</v>
      </c>
      <c r="F118" s="4">
        <f>SUM(F109:F116)</f>
        <v>1996427</v>
      </c>
    </row>
    <row r="119" spans="1:6" ht="15" thickBot="1" x14ac:dyDescent="0.25"/>
    <row r="120" spans="1:6" ht="15" thickBot="1" x14ac:dyDescent="0.25">
      <c r="B120" s="55" t="s">
        <v>934</v>
      </c>
      <c r="C120" s="53"/>
      <c r="D120" s="53"/>
      <c r="E120" s="53">
        <f>IF(F3="1",SUMIF(Data!A:A,'49'!$A$2,Data!AM:AM),0)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417</v>
      </c>
      <c r="B2" s="58" t="str">
        <f>VLOOKUP(A2,Data!A:G,7,0)</f>
        <v>Wharton County Junior College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16048</v>
      </c>
      <c r="E5" s="15">
        <f>E36+E67+IFERROR($E$105/$D$105*D5,0)</f>
        <v>153181.67398433082</v>
      </c>
      <c r="F5" s="20">
        <f>IF(OR(D5=0,E5=0),"",ROUND(E5/D5,2))</f>
        <v>9.5500000000000007</v>
      </c>
    </row>
    <row r="6" spans="1:6" x14ac:dyDescent="0.2">
      <c r="A6" s="19">
        <v>2</v>
      </c>
      <c r="B6" s="181" t="s">
        <v>1</v>
      </c>
      <c r="C6" s="182"/>
      <c r="D6" s="14">
        <f t="shared" ref="D6:D32" si="0">D37</f>
        <v>26668</v>
      </c>
      <c r="E6" s="17">
        <f t="shared" ref="E6:E32" si="1">E37+E68+IFERROR($E$105/$D$105*D6,0)</f>
        <v>256316.4876504321</v>
      </c>
      <c r="F6" s="21">
        <f t="shared" ref="F6:F33" si="2">IF(OR(D6=0,E6=0),"",ROUND(E6/D6,2))</f>
        <v>9.61</v>
      </c>
    </row>
    <row r="7" spans="1:6" ht="14.25" customHeight="1" x14ac:dyDescent="0.2">
      <c r="A7" s="19">
        <v>3</v>
      </c>
      <c r="B7" s="181" t="s">
        <v>2</v>
      </c>
      <c r="C7" s="182"/>
      <c r="D7" s="14">
        <f t="shared" si="0"/>
        <v>265168</v>
      </c>
      <c r="E7" s="17">
        <f t="shared" si="1"/>
        <v>1665183.9979484694</v>
      </c>
      <c r="F7" s="21">
        <f t="shared" si="2"/>
        <v>6.28</v>
      </c>
    </row>
    <row r="8" spans="1:6" ht="14.25" customHeight="1" x14ac:dyDescent="0.2">
      <c r="A8" s="19">
        <v>4</v>
      </c>
      <c r="B8" s="181" t="s">
        <v>3</v>
      </c>
      <c r="C8" s="182"/>
      <c r="D8" s="14">
        <f t="shared" si="0"/>
        <v>108701</v>
      </c>
      <c r="E8" s="17">
        <f t="shared" si="1"/>
        <v>624255.22281721991</v>
      </c>
      <c r="F8" s="21">
        <f t="shared" si="2"/>
        <v>5.74</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2240</v>
      </c>
      <c r="E10" s="17">
        <f t="shared" si="1"/>
        <v>16610.523786446975</v>
      </c>
      <c r="F10" s="21">
        <f t="shared" si="2"/>
        <v>7.42</v>
      </c>
    </row>
    <row r="11" spans="1:6" x14ac:dyDescent="0.2">
      <c r="A11" s="19">
        <v>7</v>
      </c>
      <c r="B11" s="181" t="s">
        <v>6</v>
      </c>
      <c r="C11" s="182"/>
      <c r="D11" s="14">
        <f t="shared" si="0"/>
        <v>92371</v>
      </c>
      <c r="E11" s="17">
        <f t="shared" si="1"/>
        <v>773050.51592763106</v>
      </c>
      <c r="F11" s="21">
        <f t="shared" si="2"/>
        <v>8.3699999999999992</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110584</v>
      </c>
      <c r="E13" s="17">
        <f t="shared" si="1"/>
        <v>718812.74750020192</v>
      </c>
      <c r="F13" s="21">
        <f t="shared" si="2"/>
        <v>6.5</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31624</v>
      </c>
      <c r="E15" s="17">
        <f t="shared" si="1"/>
        <v>291072.53402794607</v>
      </c>
      <c r="F15" s="21">
        <f t="shared" si="2"/>
        <v>9.1999999999999993</v>
      </c>
    </row>
    <row r="16" spans="1:6" ht="14.25" customHeight="1" x14ac:dyDescent="0.2">
      <c r="A16" s="19">
        <v>12</v>
      </c>
      <c r="B16" s="181" t="s">
        <v>11</v>
      </c>
      <c r="C16" s="182"/>
      <c r="D16" s="14">
        <f t="shared" si="0"/>
        <v>387058</v>
      </c>
      <c r="E16" s="17">
        <f t="shared" si="1"/>
        <v>2638925.2632743716</v>
      </c>
      <c r="F16" s="21">
        <f t="shared" si="2"/>
        <v>6.82</v>
      </c>
    </row>
    <row r="17" spans="1:6" x14ac:dyDescent="0.2">
      <c r="A17" s="19">
        <v>13</v>
      </c>
      <c r="B17" s="181" t="s">
        <v>12</v>
      </c>
      <c r="C17" s="182"/>
      <c r="D17" s="14">
        <f t="shared" si="0"/>
        <v>26288</v>
      </c>
      <c r="E17" s="17">
        <f t="shared" si="1"/>
        <v>187103.925579517</v>
      </c>
      <c r="F17" s="21">
        <f t="shared" si="2"/>
        <v>7.12</v>
      </c>
    </row>
    <row r="18" spans="1:6" ht="14.25" customHeight="1" x14ac:dyDescent="0.2">
      <c r="A18" s="19">
        <v>14</v>
      </c>
      <c r="B18" s="181" t="s">
        <v>464</v>
      </c>
      <c r="C18" s="182"/>
      <c r="D18" s="14">
        <f t="shared" si="0"/>
        <v>44594</v>
      </c>
      <c r="E18" s="17">
        <f t="shared" si="1"/>
        <v>441005.95523786446</v>
      </c>
      <c r="F18" s="21">
        <f t="shared" si="2"/>
        <v>9.89</v>
      </c>
    </row>
    <row r="19" spans="1:6" x14ac:dyDescent="0.2">
      <c r="A19" s="19">
        <v>15</v>
      </c>
      <c r="B19" s="181" t="s">
        <v>13</v>
      </c>
      <c r="C19" s="182"/>
      <c r="D19" s="14">
        <f t="shared" si="0"/>
        <v>34096</v>
      </c>
      <c r="E19" s="17">
        <f t="shared" si="1"/>
        <v>417365.77992084646</v>
      </c>
      <c r="F19" s="21">
        <f t="shared" si="2"/>
        <v>12.24</v>
      </c>
    </row>
    <row r="20" spans="1:6" x14ac:dyDescent="0.2">
      <c r="A20" s="19">
        <v>16</v>
      </c>
      <c r="B20" s="181" t="s">
        <v>14</v>
      </c>
      <c r="C20" s="182"/>
      <c r="D20" s="14">
        <f t="shared" si="0"/>
        <v>173225</v>
      </c>
      <c r="E20" s="17">
        <f t="shared" si="1"/>
        <v>1256147.2624586059</v>
      </c>
      <c r="F20" s="21">
        <f t="shared" si="2"/>
        <v>7.25</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73616</v>
      </c>
      <c r="E22" s="17">
        <f t="shared" si="1"/>
        <v>628044.23529601807</v>
      </c>
      <c r="F22" s="21">
        <f t="shared" si="2"/>
        <v>8.5299999999999994</v>
      </c>
    </row>
    <row r="23" spans="1:6" x14ac:dyDescent="0.2">
      <c r="A23" s="19">
        <v>19</v>
      </c>
      <c r="B23" s="181" t="s">
        <v>17</v>
      </c>
      <c r="C23" s="182"/>
      <c r="D23" s="14">
        <f t="shared" si="0"/>
        <v>255616</v>
      </c>
      <c r="E23" s="17">
        <f t="shared" si="1"/>
        <v>1360316.5429448348</v>
      </c>
      <c r="F23" s="21">
        <f t="shared" si="2"/>
        <v>5.32</v>
      </c>
    </row>
    <row r="24" spans="1:6" x14ac:dyDescent="0.2">
      <c r="A24" s="19">
        <v>20</v>
      </c>
      <c r="B24" s="181" t="s">
        <v>18</v>
      </c>
      <c r="C24" s="182"/>
      <c r="D24" s="14">
        <f t="shared" si="0"/>
        <v>19941</v>
      </c>
      <c r="E24" s="17">
        <f t="shared" si="1"/>
        <v>176703.09277925856</v>
      </c>
      <c r="F24" s="21">
        <f t="shared" si="2"/>
        <v>8.86</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490</v>
      </c>
      <c r="E26" s="17">
        <f t="shared" si="1"/>
        <v>7468.6458282852755</v>
      </c>
      <c r="F26" s="21">
        <f t="shared" si="2"/>
        <v>15.24</v>
      </c>
    </row>
    <row r="27" spans="1:6" x14ac:dyDescent="0.2">
      <c r="A27" s="19">
        <v>23</v>
      </c>
      <c r="B27" s="181" t="s">
        <v>20</v>
      </c>
      <c r="C27" s="182"/>
      <c r="D27" s="14">
        <f t="shared" si="0"/>
        <v>37248</v>
      </c>
      <c r="E27" s="17">
        <f t="shared" si="1"/>
        <v>221796.45267748969</v>
      </c>
      <c r="F27" s="21">
        <f t="shared" si="2"/>
        <v>5.95</v>
      </c>
    </row>
    <row r="28" spans="1:6" x14ac:dyDescent="0.2">
      <c r="A28" s="19">
        <v>24</v>
      </c>
      <c r="B28" s="181" t="s">
        <v>21</v>
      </c>
      <c r="C28" s="182"/>
      <c r="D28" s="14">
        <f t="shared" si="0"/>
        <v>106400</v>
      </c>
      <c r="E28" s="17">
        <f t="shared" si="1"/>
        <v>845129.37985623139</v>
      </c>
      <c r="F28" s="21">
        <f t="shared" si="2"/>
        <v>7.94</v>
      </c>
    </row>
    <row r="29" spans="1:6" x14ac:dyDescent="0.2">
      <c r="A29" s="19">
        <v>25</v>
      </c>
      <c r="B29" s="181" t="s">
        <v>22</v>
      </c>
      <c r="C29" s="182"/>
      <c r="D29" s="14">
        <f t="shared" si="0"/>
        <v>471264</v>
      </c>
      <c r="E29" s="17">
        <f t="shared" si="1"/>
        <v>2596757.9257572088</v>
      </c>
      <c r="F29" s="21">
        <f t="shared" si="2"/>
        <v>5.51</v>
      </c>
    </row>
    <row r="30" spans="1:6" x14ac:dyDescent="0.2">
      <c r="A30" s="19">
        <v>26</v>
      </c>
      <c r="B30" s="181" t="s">
        <v>23</v>
      </c>
      <c r="C30" s="182"/>
      <c r="D30" s="14">
        <f t="shared" si="0"/>
        <v>69150</v>
      </c>
      <c r="E30" s="17">
        <f t="shared" si="1"/>
        <v>551655.83474678942</v>
      </c>
      <c r="F30" s="21">
        <f t="shared" si="2"/>
        <v>7.98</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2352390</v>
      </c>
      <c r="E33" s="31">
        <f>SUM(E5:E32)</f>
        <v>15826904.000000002</v>
      </c>
      <c r="F33" s="32">
        <f t="shared" si="2"/>
        <v>6.73</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IF(F3="1",SUMIF(Data!A:A,'50'!$A$2,Data!CU:CU),0)</f>
        <v>16048</v>
      </c>
      <c r="E36" s="15">
        <f>IF(F3="1",SUMIF(Data!$A:$A,$A$2,Data!IO:IO),0)</f>
        <v>14223</v>
      </c>
      <c r="F36" s="20">
        <f t="shared" ref="F36:F64" si="3">IF(OR(D36=0,E36=0),"",ROUND(E36/D36,2))</f>
        <v>0.89</v>
      </c>
    </row>
    <row r="37" spans="1:6" x14ac:dyDescent="0.2">
      <c r="A37" s="19">
        <v>2</v>
      </c>
      <c r="B37" s="181" t="s">
        <v>1</v>
      </c>
      <c r="C37" s="182"/>
      <c r="D37" s="14">
        <f>IF(F3="1",SUMIF(Data!A:A,'50'!$A$2,Data!CV:CV),0)</f>
        <v>26668</v>
      </c>
      <c r="E37" s="17">
        <f>IF(F3="1",SUMIF(Data!$A:$A,$A$2,Data!IP:IP),0)</f>
        <v>27156</v>
      </c>
      <c r="F37" s="21">
        <f t="shared" si="3"/>
        <v>1.02</v>
      </c>
    </row>
    <row r="38" spans="1:6" ht="14.25" customHeight="1" x14ac:dyDescent="0.2">
      <c r="A38" s="19">
        <v>3</v>
      </c>
      <c r="B38" s="181" t="s">
        <v>2</v>
      </c>
      <c r="C38" s="182"/>
      <c r="D38" s="14">
        <f>IF(F3="1",SUMIF(Data!A:A,'50'!$A$2,Data!CW:CW),0)</f>
        <v>265168</v>
      </c>
      <c r="E38" s="17">
        <f>IF($F$3="1",SUMIF(Data!$A:$A,$A$2,Data!IQ:IQ),0)</f>
        <v>67876</v>
      </c>
      <c r="F38" s="21">
        <f t="shared" si="3"/>
        <v>0.26</v>
      </c>
    </row>
    <row r="39" spans="1:6" ht="14.25" customHeight="1" x14ac:dyDescent="0.2">
      <c r="A39" s="19">
        <v>4</v>
      </c>
      <c r="B39" s="181" t="s">
        <v>3</v>
      </c>
      <c r="C39" s="182"/>
      <c r="D39" s="14">
        <f>IF(F3="1",SUMIF(Data!A:A,'50'!$A$2,Data!CX:CX),0)</f>
        <v>108701</v>
      </c>
      <c r="E39" s="17">
        <f>IF($F$3="1",SUMIF(Data!$A:$A,$A$2,Data!IR:IR),0)</f>
        <v>23646</v>
      </c>
      <c r="F39" s="21">
        <f t="shared" si="3"/>
        <v>0.22</v>
      </c>
    </row>
    <row r="40" spans="1:6" x14ac:dyDescent="0.2">
      <c r="A40" s="19">
        <v>5</v>
      </c>
      <c r="B40" s="181" t="s">
        <v>4</v>
      </c>
      <c r="C40" s="182"/>
      <c r="D40" s="14">
        <f>IF(F3="1",SUMIF(Data!A:A,'50'!$A$2,Data!CY:CY),0)</f>
        <v>0</v>
      </c>
      <c r="E40" s="17">
        <f>IF($F$3="1",SUMIF(Data!$A:$A,$A$2,Data!IS:IS),0)</f>
        <v>0</v>
      </c>
      <c r="F40" s="21" t="str">
        <f t="shared" si="3"/>
        <v/>
      </c>
    </row>
    <row r="41" spans="1:6" x14ac:dyDescent="0.2">
      <c r="A41" s="19">
        <v>6</v>
      </c>
      <c r="B41" s="181" t="s">
        <v>5</v>
      </c>
      <c r="C41" s="182"/>
      <c r="D41" s="14">
        <f>IF(F3="1",SUMIF(Data!A:A,'50'!$A$2,Data!CZ:CZ),0)</f>
        <v>2240</v>
      </c>
      <c r="E41" s="17">
        <f>IF($F$3="1",SUMIF(Data!$A:$A,$A$2,Data!IT:IT),0)</f>
        <v>981</v>
      </c>
      <c r="F41" s="21">
        <f t="shared" si="3"/>
        <v>0.44</v>
      </c>
    </row>
    <row r="42" spans="1:6" x14ac:dyDescent="0.2">
      <c r="A42" s="19">
        <v>7</v>
      </c>
      <c r="B42" s="181" t="s">
        <v>6</v>
      </c>
      <c r="C42" s="182"/>
      <c r="D42" s="14">
        <f>IF(F3="1",SUMIF(Data!A:A,'50'!$A$2,Data!DA:DA),0)</f>
        <v>92371</v>
      </c>
      <c r="E42" s="17">
        <f>IF($F$3="1",SUMIF(Data!$A:$A,$A$2,Data!IU:IU),0)</f>
        <v>79889</v>
      </c>
      <c r="F42" s="21">
        <f t="shared" si="3"/>
        <v>0.86</v>
      </c>
    </row>
    <row r="43" spans="1:6" x14ac:dyDescent="0.2">
      <c r="A43" s="19">
        <v>8</v>
      </c>
      <c r="B43" s="181" t="s">
        <v>7</v>
      </c>
      <c r="C43" s="182"/>
      <c r="D43" s="14">
        <f>IF(F3="1",SUMIF(Data!A:A,'50'!$A$2,Data!DB:DB),0)</f>
        <v>0</v>
      </c>
      <c r="E43" s="17">
        <f>IF($F$3="1",SUMIF(Data!$A:$A,$A$2,Data!IV:IV),0)</f>
        <v>0</v>
      </c>
      <c r="F43" s="21" t="str">
        <f t="shared" si="3"/>
        <v/>
      </c>
    </row>
    <row r="44" spans="1:6" x14ac:dyDescent="0.2">
      <c r="A44" s="19">
        <v>9</v>
      </c>
      <c r="B44" s="181" t="s">
        <v>8</v>
      </c>
      <c r="C44" s="182"/>
      <c r="D44" s="14">
        <f>IF(F3="1",SUMIF(Data!A:A,'50'!$A$2,Data!DC:DC),0)</f>
        <v>110584</v>
      </c>
      <c r="E44" s="17">
        <f>IF($F$3="1",SUMIF(Data!$A:$A,$A$2,Data!IW:IW),0)</f>
        <v>42119</v>
      </c>
      <c r="F44" s="21">
        <f t="shared" si="3"/>
        <v>0.38</v>
      </c>
    </row>
    <row r="45" spans="1:6" x14ac:dyDescent="0.2">
      <c r="A45" s="19">
        <v>10</v>
      </c>
      <c r="B45" s="181" t="s">
        <v>9</v>
      </c>
      <c r="C45" s="182"/>
      <c r="D45" s="14">
        <f>IF(F3="1",SUMIF(Data!A:A,'50'!$A$2,Data!DD:DD),0)</f>
        <v>0</v>
      </c>
      <c r="E45" s="17">
        <f>IF($F$3="1",SUMIF(Data!$A:$A,$A$2,Data!IX:IX),0)</f>
        <v>0</v>
      </c>
      <c r="F45" s="21" t="str">
        <f t="shared" si="3"/>
        <v/>
      </c>
    </row>
    <row r="46" spans="1:6" x14ac:dyDescent="0.2">
      <c r="A46" s="19">
        <v>11</v>
      </c>
      <c r="B46" s="181" t="s">
        <v>10</v>
      </c>
      <c r="C46" s="182"/>
      <c r="D46" s="14">
        <f>IF(F3="1",SUMIF(Data!A:A,'50'!$A$2,Data!DE:DE),0)</f>
        <v>31624</v>
      </c>
      <c r="E46" s="17">
        <f>IF($F$3="1",SUMIF(Data!$A:$A,$A$2,Data!IY:IY),0)</f>
        <v>12818</v>
      </c>
      <c r="F46" s="21">
        <f t="shared" si="3"/>
        <v>0.41</v>
      </c>
    </row>
    <row r="47" spans="1:6" ht="14.25" customHeight="1" x14ac:dyDescent="0.2">
      <c r="A47" s="19">
        <v>12</v>
      </c>
      <c r="B47" s="181" t="s">
        <v>11</v>
      </c>
      <c r="C47" s="182"/>
      <c r="D47" s="14">
        <f>IF(F3="1",SUMIF(Data!A:A,'50'!$A$2,Data!DF:DF),0)</f>
        <v>387058</v>
      </c>
      <c r="E47" s="17">
        <f>IF($F$3="1",SUMIF(Data!$A:$A,$A$2,Data!IZ:IZ),0)</f>
        <v>60622</v>
      </c>
      <c r="F47" s="21">
        <f t="shared" si="3"/>
        <v>0.16</v>
      </c>
    </row>
    <row r="48" spans="1:6" x14ac:dyDescent="0.2">
      <c r="A48" s="19">
        <v>13</v>
      </c>
      <c r="B48" s="181" t="s">
        <v>12</v>
      </c>
      <c r="C48" s="182"/>
      <c r="D48" s="14">
        <f>IF(F3="1",SUMIF(Data!A:A,'50'!$A$2,Data!DG:DG),0)</f>
        <v>26288</v>
      </c>
      <c r="E48" s="17">
        <f>IF($F$3="1",SUMIF(Data!$A:$A,$A$2,Data!JA:JA),0)</f>
        <v>16428</v>
      </c>
      <c r="F48" s="21">
        <f t="shared" si="3"/>
        <v>0.62</v>
      </c>
    </row>
    <row r="49" spans="1:6" ht="14.25" customHeight="1" x14ac:dyDescent="0.2">
      <c r="A49" s="19">
        <v>14</v>
      </c>
      <c r="B49" s="181" t="s">
        <v>464</v>
      </c>
      <c r="C49" s="182"/>
      <c r="D49" s="14">
        <f>IF(F3="1",SUMIF(Data!A:A,'50'!$A$2,Data!DH:DH),0)</f>
        <v>44594</v>
      </c>
      <c r="E49" s="17">
        <f>IF($F$3="1",SUMIF(Data!$A:$A,$A$2,Data!JB:JB),0)</f>
        <v>22216</v>
      </c>
      <c r="F49" s="21">
        <f t="shared" si="3"/>
        <v>0.5</v>
      </c>
    </row>
    <row r="50" spans="1:6" x14ac:dyDescent="0.2">
      <c r="A50" s="19">
        <v>15</v>
      </c>
      <c r="B50" s="181" t="s">
        <v>13</v>
      </c>
      <c r="C50" s="182"/>
      <c r="D50" s="14">
        <f>IF(F3="1",SUMIF(Data!A:A,'50'!$A$2,Data!DI:DI),0)</f>
        <v>34096</v>
      </c>
      <c r="E50" s="17">
        <f>IF($F$3="1",SUMIF(Data!$A:$A,$A$2,Data!JC:JC),0)</f>
        <v>52547</v>
      </c>
      <c r="F50" s="21">
        <f t="shared" si="3"/>
        <v>1.54</v>
      </c>
    </row>
    <row r="51" spans="1:6" x14ac:dyDescent="0.2">
      <c r="A51" s="19">
        <v>16</v>
      </c>
      <c r="B51" s="181" t="s">
        <v>14</v>
      </c>
      <c r="C51" s="182"/>
      <c r="D51" s="14">
        <f>IF(F3="1",SUMIF(Data!A:A,'50'!$A$2,Data!DJ:DJ),0)</f>
        <v>173225</v>
      </c>
      <c r="E51" s="17">
        <f>IF($F$3="1",SUMIF(Data!$A:$A,$A$2,Data!JD:JD),0)</f>
        <v>199223</v>
      </c>
      <c r="F51" s="21">
        <f t="shared" si="3"/>
        <v>1.1499999999999999</v>
      </c>
    </row>
    <row r="52" spans="1:6" x14ac:dyDescent="0.2">
      <c r="A52" s="19">
        <v>17</v>
      </c>
      <c r="B52" s="181" t="s">
        <v>15</v>
      </c>
      <c r="C52" s="182"/>
      <c r="D52" s="14">
        <f>IF(F3="1",SUMIF(Data!A:A,'50'!$A$2,Data!DK:DK),0)</f>
        <v>0</v>
      </c>
      <c r="E52" s="17">
        <f>IF($F$3="1",SUMIF(Data!$A:$A,$A$2,Data!JE:JE),0)</f>
        <v>0</v>
      </c>
      <c r="F52" s="21" t="str">
        <f t="shared" si="3"/>
        <v/>
      </c>
    </row>
    <row r="53" spans="1:6" x14ac:dyDescent="0.2">
      <c r="A53" s="19">
        <v>18</v>
      </c>
      <c r="B53" s="181" t="s">
        <v>16</v>
      </c>
      <c r="C53" s="182"/>
      <c r="D53" s="14">
        <f>IF(F3="1",SUMIF(Data!A:A,'50'!$A$2,Data!DL:DL),0)</f>
        <v>73616</v>
      </c>
      <c r="E53" s="17">
        <f>IF($F$3="1",SUMIF(Data!$A:$A,$A$2,Data!JF:JF),0)</f>
        <v>41757</v>
      </c>
      <c r="F53" s="21">
        <f t="shared" si="3"/>
        <v>0.56999999999999995</v>
      </c>
    </row>
    <row r="54" spans="1:6" x14ac:dyDescent="0.2">
      <c r="A54" s="19">
        <v>19</v>
      </c>
      <c r="B54" s="181" t="s">
        <v>17</v>
      </c>
      <c r="C54" s="182"/>
      <c r="D54" s="14">
        <f>IF(F3="1",SUMIF(Data!A:A,'50'!$A$2,Data!DM:DM),0)</f>
        <v>255616</v>
      </c>
      <c r="E54" s="17">
        <f>IF($F$3="1",SUMIF(Data!$A:$A,$A$2,Data!JG:JG),0)</f>
        <v>4922</v>
      </c>
      <c r="F54" s="21">
        <f t="shared" si="3"/>
        <v>0.02</v>
      </c>
    </row>
    <row r="55" spans="1:6" x14ac:dyDescent="0.2">
      <c r="A55" s="19">
        <v>20</v>
      </c>
      <c r="B55" s="181" t="s">
        <v>18</v>
      </c>
      <c r="C55" s="182"/>
      <c r="D55" s="14">
        <f>IF(F3="1",SUMIF(Data!A:A,'50'!$A$2,Data!DN:DN),0)</f>
        <v>19941</v>
      </c>
      <c r="E55" s="17">
        <f>IF($F$3="1",SUMIF(Data!$A:$A,$A$2,Data!JH:JH),0)</f>
        <v>10768</v>
      </c>
      <c r="F55" s="21">
        <f t="shared" si="3"/>
        <v>0.54</v>
      </c>
    </row>
    <row r="56" spans="1:6" ht="14.25" customHeight="1" x14ac:dyDescent="0.2">
      <c r="A56" s="19">
        <v>21</v>
      </c>
      <c r="B56" s="181" t="s">
        <v>461</v>
      </c>
      <c r="C56" s="182"/>
      <c r="D56" s="14">
        <f>IF(F3="1",SUMIF(Data!A:A,'50'!$A$2,Data!DO:DO),0)</f>
        <v>0</v>
      </c>
      <c r="E56" s="17">
        <f>IF($F$3="1",SUMIF(Data!$A:$A,$A$2,Data!JI:JI),0)</f>
        <v>0</v>
      </c>
      <c r="F56" s="21" t="str">
        <f t="shared" si="3"/>
        <v/>
      </c>
    </row>
    <row r="57" spans="1:6" x14ac:dyDescent="0.2">
      <c r="A57" s="19">
        <v>22</v>
      </c>
      <c r="B57" s="181" t="s">
        <v>19</v>
      </c>
      <c r="C57" s="182"/>
      <c r="D57" s="14">
        <f>IF(F3="1",SUMIF(Data!A:A,'50'!$A$2,Data!DP:DP),0)</f>
        <v>490</v>
      </c>
      <c r="E57" s="17">
        <f>IF($F$3="1",SUMIF(Data!$A:$A,$A$2,Data!JJ:JJ),0)</f>
        <v>3489</v>
      </c>
      <c r="F57" s="21">
        <f t="shared" si="3"/>
        <v>7.12</v>
      </c>
    </row>
    <row r="58" spans="1:6" x14ac:dyDescent="0.2">
      <c r="A58" s="19">
        <v>23</v>
      </c>
      <c r="B58" s="181" t="s">
        <v>20</v>
      </c>
      <c r="C58" s="182"/>
      <c r="D58" s="14">
        <f>IF(F3="1",SUMIF(Data!A:A,'50'!$A$2,Data!DQ:DQ),0)</f>
        <v>37248</v>
      </c>
      <c r="E58" s="17">
        <f>IF($F$3="1",SUMIF(Data!$A:$A,$A$2,Data!JK:JK),0)</f>
        <v>16046</v>
      </c>
      <c r="F58" s="21">
        <f t="shared" si="3"/>
        <v>0.43</v>
      </c>
    </row>
    <row r="59" spans="1:6" x14ac:dyDescent="0.2">
      <c r="A59" s="19">
        <v>24</v>
      </c>
      <c r="B59" s="181" t="s">
        <v>21</v>
      </c>
      <c r="C59" s="182"/>
      <c r="D59" s="14">
        <f>IF(F3="1",SUMIF(Data!A:A,'50'!$A$2,Data!DR:DR),0)</f>
        <v>106400</v>
      </c>
      <c r="E59" s="17">
        <f>IF($F$3="1",SUMIF(Data!$A:$A,$A$2,Data!JL:JL),0)</f>
        <v>213596</v>
      </c>
      <c r="F59" s="21">
        <f t="shared" si="3"/>
        <v>2.0099999999999998</v>
      </c>
    </row>
    <row r="60" spans="1:6" x14ac:dyDescent="0.2">
      <c r="A60" s="19">
        <v>25</v>
      </c>
      <c r="B60" s="181" t="s">
        <v>22</v>
      </c>
      <c r="C60" s="182"/>
      <c r="D60" s="14">
        <f>IF(F3="1",SUMIF(Data!A:A,'50'!$A$2,Data!DS:DS),0)</f>
        <v>471264</v>
      </c>
      <c r="E60" s="17">
        <f>IF($F$3="1",SUMIF(Data!$A:$A,$A$2,Data!JM:JM),0)</f>
        <v>22788</v>
      </c>
      <c r="F60" s="21">
        <f t="shared" si="3"/>
        <v>0.05</v>
      </c>
    </row>
    <row r="61" spans="1:6" x14ac:dyDescent="0.2">
      <c r="A61" s="19">
        <v>26</v>
      </c>
      <c r="B61" s="181" t="s">
        <v>23</v>
      </c>
      <c r="C61" s="182"/>
      <c r="D61" s="14">
        <f>IF(F3="1",SUMIF(Data!A:A,'50'!$A$2,Data!DT:DT),0)</f>
        <v>69150</v>
      </c>
      <c r="E61" s="17">
        <f>IF($F$3="1",SUMIF(Data!$A:$A,$A$2,Data!JN:JN),0)</f>
        <v>40984</v>
      </c>
      <c r="F61" s="21">
        <f t="shared" si="3"/>
        <v>0.59</v>
      </c>
    </row>
    <row r="62" spans="1:6" x14ac:dyDescent="0.2">
      <c r="A62" s="19">
        <v>28</v>
      </c>
      <c r="B62" s="181" t="s">
        <v>24</v>
      </c>
      <c r="C62" s="182"/>
      <c r="D62" s="14">
        <f>IF(F3="1",SUMIF(Data!A:A,'50'!$A$2,Data!DV:DV),0)</f>
        <v>0</v>
      </c>
      <c r="E62" s="17">
        <f>IF($F$3="1",SUMIF(Data!$A:$A,$A$2,Data!JP:JP),0)</f>
        <v>0</v>
      </c>
      <c r="F62" s="21" t="str">
        <f t="shared" si="3"/>
        <v/>
      </c>
    </row>
    <row r="63" spans="1:6" ht="15.75" customHeight="1" thickBot="1" x14ac:dyDescent="0.25">
      <c r="A63" s="22">
        <v>29</v>
      </c>
      <c r="B63" s="183" t="s">
        <v>25</v>
      </c>
      <c r="C63" s="184"/>
      <c r="D63" s="23">
        <f>IF(F3="1",SUMIF(Data!A:A,'50'!$A$2,Data!DW:DW),0)</f>
        <v>0</v>
      </c>
      <c r="E63" s="24">
        <f>IF($F$3="1",SUMIF(Data!$A:$A,$A$2,Data!JQ:JQ),0)</f>
        <v>0</v>
      </c>
      <c r="F63" s="25" t="str">
        <f t="shared" si="3"/>
        <v/>
      </c>
    </row>
    <row r="64" spans="1:6" x14ac:dyDescent="0.2">
      <c r="B64" s="30" t="s">
        <v>35</v>
      </c>
      <c r="C64" s="30"/>
      <c r="D64" s="59">
        <f>SUM(D36:D63)</f>
        <v>2352390</v>
      </c>
      <c r="E64" s="31">
        <f>SUM(E36:E63)</f>
        <v>974094</v>
      </c>
      <c r="F64" s="32">
        <f t="shared" si="3"/>
        <v>0.41</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16048</v>
      </c>
      <c r="E67" s="15">
        <f>IF(F3="1",SUMIF(Data!A:A,'50'!$A$2,Data!DY:DY),0)</f>
        <v>82049</v>
      </c>
      <c r="F67" s="20">
        <f t="shared" ref="F67:F95" si="4">IF(OR(D67=0,E67=0),"",ROUND(E67/D67,2))</f>
        <v>5.1100000000000003</v>
      </c>
    </row>
    <row r="68" spans="1:6" x14ac:dyDescent="0.2">
      <c r="A68" s="19">
        <v>2</v>
      </c>
      <c r="B68" s="181" t="s">
        <v>1</v>
      </c>
      <c r="C68" s="182"/>
      <c r="D68" s="14">
        <f t="shared" ref="D68:D94" si="5">D37</f>
        <v>26668</v>
      </c>
      <c r="E68" s="17">
        <f>IF(F3="1",SUMIF(Data!A:A,'50'!$A$2,Data!DZ:DZ),0)</f>
        <v>134590</v>
      </c>
      <c r="F68" s="21">
        <f t="shared" si="4"/>
        <v>5.05</v>
      </c>
    </row>
    <row r="69" spans="1:6" ht="14.25" customHeight="1" x14ac:dyDescent="0.2">
      <c r="A69" s="19">
        <v>3</v>
      </c>
      <c r="B69" s="181" t="s">
        <v>2</v>
      </c>
      <c r="C69" s="182"/>
      <c r="D69" s="14">
        <f t="shared" si="5"/>
        <v>265168</v>
      </c>
      <c r="E69" s="17">
        <f>IF(F3="1",SUMIF(Data!A:A,'50'!$A$2,Data!EA:EA),0)</f>
        <v>656965</v>
      </c>
      <c r="F69" s="21">
        <f t="shared" si="4"/>
        <v>2.48</v>
      </c>
    </row>
    <row r="70" spans="1:6" ht="14.25" customHeight="1" x14ac:dyDescent="0.2">
      <c r="A70" s="19">
        <v>4</v>
      </c>
      <c r="B70" s="181" t="s">
        <v>3</v>
      </c>
      <c r="C70" s="182"/>
      <c r="D70" s="14">
        <f t="shared" si="5"/>
        <v>108701</v>
      </c>
      <c r="E70" s="17">
        <f>IF(F3="1",SUMIF(Data!A:A,'50'!$A$2,Data!EB:EB),0)</f>
        <v>215132</v>
      </c>
      <c r="F70" s="21">
        <f t="shared" si="4"/>
        <v>1.98</v>
      </c>
    </row>
    <row r="71" spans="1:6" x14ac:dyDescent="0.2">
      <c r="A71" s="19">
        <v>5</v>
      </c>
      <c r="B71" s="181" t="s">
        <v>4</v>
      </c>
      <c r="C71" s="182"/>
      <c r="D71" s="14">
        <f t="shared" si="5"/>
        <v>0</v>
      </c>
      <c r="E71" s="17">
        <f>IF(F3="1",SUMIF(Data!A:A,'50'!$A$2,Data!EC:EC),0)</f>
        <v>0</v>
      </c>
      <c r="F71" s="21" t="str">
        <f t="shared" si="4"/>
        <v/>
      </c>
    </row>
    <row r="72" spans="1:6" x14ac:dyDescent="0.2">
      <c r="A72" s="19">
        <v>6</v>
      </c>
      <c r="B72" s="181" t="s">
        <v>5</v>
      </c>
      <c r="C72" s="182"/>
      <c r="D72" s="14">
        <f t="shared" si="5"/>
        <v>2240</v>
      </c>
      <c r="E72" s="17">
        <f>IF(F3="1",SUMIF(Data!A:A,'50'!$A$2,Data!ED:ED),0)</f>
        <v>7686</v>
      </c>
      <c r="F72" s="21">
        <f t="shared" si="4"/>
        <v>3.43</v>
      </c>
    </row>
    <row r="73" spans="1:6" x14ac:dyDescent="0.2">
      <c r="A73" s="19">
        <v>7</v>
      </c>
      <c r="B73" s="181" t="s">
        <v>6</v>
      </c>
      <c r="C73" s="182"/>
      <c r="D73" s="14">
        <f t="shared" si="5"/>
        <v>92371</v>
      </c>
      <c r="E73" s="17">
        <f>IF(F3="1",SUMIF(Data!A:A,'50'!$A$2,Data!EE:EE),0)</f>
        <v>365594</v>
      </c>
      <c r="F73" s="21">
        <f t="shared" si="4"/>
        <v>3.96</v>
      </c>
    </row>
    <row r="74" spans="1:6" x14ac:dyDescent="0.2">
      <c r="A74" s="19">
        <v>8</v>
      </c>
      <c r="B74" s="181" t="s">
        <v>7</v>
      </c>
      <c r="C74" s="182"/>
      <c r="D74" s="14">
        <f t="shared" si="5"/>
        <v>0</v>
      </c>
      <c r="E74" s="17">
        <f>IF(F3="1",SUMIF(Data!A:A,'50'!$A$2,Data!EF:EF),0)</f>
        <v>0</v>
      </c>
      <c r="F74" s="21" t="str">
        <f t="shared" si="4"/>
        <v/>
      </c>
    </row>
    <row r="75" spans="1:6" x14ac:dyDescent="0.2">
      <c r="A75" s="19">
        <v>9</v>
      </c>
      <c r="B75" s="181" t="s">
        <v>8</v>
      </c>
      <c r="C75" s="182"/>
      <c r="D75" s="14">
        <f t="shared" si="5"/>
        <v>110584</v>
      </c>
      <c r="E75" s="17">
        <f>IF(F3="1",SUMIF(Data!A:A,'50'!$A$2,Data!EG:EG),0)</f>
        <v>284539</v>
      </c>
      <c r="F75" s="21">
        <f t="shared" si="4"/>
        <v>2.57</v>
      </c>
    </row>
    <row r="76" spans="1:6" x14ac:dyDescent="0.2">
      <c r="A76" s="19">
        <v>10</v>
      </c>
      <c r="B76" s="181" t="s">
        <v>9</v>
      </c>
      <c r="C76" s="182"/>
      <c r="D76" s="14">
        <f t="shared" si="5"/>
        <v>0</v>
      </c>
      <c r="E76" s="17">
        <f>IF(F3="1",SUMIF(Data!A:A,'50'!$A$2,Data!EH:EH),0)</f>
        <v>0</v>
      </c>
      <c r="F76" s="21" t="str">
        <f t="shared" si="4"/>
        <v/>
      </c>
    </row>
    <row r="77" spans="1:6" x14ac:dyDescent="0.2">
      <c r="A77" s="19">
        <v>11</v>
      </c>
      <c r="B77" s="181" t="s">
        <v>10</v>
      </c>
      <c r="C77" s="182"/>
      <c r="D77" s="14">
        <f t="shared" si="5"/>
        <v>31624</v>
      </c>
      <c r="E77" s="17">
        <f>IF(F3="1",SUMIF(Data!A:A,'50'!$A$2,Data!EI:EI),0)</f>
        <v>166109</v>
      </c>
      <c r="F77" s="21">
        <f t="shared" si="4"/>
        <v>5.25</v>
      </c>
    </row>
    <row r="78" spans="1:6" ht="14.25" customHeight="1" x14ac:dyDescent="0.2">
      <c r="A78" s="19">
        <v>12</v>
      </c>
      <c r="B78" s="181" t="s">
        <v>11</v>
      </c>
      <c r="C78" s="182"/>
      <c r="D78" s="14">
        <f t="shared" si="5"/>
        <v>387058</v>
      </c>
      <c r="E78" s="17">
        <f>IF(F3="1",SUMIF(Data!A:A,'50'!$A$2,Data!EJ:EJ),0)</f>
        <v>1205712</v>
      </c>
      <c r="F78" s="21">
        <f t="shared" si="4"/>
        <v>3.12</v>
      </c>
    </row>
    <row r="79" spans="1:6" x14ac:dyDescent="0.2">
      <c r="A79" s="19">
        <v>13</v>
      </c>
      <c r="B79" s="181" t="s">
        <v>12</v>
      </c>
      <c r="C79" s="182"/>
      <c r="D79" s="14">
        <f t="shared" si="5"/>
        <v>26288</v>
      </c>
      <c r="E79" s="17">
        <f>IF(F3="1",SUMIF(Data!A:A,'50'!$A$2,Data!EK:EK),0)</f>
        <v>77453</v>
      </c>
      <c r="F79" s="21">
        <f t="shared" si="4"/>
        <v>2.95</v>
      </c>
    </row>
    <row r="80" spans="1:6" ht="14.25" customHeight="1" x14ac:dyDescent="0.2">
      <c r="A80" s="19">
        <v>14</v>
      </c>
      <c r="B80" s="181" t="s">
        <v>464</v>
      </c>
      <c r="C80" s="182"/>
      <c r="D80" s="14">
        <f t="shared" si="5"/>
        <v>44594</v>
      </c>
      <c r="E80" s="17">
        <f>IF(F3="1",SUMIF(Data!A:A,'50'!$A$2,Data!EL:EL),0)</f>
        <v>260650</v>
      </c>
      <c r="F80" s="21">
        <f t="shared" si="4"/>
        <v>5.84</v>
      </c>
    </row>
    <row r="81" spans="1:6" x14ac:dyDescent="0.2">
      <c r="A81" s="19">
        <v>15</v>
      </c>
      <c r="B81" s="181" t="s">
        <v>13</v>
      </c>
      <c r="C81" s="182"/>
      <c r="D81" s="14">
        <f t="shared" si="5"/>
        <v>34096</v>
      </c>
      <c r="E81" s="17">
        <f>IF(F3="1",SUMIF(Data!A:A,'50'!$A$2,Data!EM:EM),0)</f>
        <v>243907</v>
      </c>
      <c r="F81" s="21">
        <f t="shared" si="4"/>
        <v>7.15</v>
      </c>
    </row>
    <row r="82" spans="1:6" x14ac:dyDescent="0.2">
      <c r="A82" s="19">
        <v>16</v>
      </c>
      <c r="B82" s="181" t="s">
        <v>14</v>
      </c>
      <c r="C82" s="182"/>
      <c r="D82" s="14">
        <f t="shared" si="5"/>
        <v>173225</v>
      </c>
      <c r="E82" s="17">
        <f>IF(F3="1",SUMIF(Data!A:A,'50'!$A$2,Data!EN:EN),0)</f>
        <v>442631</v>
      </c>
      <c r="F82" s="21">
        <f t="shared" si="4"/>
        <v>2.56</v>
      </c>
    </row>
    <row r="83" spans="1:6" x14ac:dyDescent="0.2">
      <c r="A83" s="19">
        <v>17</v>
      </c>
      <c r="B83" s="181" t="s">
        <v>15</v>
      </c>
      <c r="C83" s="182"/>
      <c r="D83" s="14">
        <f t="shared" si="5"/>
        <v>0</v>
      </c>
      <c r="E83" s="17">
        <f>IF(F3="1",SUMIF(Data!A:A,'50'!$A$2,Data!EO:EO),0)</f>
        <v>0</v>
      </c>
      <c r="F83" s="21" t="str">
        <f t="shared" si="4"/>
        <v/>
      </c>
    </row>
    <row r="84" spans="1:6" x14ac:dyDescent="0.2">
      <c r="A84" s="19">
        <v>18</v>
      </c>
      <c r="B84" s="181" t="s">
        <v>16</v>
      </c>
      <c r="C84" s="182"/>
      <c r="D84" s="14">
        <f t="shared" si="5"/>
        <v>73616</v>
      </c>
      <c r="E84" s="17">
        <f>IF(F3="1",SUMIF(Data!A:A,'50'!$A$2,Data!EP:EP),0)</f>
        <v>325229</v>
      </c>
      <c r="F84" s="21">
        <f t="shared" si="4"/>
        <v>4.42</v>
      </c>
    </row>
    <row r="85" spans="1:6" x14ac:dyDescent="0.2">
      <c r="A85" s="19">
        <v>19</v>
      </c>
      <c r="B85" s="181" t="s">
        <v>17</v>
      </c>
      <c r="C85" s="182"/>
      <c r="D85" s="14">
        <f t="shared" si="5"/>
        <v>255616</v>
      </c>
      <c r="E85" s="17">
        <f>IF(F3="1",SUMIF(Data!A:A,'50'!$A$2,Data!EQ:EQ),0)</f>
        <v>448925</v>
      </c>
      <c r="F85" s="21">
        <f t="shared" si="4"/>
        <v>1.76</v>
      </c>
    </row>
    <row r="86" spans="1:6" x14ac:dyDescent="0.2">
      <c r="A86" s="19">
        <v>20</v>
      </c>
      <c r="B86" s="181" t="s">
        <v>18</v>
      </c>
      <c r="C86" s="182"/>
      <c r="D86" s="14">
        <f t="shared" si="5"/>
        <v>19941</v>
      </c>
      <c r="E86" s="17">
        <f>IF(F3="1",SUMIF(Data!A:A,'50'!$A$2,Data!ER:ER),0)</f>
        <v>95220</v>
      </c>
      <c r="F86" s="21">
        <f t="shared" si="4"/>
        <v>4.78</v>
      </c>
    </row>
    <row r="87" spans="1:6" ht="14.25" customHeight="1" x14ac:dyDescent="0.2">
      <c r="A87" s="19">
        <v>21</v>
      </c>
      <c r="B87" s="181" t="s">
        <v>461</v>
      </c>
      <c r="C87" s="182"/>
      <c r="D87" s="14">
        <f t="shared" si="5"/>
        <v>0</v>
      </c>
      <c r="E87" s="17">
        <f>IF(F3="1",SUMIF(Data!A:A,'50'!$A$2,Data!ES:ES),0)</f>
        <v>0</v>
      </c>
      <c r="F87" s="21" t="str">
        <f t="shared" si="4"/>
        <v/>
      </c>
    </row>
    <row r="88" spans="1:6" x14ac:dyDescent="0.2">
      <c r="A88" s="19">
        <v>22</v>
      </c>
      <c r="B88" s="181" t="s">
        <v>19</v>
      </c>
      <c r="C88" s="182"/>
      <c r="D88" s="14">
        <f t="shared" si="5"/>
        <v>490</v>
      </c>
      <c r="E88" s="17">
        <f>IF(F3="1",SUMIF(Data!A:A,'50'!$A$2,Data!ET:ET),0)</f>
        <v>2242</v>
      </c>
      <c r="F88" s="21">
        <f t="shared" si="4"/>
        <v>4.58</v>
      </c>
    </row>
    <row r="89" spans="1:6" x14ac:dyDescent="0.2">
      <c r="A89" s="19">
        <v>23</v>
      </c>
      <c r="B89" s="181" t="s">
        <v>20</v>
      </c>
      <c r="C89" s="182"/>
      <c r="D89" s="14">
        <f t="shared" si="5"/>
        <v>37248</v>
      </c>
      <c r="E89" s="17">
        <f>IF(F3="1",SUMIF(Data!A:A,'50'!$A$2,Data!EU:EU),0)</f>
        <v>73661</v>
      </c>
      <c r="F89" s="21">
        <f t="shared" si="4"/>
        <v>1.98</v>
      </c>
    </row>
    <row r="90" spans="1:6" x14ac:dyDescent="0.2">
      <c r="A90" s="19">
        <v>24</v>
      </c>
      <c r="B90" s="181" t="s">
        <v>21</v>
      </c>
      <c r="C90" s="182"/>
      <c r="D90" s="14">
        <f t="shared" si="5"/>
        <v>106400</v>
      </c>
      <c r="E90" s="17">
        <f>IF(F3="1",SUMIF(Data!A:A,'50'!$A$2,Data!EV:EV),0)</f>
        <v>254216</v>
      </c>
      <c r="F90" s="21">
        <f t="shared" si="4"/>
        <v>2.39</v>
      </c>
    </row>
    <row r="91" spans="1:6" x14ac:dyDescent="0.2">
      <c r="A91" s="19">
        <v>25</v>
      </c>
      <c r="B91" s="181" t="s">
        <v>22</v>
      </c>
      <c r="C91" s="182"/>
      <c r="D91" s="14">
        <f t="shared" si="5"/>
        <v>471264</v>
      </c>
      <c r="E91" s="17">
        <f>IF(F3="1",SUMIF(Data!A:A,'50'!$A$2,Data!EW:EW),0)</f>
        <v>902766</v>
      </c>
      <c r="F91" s="21">
        <f t="shared" si="4"/>
        <v>1.92</v>
      </c>
    </row>
    <row r="92" spans="1:6" x14ac:dyDescent="0.2">
      <c r="A92" s="19">
        <v>26</v>
      </c>
      <c r="B92" s="181" t="s">
        <v>23</v>
      </c>
      <c r="C92" s="182"/>
      <c r="D92" s="14">
        <f t="shared" si="5"/>
        <v>69150</v>
      </c>
      <c r="E92" s="17">
        <f>IF(F3="1",SUMIF(Data!A:A,'50'!$A$2,Data!EX:EX),0)</f>
        <v>265451</v>
      </c>
      <c r="F92" s="21">
        <f t="shared" si="4"/>
        <v>3.84</v>
      </c>
    </row>
    <row r="93" spans="1:6" x14ac:dyDescent="0.2">
      <c r="A93" s="19">
        <v>28</v>
      </c>
      <c r="B93" s="181" t="s">
        <v>24</v>
      </c>
      <c r="C93" s="182"/>
      <c r="D93" s="14">
        <f t="shared" si="5"/>
        <v>0</v>
      </c>
      <c r="E93" s="17">
        <f>IF(F3="1",SUMIF(Data!A:A,'50'!$A$2,Data!EZ:EZ),0)</f>
        <v>0</v>
      </c>
      <c r="F93" s="21" t="str">
        <f t="shared" si="4"/>
        <v/>
      </c>
    </row>
    <row r="94" spans="1:6" ht="15.75" customHeight="1" thickBot="1" x14ac:dyDescent="0.25">
      <c r="A94" s="22">
        <v>29</v>
      </c>
      <c r="B94" s="183" t="s">
        <v>25</v>
      </c>
      <c r="C94" s="184"/>
      <c r="D94" s="23">
        <f t="shared" si="5"/>
        <v>0</v>
      </c>
      <c r="E94" s="24">
        <f>IF(F3="1",SUMIF(Data!A:A,'50'!$A$2,Data!FA:FA),0)</f>
        <v>0</v>
      </c>
      <c r="F94" s="25" t="str">
        <f t="shared" si="4"/>
        <v/>
      </c>
    </row>
    <row r="95" spans="1:6" x14ac:dyDescent="0.2">
      <c r="B95" s="30" t="s">
        <v>35</v>
      </c>
      <c r="C95" s="30"/>
      <c r="D95" s="59">
        <f>SUM(D67:D94)</f>
        <v>2352390</v>
      </c>
      <c r="E95" s="31">
        <f>SUM(E67:E94)</f>
        <v>6510727</v>
      </c>
      <c r="F95" s="32">
        <f t="shared" si="4"/>
        <v>2.77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IF(F3="1",SUMIF(Data!A:A,'50'!$A$2,Data!AH:AH),0)</f>
        <v>4160635</v>
      </c>
      <c r="F98" s="20">
        <f>IF(OR(E98=0,E98=0),"",ROUND(E98/$D$105,2))</f>
        <v>1.77</v>
      </c>
    </row>
    <row r="99" spans="2:6" x14ac:dyDescent="0.2">
      <c r="B99" s="187" t="s">
        <v>31</v>
      </c>
      <c r="C99" s="188"/>
      <c r="D99" s="36"/>
      <c r="E99" s="17">
        <f>IF(F3="1",SUMIF(Data!A:A,'50'!$A$2,Data!AI:AI),0)</f>
        <v>1170337</v>
      </c>
      <c r="F99" s="21">
        <f t="shared" ref="F99:F104" si="6">IF(OR(E99=0,E99=0),"",ROUND(E99/$D$105,2))</f>
        <v>0.5</v>
      </c>
    </row>
    <row r="100" spans="2:6" x14ac:dyDescent="0.2">
      <c r="B100" s="187" t="s">
        <v>1078</v>
      </c>
      <c r="C100" s="188"/>
      <c r="D100" s="36"/>
      <c r="E100" s="17">
        <f>IF(F3="1",SUMIF(Data!A:A,'50'!$A$2,Data!AJ:AJ),0)</f>
        <v>463082</v>
      </c>
      <c r="F100" s="21">
        <f t="shared" si="6"/>
        <v>0.2</v>
      </c>
    </row>
    <row r="101" spans="2:6" x14ac:dyDescent="0.2">
      <c r="B101" s="187" t="s">
        <v>1079</v>
      </c>
      <c r="C101" s="188"/>
      <c r="D101" s="36"/>
      <c r="E101" s="17">
        <f>IF(F3="1",SUMIF(Data!A:A,'50'!$A$2,Data!AK:AK),0)</f>
        <v>1177154</v>
      </c>
      <c r="F101" s="21">
        <f t="shared" si="6"/>
        <v>0.5</v>
      </c>
    </row>
    <row r="102" spans="2:6" x14ac:dyDescent="0.2">
      <c r="B102" s="187" t="s">
        <v>1080</v>
      </c>
      <c r="C102" s="188"/>
      <c r="D102" s="36"/>
      <c r="E102" s="17">
        <f>IF(F3="1",SUMIF(Data!A:A,'50'!$A$2,Data!AL:AL),0)</f>
        <v>0</v>
      </c>
      <c r="F102" s="21" t="str">
        <f t="shared" si="6"/>
        <v/>
      </c>
    </row>
    <row r="103" spans="2:6" x14ac:dyDescent="0.2">
      <c r="B103" s="189" t="s">
        <v>34</v>
      </c>
      <c r="C103" s="190"/>
      <c r="D103" s="36"/>
      <c r="E103" s="17">
        <f>IF(F3="1",SUMIF(Data!A:A,'50'!$A$2,Data!AM:AM),0)</f>
        <v>0</v>
      </c>
      <c r="F103" s="21" t="str">
        <f t="shared" si="6"/>
        <v/>
      </c>
    </row>
    <row r="104" spans="2:6" ht="15.75" customHeight="1" thickBot="1" x14ac:dyDescent="0.25">
      <c r="B104" s="179" t="s">
        <v>29</v>
      </c>
      <c r="C104" s="180"/>
      <c r="D104" s="37"/>
      <c r="E104" s="24">
        <f>IF(F3="1",SUMIF(Data!A:A,'50'!$A$2,Data!Q:Q),0)</f>
        <v>1370875</v>
      </c>
      <c r="F104" s="25">
        <f t="shared" si="6"/>
        <v>0.57999999999999996</v>
      </c>
    </row>
    <row r="105" spans="2:6" x14ac:dyDescent="0.2">
      <c r="B105" s="30" t="s">
        <v>35</v>
      </c>
      <c r="C105" s="30"/>
      <c r="D105" s="34">
        <f>D95</f>
        <v>2352390</v>
      </c>
      <c r="E105" s="31">
        <f>SUM(E98:E104)</f>
        <v>8342083</v>
      </c>
      <c r="F105" s="32">
        <f>IF($D$105=0,"",ROUND(E105/$D$105,2))</f>
        <v>3.55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6510727</v>
      </c>
      <c r="D109" s="15">
        <f>IF(F3="1",SUMIF(Data!$A:$A,$A$2,Data!HJ:HJ),0)</f>
        <v>0</v>
      </c>
      <c r="E109" s="15">
        <f>IF(F3="1",SUMIF(Data!$A:$A,$A$2,Data!IN:IN),0)</f>
        <v>0</v>
      </c>
      <c r="F109" s="47">
        <f>SUM(C109:E109)</f>
        <v>6510727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1370875</v>
      </c>
      <c r="E117" s="52"/>
      <c r="F117" s="49">
        <f>SUM(C117:E117)</f>
        <v>1370875</v>
      </c>
    </row>
    <row r="118" spans="1:6" x14ac:dyDescent="0.2">
      <c r="B118" s="13" t="s">
        <v>35</v>
      </c>
      <c r="C118" s="4">
        <f>SUM(C109:C116)</f>
        <v>6510727</v>
      </c>
      <c r="D118" s="4">
        <f>SUM(D109:D116)</f>
        <v>0</v>
      </c>
      <c r="E118" s="4">
        <f>SUM(E109:E116)</f>
        <v>0</v>
      </c>
      <c r="F118" s="4">
        <f>SUM(F109:F116)</f>
        <v>6510727</v>
      </c>
    </row>
    <row r="119" spans="1:6" ht="15" thickBot="1" x14ac:dyDescent="0.25"/>
    <row r="120" spans="1:6" ht="15" thickBot="1" x14ac:dyDescent="0.25">
      <c r="B120" s="55" t="s">
        <v>934</v>
      </c>
      <c r="C120" s="53"/>
      <c r="D120" s="53"/>
      <c r="E120" s="53">
        <f>IF(F3="1",SUMIF(Data!A:A,'50'!$A$2,Data!AM:AM),0)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429</v>
      </c>
      <c r="B2" s="58" t="str">
        <f>VLOOKUP(A2,Data!A:G,7,0)</f>
        <v>Texas State Technical College-Harlingen</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18992</v>
      </c>
      <c r="E5" s="15">
        <f>E36+E67+IFERROR($E$105/$D$105*D5,0)</f>
        <v>196387.20543839075</v>
      </c>
      <c r="F5" s="20">
        <f>IF(OR(D5=0,E5=0),"",ROUND(E5/D5,2))</f>
        <v>10.34</v>
      </c>
    </row>
    <row r="6" spans="1:6" x14ac:dyDescent="0.2">
      <c r="A6" s="19">
        <v>2</v>
      </c>
      <c r="B6" s="181" t="s">
        <v>1</v>
      </c>
      <c r="C6" s="182"/>
      <c r="D6" s="14">
        <f t="shared" ref="D6:D32" si="0">D37</f>
        <v>286912</v>
      </c>
      <c r="E6" s="17">
        <f t="shared" ref="E6:E32" si="1">E37+E68+IFERROR($E$105/$D$105*D6,0)</f>
        <v>1906223.66968932</v>
      </c>
      <c r="F6" s="21">
        <f t="shared" ref="F6:F33" si="2">IF(OR(D6=0,E6=0),"",ROUND(E6/D6,2))</f>
        <v>6.64</v>
      </c>
    </row>
    <row r="7" spans="1:6" ht="14.25" customHeight="1" x14ac:dyDescent="0.2">
      <c r="A7" s="19">
        <v>3</v>
      </c>
      <c r="B7" s="181" t="s">
        <v>2</v>
      </c>
      <c r="C7" s="182"/>
      <c r="D7" s="14">
        <f t="shared" si="0"/>
        <v>211088</v>
      </c>
      <c r="E7" s="17">
        <f t="shared" si="1"/>
        <v>1419452.7163847424</v>
      </c>
      <c r="F7" s="21">
        <f t="shared" si="2"/>
        <v>6.72</v>
      </c>
    </row>
    <row r="8" spans="1:6" ht="14.25" customHeight="1" x14ac:dyDescent="0.2">
      <c r="A8" s="19">
        <v>4</v>
      </c>
      <c r="B8" s="181" t="s">
        <v>3</v>
      </c>
      <c r="C8" s="182"/>
      <c r="D8" s="14">
        <f t="shared" si="0"/>
        <v>277188</v>
      </c>
      <c r="E8" s="17">
        <f t="shared" si="1"/>
        <v>1441593.191925898</v>
      </c>
      <c r="F8" s="21">
        <f t="shared" si="2"/>
        <v>5.2</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50208</v>
      </c>
      <c r="E10" s="17">
        <f t="shared" si="1"/>
        <v>275730.79921286448</v>
      </c>
      <c r="F10" s="21">
        <f t="shared" si="2"/>
        <v>5.49</v>
      </c>
    </row>
    <row r="11" spans="1:6" x14ac:dyDescent="0.2">
      <c r="A11" s="19">
        <v>7</v>
      </c>
      <c r="B11" s="181" t="s">
        <v>6</v>
      </c>
      <c r="C11" s="182"/>
      <c r="D11" s="14">
        <f t="shared" si="0"/>
        <v>190518</v>
      </c>
      <c r="E11" s="17">
        <f t="shared" si="1"/>
        <v>1526137.744192888</v>
      </c>
      <c r="F11" s="21">
        <f t="shared" si="2"/>
        <v>8.01</v>
      </c>
    </row>
    <row r="12" spans="1:6" x14ac:dyDescent="0.2">
      <c r="A12" s="19">
        <v>8</v>
      </c>
      <c r="B12" s="181" t="s">
        <v>7</v>
      </c>
      <c r="C12" s="182"/>
      <c r="D12" s="14">
        <f t="shared" si="0"/>
        <v>13536</v>
      </c>
      <c r="E12" s="17">
        <f t="shared" si="1"/>
        <v>111193.63420461548</v>
      </c>
      <c r="F12" s="21">
        <f t="shared" si="2"/>
        <v>8.2100000000000009</v>
      </c>
    </row>
    <row r="13" spans="1:6" x14ac:dyDescent="0.2">
      <c r="A13" s="19">
        <v>9</v>
      </c>
      <c r="B13" s="181" t="s">
        <v>8</v>
      </c>
      <c r="C13" s="182"/>
      <c r="D13" s="14">
        <f t="shared" si="0"/>
        <v>38704</v>
      </c>
      <c r="E13" s="17">
        <f t="shared" si="1"/>
        <v>566987.75312170782</v>
      </c>
      <c r="F13" s="21">
        <f t="shared" si="2"/>
        <v>14.65</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287680</v>
      </c>
      <c r="E15" s="17">
        <f t="shared" si="1"/>
        <v>1859742.3014172413</v>
      </c>
      <c r="F15" s="21">
        <f t="shared" si="2"/>
        <v>6.46</v>
      </c>
    </row>
    <row r="16" spans="1:6" ht="14.25" customHeight="1" x14ac:dyDescent="0.2">
      <c r="A16" s="19">
        <v>12</v>
      </c>
      <c r="B16" s="181" t="s">
        <v>11</v>
      </c>
      <c r="C16" s="182"/>
      <c r="D16" s="14">
        <f t="shared" si="0"/>
        <v>368446</v>
      </c>
      <c r="E16" s="17">
        <f t="shared" si="1"/>
        <v>2022573.1427418552</v>
      </c>
      <c r="F16" s="21">
        <f t="shared" si="2"/>
        <v>5.49</v>
      </c>
    </row>
    <row r="17" spans="1:6" x14ac:dyDescent="0.2">
      <c r="A17" s="19">
        <v>13</v>
      </c>
      <c r="B17" s="181" t="s">
        <v>12</v>
      </c>
      <c r="C17" s="182"/>
      <c r="D17" s="14">
        <f t="shared" si="0"/>
        <v>46584</v>
      </c>
      <c r="E17" s="17">
        <f t="shared" si="1"/>
        <v>231118.94324673517</v>
      </c>
      <c r="F17" s="21">
        <f t="shared" si="2"/>
        <v>4.96</v>
      </c>
    </row>
    <row r="18" spans="1:6" ht="14.25" customHeight="1" x14ac:dyDescent="0.2">
      <c r="A18" s="19">
        <v>14</v>
      </c>
      <c r="B18" s="181" t="s">
        <v>464</v>
      </c>
      <c r="C18" s="182"/>
      <c r="D18" s="14">
        <f t="shared" si="0"/>
        <v>31193</v>
      </c>
      <c r="E18" s="17">
        <f t="shared" si="1"/>
        <v>202302.41339720527</v>
      </c>
      <c r="F18" s="21">
        <f t="shared" si="2"/>
        <v>6.49</v>
      </c>
    </row>
    <row r="19" spans="1:6" x14ac:dyDescent="0.2">
      <c r="A19" s="19">
        <v>15</v>
      </c>
      <c r="B19" s="181" t="s">
        <v>13</v>
      </c>
      <c r="C19" s="182"/>
      <c r="D19" s="14">
        <f t="shared" si="0"/>
        <v>27120</v>
      </c>
      <c r="E19" s="17">
        <f t="shared" si="1"/>
        <v>247404.55789222603</v>
      </c>
      <c r="F19" s="21">
        <f t="shared" si="2"/>
        <v>9.1199999999999992</v>
      </c>
    </row>
    <row r="20" spans="1:6" x14ac:dyDescent="0.2">
      <c r="A20" s="19">
        <v>16</v>
      </c>
      <c r="B20" s="181" t="s">
        <v>14</v>
      </c>
      <c r="C20" s="182"/>
      <c r="D20" s="14">
        <f t="shared" si="0"/>
        <v>270698</v>
      </c>
      <c r="E20" s="17">
        <f t="shared" si="1"/>
        <v>2091471.4680792701</v>
      </c>
      <c r="F20" s="21">
        <f t="shared" si="2"/>
        <v>7.73</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0</v>
      </c>
      <c r="E22" s="17">
        <f t="shared" si="1"/>
        <v>0</v>
      </c>
      <c r="F22" s="21" t="str">
        <f t="shared" si="2"/>
        <v/>
      </c>
    </row>
    <row r="23" spans="1:6" x14ac:dyDescent="0.2">
      <c r="A23" s="19">
        <v>19</v>
      </c>
      <c r="B23" s="181" t="s">
        <v>17</v>
      </c>
      <c r="C23" s="182"/>
      <c r="D23" s="14">
        <f t="shared" si="0"/>
        <v>192528</v>
      </c>
      <c r="E23" s="17">
        <f t="shared" si="1"/>
        <v>1176291.1162933074</v>
      </c>
      <c r="F23" s="21">
        <f t="shared" si="2"/>
        <v>6.11</v>
      </c>
    </row>
    <row r="24" spans="1:6" x14ac:dyDescent="0.2">
      <c r="A24" s="19">
        <v>20</v>
      </c>
      <c r="B24" s="181" t="s">
        <v>18</v>
      </c>
      <c r="C24" s="182"/>
      <c r="D24" s="14">
        <f t="shared" si="0"/>
        <v>114704</v>
      </c>
      <c r="E24" s="17">
        <f t="shared" si="1"/>
        <v>761790.43453060091</v>
      </c>
      <c r="F24" s="21">
        <f t="shared" si="2"/>
        <v>6.64</v>
      </c>
    </row>
    <row r="25" spans="1:6" ht="14.25" customHeight="1" x14ac:dyDescent="0.2">
      <c r="A25" s="19">
        <v>21</v>
      </c>
      <c r="B25" s="181" t="s">
        <v>461</v>
      </c>
      <c r="C25" s="182"/>
      <c r="D25" s="14">
        <f t="shared" si="0"/>
        <v>29044</v>
      </c>
      <c r="E25" s="17">
        <f t="shared" si="1"/>
        <v>232414.9946689459</v>
      </c>
      <c r="F25" s="21">
        <f t="shared" si="2"/>
        <v>8</v>
      </c>
    </row>
    <row r="26" spans="1:6" x14ac:dyDescent="0.2">
      <c r="A26" s="19">
        <v>22</v>
      </c>
      <c r="B26" s="181" t="s">
        <v>19</v>
      </c>
      <c r="C26" s="182"/>
      <c r="D26" s="14">
        <f t="shared" si="0"/>
        <v>33272</v>
      </c>
      <c r="E26" s="17">
        <f t="shared" si="1"/>
        <v>268193.32662943011</v>
      </c>
      <c r="F26" s="21">
        <f t="shared" si="2"/>
        <v>8.06</v>
      </c>
    </row>
    <row r="27" spans="1:6" x14ac:dyDescent="0.2">
      <c r="A27" s="19">
        <v>23</v>
      </c>
      <c r="B27" s="181" t="s">
        <v>20</v>
      </c>
      <c r="C27" s="182"/>
      <c r="D27" s="14">
        <f t="shared" si="0"/>
        <v>0</v>
      </c>
      <c r="E27" s="17">
        <f t="shared" si="1"/>
        <v>0</v>
      </c>
      <c r="F27" s="21" t="str">
        <f t="shared" si="2"/>
        <v/>
      </c>
    </row>
    <row r="28" spans="1:6" x14ac:dyDescent="0.2">
      <c r="A28" s="19">
        <v>24</v>
      </c>
      <c r="B28" s="181" t="s">
        <v>21</v>
      </c>
      <c r="C28" s="182"/>
      <c r="D28" s="14">
        <f t="shared" si="0"/>
        <v>37556</v>
      </c>
      <c r="E28" s="17">
        <f t="shared" si="1"/>
        <v>220111.66298674193</v>
      </c>
      <c r="F28" s="21">
        <f t="shared" si="2"/>
        <v>5.86</v>
      </c>
    </row>
    <row r="29" spans="1:6" x14ac:dyDescent="0.2">
      <c r="A29" s="19">
        <v>25</v>
      </c>
      <c r="B29" s="181" t="s">
        <v>22</v>
      </c>
      <c r="C29" s="182"/>
      <c r="D29" s="14">
        <f t="shared" si="0"/>
        <v>185968</v>
      </c>
      <c r="E29" s="17">
        <f t="shared" si="1"/>
        <v>987154.88695064501</v>
      </c>
      <c r="F29" s="21">
        <f t="shared" si="2"/>
        <v>5.31</v>
      </c>
    </row>
    <row r="30" spans="1:6" x14ac:dyDescent="0.2">
      <c r="A30" s="19">
        <v>26</v>
      </c>
      <c r="B30" s="181" t="s">
        <v>23</v>
      </c>
      <c r="C30" s="182"/>
      <c r="D30" s="14">
        <f t="shared" si="0"/>
        <v>55056</v>
      </c>
      <c r="E30" s="17">
        <f t="shared" si="1"/>
        <v>347163.0369953686</v>
      </c>
      <c r="F30" s="21">
        <f t="shared" si="2"/>
        <v>6.31</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2766995</v>
      </c>
      <c r="E33" s="31">
        <f>SUM(E5:E32)</f>
        <v>18091439.000000004</v>
      </c>
      <c r="F33" s="32">
        <f t="shared" si="2"/>
        <v>6.54</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IF(F3="1",SUMIF(Data!A:A,'51'!$A$2,Data!CU:CU),0)</f>
        <v>18992</v>
      </c>
      <c r="E36" s="15">
        <f>IF(F3="1",SUMIF(Data!$A:$A,$A$2,Data!IO:IO),0)</f>
        <v>105529</v>
      </c>
      <c r="F36" s="20">
        <f t="shared" ref="F36:F64" si="3">IF(OR(D36=0,E36=0),"",ROUND(E36/D36,2))</f>
        <v>5.56</v>
      </c>
    </row>
    <row r="37" spans="1:6" x14ac:dyDescent="0.2">
      <c r="A37" s="19">
        <v>2</v>
      </c>
      <c r="B37" s="181" t="s">
        <v>1</v>
      </c>
      <c r="C37" s="182"/>
      <c r="D37" s="14">
        <f>IF(F3="1",SUMIF(Data!A:A,'51'!$A$2,Data!CV:CV),0)</f>
        <v>286912</v>
      </c>
      <c r="E37" s="17">
        <f>IF(F3="1",SUMIF(Data!$A:$A,$A$2,Data!IP:IP),0)</f>
        <v>622339</v>
      </c>
      <c r="F37" s="21">
        <f t="shared" si="3"/>
        <v>2.17</v>
      </c>
    </row>
    <row r="38" spans="1:6" ht="14.25" customHeight="1" x14ac:dyDescent="0.2">
      <c r="A38" s="19">
        <v>3</v>
      </c>
      <c r="B38" s="181" t="s">
        <v>2</v>
      </c>
      <c r="C38" s="182"/>
      <c r="D38" s="14">
        <f>IF(F3="1",SUMIF(Data!A:A,'51'!$A$2,Data!CW:CW),0)</f>
        <v>211088</v>
      </c>
      <c r="E38" s="17">
        <f>IF($F$3="1",SUMIF(Data!$A:$A,$A$2,Data!IQ:IQ),0)</f>
        <v>388620</v>
      </c>
      <c r="F38" s="21">
        <f t="shared" si="3"/>
        <v>1.84</v>
      </c>
    </row>
    <row r="39" spans="1:6" ht="14.25" customHeight="1" x14ac:dyDescent="0.2">
      <c r="A39" s="19">
        <v>4</v>
      </c>
      <c r="B39" s="181" t="s">
        <v>3</v>
      </c>
      <c r="C39" s="182"/>
      <c r="D39" s="14">
        <f>IF(F3="1",SUMIF(Data!A:A,'51'!$A$2,Data!CX:CX),0)</f>
        <v>277188</v>
      </c>
      <c r="E39" s="17">
        <f>IF($F$3="1",SUMIF(Data!$A:$A,$A$2,Data!IR:IR),0)</f>
        <v>378790</v>
      </c>
      <c r="F39" s="21">
        <f t="shared" si="3"/>
        <v>1.37</v>
      </c>
    </row>
    <row r="40" spans="1:6" x14ac:dyDescent="0.2">
      <c r="A40" s="19">
        <v>5</v>
      </c>
      <c r="B40" s="181" t="s">
        <v>4</v>
      </c>
      <c r="C40" s="182"/>
      <c r="D40" s="14">
        <f>IF(F3="1",SUMIF(Data!A:A,'51'!$A$2,Data!CY:CY),0)</f>
        <v>0</v>
      </c>
      <c r="E40" s="17">
        <f>IF($F$3="1",SUMIF(Data!$A:$A,$A$2,Data!IS:IS),0)</f>
        <v>0</v>
      </c>
      <c r="F40" s="21" t="str">
        <f t="shared" si="3"/>
        <v/>
      </c>
    </row>
    <row r="41" spans="1:6" x14ac:dyDescent="0.2">
      <c r="A41" s="19">
        <v>6</v>
      </c>
      <c r="B41" s="181" t="s">
        <v>5</v>
      </c>
      <c r="C41" s="182"/>
      <c r="D41" s="14">
        <f>IF(F3="1",SUMIF(Data!A:A,'51'!$A$2,Data!CZ:CZ),0)</f>
        <v>50208</v>
      </c>
      <c r="E41" s="17">
        <f>IF($F$3="1",SUMIF(Data!$A:$A,$A$2,Data!IT:IT),0)</f>
        <v>79213</v>
      </c>
      <c r="F41" s="21">
        <f t="shared" si="3"/>
        <v>1.58</v>
      </c>
    </row>
    <row r="42" spans="1:6" x14ac:dyDescent="0.2">
      <c r="A42" s="19">
        <v>7</v>
      </c>
      <c r="B42" s="181" t="s">
        <v>6</v>
      </c>
      <c r="C42" s="182"/>
      <c r="D42" s="14">
        <f>IF(F3="1",SUMIF(Data!A:A,'51'!$A$2,Data!DA:DA),0)</f>
        <v>190518</v>
      </c>
      <c r="E42" s="17">
        <f>IF($F$3="1",SUMIF(Data!$A:$A,$A$2,Data!IU:IU),0)</f>
        <v>391902</v>
      </c>
      <c r="F42" s="21">
        <f t="shared" si="3"/>
        <v>2.06</v>
      </c>
    </row>
    <row r="43" spans="1:6" x14ac:dyDescent="0.2">
      <c r="A43" s="19">
        <v>8</v>
      </c>
      <c r="B43" s="181" t="s">
        <v>7</v>
      </c>
      <c r="C43" s="182"/>
      <c r="D43" s="14">
        <f>IF(F3="1",SUMIF(Data!A:A,'51'!$A$2,Data!DB:DB),0)</f>
        <v>13536</v>
      </c>
      <c r="E43" s="17">
        <f>IF($F$3="1",SUMIF(Data!$A:$A,$A$2,Data!IV:IV),0)</f>
        <v>43950</v>
      </c>
      <c r="F43" s="21">
        <f t="shared" si="3"/>
        <v>3.25</v>
      </c>
    </row>
    <row r="44" spans="1:6" x14ac:dyDescent="0.2">
      <c r="A44" s="19">
        <v>9</v>
      </c>
      <c r="B44" s="181" t="s">
        <v>8</v>
      </c>
      <c r="C44" s="182"/>
      <c r="D44" s="14">
        <f>IF(F3="1",SUMIF(Data!A:A,'51'!$A$2,Data!DC:DC),0)</f>
        <v>38704</v>
      </c>
      <c r="E44" s="17">
        <f>IF($F$3="1",SUMIF(Data!$A:$A,$A$2,Data!IW:IW),0)</f>
        <v>146421</v>
      </c>
      <c r="F44" s="21">
        <f t="shared" si="3"/>
        <v>3.78</v>
      </c>
    </row>
    <row r="45" spans="1:6" x14ac:dyDescent="0.2">
      <c r="A45" s="19">
        <v>10</v>
      </c>
      <c r="B45" s="181" t="s">
        <v>9</v>
      </c>
      <c r="C45" s="182"/>
      <c r="D45" s="14">
        <f>IF(F3="1",SUMIF(Data!A:A,'51'!$A$2,Data!DD:DD),0)</f>
        <v>0</v>
      </c>
      <c r="E45" s="17">
        <f>IF($F$3="1",SUMIF(Data!$A:$A,$A$2,Data!IX:IX),0)</f>
        <v>0</v>
      </c>
      <c r="F45" s="21" t="str">
        <f t="shared" si="3"/>
        <v/>
      </c>
    </row>
    <row r="46" spans="1:6" x14ac:dyDescent="0.2">
      <c r="A46" s="19">
        <v>11</v>
      </c>
      <c r="B46" s="181" t="s">
        <v>10</v>
      </c>
      <c r="C46" s="182"/>
      <c r="D46" s="14">
        <f>IF(F3="1",SUMIF(Data!A:A,'51'!$A$2,Data!DE:DE),0)</f>
        <v>287680</v>
      </c>
      <c r="E46" s="17">
        <f>IF($F$3="1",SUMIF(Data!$A:$A,$A$2,Data!IY:IY),0)</f>
        <v>500706</v>
      </c>
      <c r="F46" s="21">
        <f t="shared" si="3"/>
        <v>1.74</v>
      </c>
    </row>
    <row r="47" spans="1:6" ht="14.25" customHeight="1" x14ac:dyDescent="0.2">
      <c r="A47" s="19">
        <v>12</v>
      </c>
      <c r="B47" s="181" t="s">
        <v>11</v>
      </c>
      <c r="C47" s="182"/>
      <c r="D47" s="14">
        <f>IF(F3="1",SUMIF(Data!A:A,'51'!$A$2,Data!DF:DF),0)</f>
        <v>368446</v>
      </c>
      <c r="E47" s="17">
        <f>IF($F$3="1",SUMIF(Data!$A:$A,$A$2,Data!IZ:IZ),0)</f>
        <v>581209</v>
      </c>
      <c r="F47" s="21">
        <f t="shared" si="3"/>
        <v>1.58</v>
      </c>
    </row>
    <row r="48" spans="1:6" x14ac:dyDescent="0.2">
      <c r="A48" s="19">
        <v>13</v>
      </c>
      <c r="B48" s="181" t="s">
        <v>12</v>
      </c>
      <c r="C48" s="182"/>
      <c r="D48" s="14">
        <f>IF(F3="1",SUMIF(Data!A:A,'51'!$A$2,Data!DG:DG),0)</f>
        <v>46584</v>
      </c>
      <c r="E48" s="17">
        <f>IF($F$3="1",SUMIF(Data!$A:$A,$A$2,Data!JA:JA),0)</f>
        <v>64507</v>
      </c>
      <c r="F48" s="21">
        <f t="shared" si="3"/>
        <v>1.38</v>
      </c>
    </row>
    <row r="49" spans="1:6" ht="14.25" customHeight="1" x14ac:dyDescent="0.2">
      <c r="A49" s="19">
        <v>14</v>
      </c>
      <c r="B49" s="181" t="s">
        <v>464</v>
      </c>
      <c r="C49" s="182"/>
      <c r="D49" s="14">
        <f>IF(F3="1",SUMIF(Data!A:A,'51'!$A$2,Data!DH:DH),0)</f>
        <v>31193</v>
      </c>
      <c r="E49" s="17">
        <f>IF($F$3="1",SUMIF(Data!$A:$A,$A$2,Data!JB:JB),0)</f>
        <v>40980</v>
      </c>
      <c r="F49" s="21">
        <f t="shared" si="3"/>
        <v>1.31</v>
      </c>
    </row>
    <row r="50" spans="1:6" x14ac:dyDescent="0.2">
      <c r="A50" s="19">
        <v>15</v>
      </c>
      <c r="B50" s="181" t="s">
        <v>13</v>
      </c>
      <c r="C50" s="182"/>
      <c r="D50" s="14">
        <f>IF(F3="1",SUMIF(Data!A:A,'51'!$A$2,Data!DI:DI),0)</f>
        <v>27120</v>
      </c>
      <c r="E50" s="17">
        <f>IF($F$3="1",SUMIF(Data!$A:$A,$A$2,Data!JC:JC),0)</f>
        <v>41787</v>
      </c>
      <c r="F50" s="21">
        <f t="shared" si="3"/>
        <v>1.54</v>
      </c>
    </row>
    <row r="51" spans="1:6" x14ac:dyDescent="0.2">
      <c r="A51" s="19">
        <v>16</v>
      </c>
      <c r="B51" s="181" t="s">
        <v>14</v>
      </c>
      <c r="C51" s="182"/>
      <c r="D51" s="14">
        <f>IF(F3="1",SUMIF(Data!A:A,'51'!$A$2,Data!DJ:DJ),0)</f>
        <v>270698</v>
      </c>
      <c r="E51" s="17">
        <f>IF($F$3="1",SUMIF(Data!$A:$A,$A$2,Data!JD:JD),0)</f>
        <v>542008</v>
      </c>
      <c r="F51" s="21">
        <f t="shared" si="3"/>
        <v>2</v>
      </c>
    </row>
    <row r="52" spans="1:6" x14ac:dyDescent="0.2">
      <c r="A52" s="19">
        <v>17</v>
      </c>
      <c r="B52" s="181" t="s">
        <v>15</v>
      </c>
      <c r="C52" s="182"/>
      <c r="D52" s="14">
        <f>IF(F3="1",SUMIF(Data!A:A,'51'!$A$2,Data!DK:DK),0)</f>
        <v>0</v>
      </c>
      <c r="E52" s="17">
        <f>IF($F$3="1",SUMIF(Data!$A:$A,$A$2,Data!JE:JE),0)</f>
        <v>0</v>
      </c>
      <c r="F52" s="21" t="str">
        <f t="shared" si="3"/>
        <v/>
      </c>
    </row>
    <row r="53" spans="1:6" x14ac:dyDescent="0.2">
      <c r="A53" s="19">
        <v>18</v>
      </c>
      <c r="B53" s="181" t="s">
        <v>16</v>
      </c>
      <c r="C53" s="182"/>
      <c r="D53" s="14">
        <f>IF(F3="1",SUMIF(Data!A:A,'51'!$A$2,Data!DL:DL),0)</f>
        <v>0</v>
      </c>
      <c r="E53" s="17">
        <f>IF($F$3="1",SUMIF(Data!$A:$A,$A$2,Data!JF:JF),0)</f>
        <v>0</v>
      </c>
      <c r="F53" s="21" t="str">
        <f t="shared" si="3"/>
        <v/>
      </c>
    </row>
    <row r="54" spans="1:6" x14ac:dyDescent="0.2">
      <c r="A54" s="19">
        <v>19</v>
      </c>
      <c r="B54" s="181" t="s">
        <v>17</v>
      </c>
      <c r="C54" s="182"/>
      <c r="D54" s="14">
        <f>IF(F3="1",SUMIF(Data!A:A,'51'!$A$2,Data!DM:DM),0)</f>
        <v>192528</v>
      </c>
      <c r="E54" s="17">
        <f>IF($F$3="1",SUMIF(Data!$A:$A,$A$2,Data!JG:JG),0)</f>
        <v>357193</v>
      </c>
      <c r="F54" s="21">
        <f t="shared" si="3"/>
        <v>1.86</v>
      </c>
    </row>
    <row r="55" spans="1:6" x14ac:dyDescent="0.2">
      <c r="A55" s="19">
        <v>20</v>
      </c>
      <c r="B55" s="181" t="s">
        <v>18</v>
      </c>
      <c r="C55" s="182"/>
      <c r="D55" s="14">
        <f>IF(F3="1",SUMIF(Data!A:A,'51'!$A$2,Data!DN:DN),0)</f>
        <v>114704</v>
      </c>
      <c r="E55" s="17">
        <f>IF($F$3="1",SUMIF(Data!$A:$A,$A$2,Data!JH:JH),0)</f>
        <v>200479</v>
      </c>
      <c r="F55" s="21">
        <f t="shared" si="3"/>
        <v>1.75</v>
      </c>
    </row>
    <row r="56" spans="1:6" ht="14.25" customHeight="1" x14ac:dyDescent="0.2">
      <c r="A56" s="19">
        <v>21</v>
      </c>
      <c r="B56" s="181" t="s">
        <v>461</v>
      </c>
      <c r="C56" s="182"/>
      <c r="D56" s="14">
        <f>IF(F3="1",SUMIF(Data!A:A,'51'!$A$2,Data!DO:DO),0)</f>
        <v>29044</v>
      </c>
      <c r="E56" s="17">
        <f>IF($F$3="1",SUMIF(Data!$A:$A,$A$2,Data!JI:JI),0)</f>
        <v>78059</v>
      </c>
      <c r="F56" s="21">
        <f t="shared" si="3"/>
        <v>2.69</v>
      </c>
    </row>
    <row r="57" spans="1:6" x14ac:dyDescent="0.2">
      <c r="A57" s="19">
        <v>22</v>
      </c>
      <c r="B57" s="181" t="s">
        <v>19</v>
      </c>
      <c r="C57" s="182"/>
      <c r="D57" s="14">
        <f>IF(F3="1",SUMIF(Data!A:A,'51'!$A$2,Data!DP:DP),0)</f>
        <v>33272</v>
      </c>
      <c r="E57" s="17">
        <f>IF($F$3="1",SUMIF(Data!$A:$A,$A$2,Data!JJ:JJ),0)</f>
        <v>68731</v>
      </c>
      <c r="F57" s="21">
        <f t="shared" si="3"/>
        <v>2.0699999999999998</v>
      </c>
    </row>
    <row r="58" spans="1:6" x14ac:dyDescent="0.2">
      <c r="A58" s="19">
        <v>23</v>
      </c>
      <c r="B58" s="181" t="s">
        <v>20</v>
      </c>
      <c r="C58" s="182"/>
      <c r="D58" s="14">
        <f>IF(F3="1",SUMIF(Data!A:A,'51'!$A$2,Data!DQ:DQ),0)</f>
        <v>0</v>
      </c>
      <c r="E58" s="17">
        <f>IF($F$3="1",SUMIF(Data!$A:$A,$A$2,Data!JK:JK),0)</f>
        <v>0</v>
      </c>
      <c r="F58" s="21" t="str">
        <f t="shared" si="3"/>
        <v/>
      </c>
    </row>
    <row r="59" spans="1:6" x14ac:dyDescent="0.2">
      <c r="A59" s="19">
        <v>24</v>
      </c>
      <c r="B59" s="181" t="s">
        <v>21</v>
      </c>
      <c r="C59" s="182"/>
      <c r="D59" s="14">
        <f>IF(F3="1",SUMIF(Data!A:A,'51'!$A$2,Data!DR:DR),0)</f>
        <v>37556</v>
      </c>
      <c r="E59" s="17">
        <f>IF($F$3="1",SUMIF(Data!$A:$A,$A$2,Data!JL:JL),0)</f>
        <v>116945</v>
      </c>
      <c r="F59" s="21">
        <f t="shared" si="3"/>
        <v>3.11</v>
      </c>
    </row>
    <row r="60" spans="1:6" x14ac:dyDescent="0.2">
      <c r="A60" s="19">
        <v>25</v>
      </c>
      <c r="B60" s="181" t="s">
        <v>22</v>
      </c>
      <c r="C60" s="182"/>
      <c r="D60" s="14">
        <f>IF(F3="1",SUMIF(Data!A:A,'51'!$A$2,Data!DS:DS),0)</f>
        <v>185968</v>
      </c>
      <c r="E60" s="17">
        <f>IF($F$3="1",SUMIF(Data!$A:$A,$A$2,Data!JM:JM),0)</f>
        <v>295122</v>
      </c>
      <c r="F60" s="21">
        <f t="shared" si="3"/>
        <v>1.59</v>
      </c>
    </row>
    <row r="61" spans="1:6" x14ac:dyDescent="0.2">
      <c r="A61" s="19">
        <v>26</v>
      </c>
      <c r="B61" s="181" t="s">
        <v>23</v>
      </c>
      <c r="C61" s="182"/>
      <c r="D61" s="14">
        <f>IF(F3="1",SUMIF(Data!A:A,'51'!$A$2,Data!DT:DT),0)</f>
        <v>55056</v>
      </c>
      <c r="E61" s="17">
        <f>IF($F$3="1",SUMIF(Data!$A:$A,$A$2,Data!JN:JN),0)</f>
        <v>138473</v>
      </c>
      <c r="F61" s="21">
        <f t="shared" si="3"/>
        <v>2.52</v>
      </c>
    </row>
    <row r="62" spans="1:6" x14ac:dyDescent="0.2">
      <c r="A62" s="19">
        <v>28</v>
      </c>
      <c r="B62" s="181" t="s">
        <v>24</v>
      </c>
      <c r="C62" s="182"/>
      <c r="D62" s="14">
        <f>IF(F3="1",SUMIF(Data!A:A,'51'!$A$2,Data!DV:DV),0)</f>
        <v>0</v>
      </c>
      <c r="E62" s="17">
        <f>IF($F$3="1",SUMIF(Data!$A:$A,$A$2,Data!JP:JP),0)</f>
        <v>0</v>
      </c>
      <c r="F62" s="21" t="str">
        <f t="shared" si="3"/>
        <v/>
      </c>
    </row>
    <row r="63" spans="1:6" ht="15.75" customHeight="1" thickBot="1" x14ac:dyDescent="0.25">
      <c r="A63" s="22">
        <v>29</v>
      </c>
      <c r="B63" s="183" t="s">
        <v>25</v>
      </c>
      <c r="C63" s="184"/>
      <c r="D63" s="23">
        <f>IF(F3="1",SUMIF(Data!A:A,'51'!$A$2,Data!DW:DW),0)</f>
        <v>0</v>
      </c>
      <c r="E63" s="24">
        <f>IF($F$3="1",SUMIF(Data!$A:$A,$A$2,Data!JQ:JQ),0)</f>
        <v>0</v>
      </c>
      <c r="F63" s="25" t="str">
        <f t="shared" si="3"/>
        <v/>
      </c>
    </row>
    <row r="64" spans="1:6" x14ac:dyDescent="0.2">
      <c r="B64" s="30" t="s">
        <v>35</v>
      </c>
      <c r="C64" s="30"/>
      <c r="D64" s="59">
        <f>SUM(D36:D63)</f>
        <v>2766995</v>
      </c>
      <c r="E64" s="31">
        <f>SUM(E36:E63)</f>
        <v>5182963</v>
      </c>
      <c r="F64" s="32">
        <f t="shared" si="3"/>
        <v>1.87</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18992</v>
      </c>
      <c r="E67" s="15">
        <f>IF(F3="1",SUMIF(Data!A:A,'51'!$A$2,Data!DY:DY),0)</f>
        <v>53551</v>
      </c>
      <c r="F67" s="20">
        <f t="shared" ref="F67:F95" si="4">IF(OR(D67=0,E67=0),"",ROUND(E67/D67,2))</f>
        <v>2.82</v>
      </c>
    </row>
    <row r="68" spans="1:6" x14ac:dyDescent="0.2">
      <c r="A68" s="19">
        <v>2</v>
      </c>
      <c r="B68" s="181" t="s">
        <v>1</v>
      </c>
      <c r="C68" s="182"/>
      <c r="D68" s="14">
        <f t="shared" ref="D68:D94" si="5">D37</f>
        <v>286912</v>
      </c>
      <c r="E68" s="17">
        <f>IF(F3="1",SUMIF(Data!A:A,'51'!$A$2,Data!DZ:DZ),0)</f>
        <v>720285</v>
      </c>
      <c r="F68" s="21">
        <f t="shared" si="4"/>
        <v>2.5099999999999998</v>
      </c>
    </row>
    <row r="69" spans="1:6" ht="14.25" customHeight="1" x14ac:dyDescent="0.2">
      <c r="A69" s="19">
        <v>3</v>
      </c>
      <c r="B69" s="181" t="s">
        <v>2</v>
      </c>
      <c r="C69" s="182"/>
      <c r="D69" s="14">
        <f t="shared" si="5"/>
        <v>211088</v>
      </c>
      <c r="E69" s="17">
        <f>IF(F3="1",SUMIF(Data!A:A,'51'!$A$2,Data!EA:EA),0)</f>
        <v>616179</v>
      </c>
      <c r="F69" s="21">
        <f t="shared" si="4"/>
        <v>2.92</v>
      </c>
    </row>
    <row r="70" spans="1:6" ht="14.25" customHeight="1" x14ac:dyDescent="0.2">
      <c r="A70" s="19">
        <v>4</v>
      </c>
      <c r="B70" s="181" t="s">
        <v>3</v>
      </c>
      <c r="C70" s="182"/>
      <c r="D70" s="14">
        <f t="shared" si="5"/>
        <v>277188</v>
      </c>
      <c r="E70" s="17">
        <f>IF(F3="1",SUMIF(Data!A:A,'51'!$A$2,Data!EB:EB),0)</f>
        <v>518305</v>
      </c>
      <c r="F70" s="21">
        <f t="shared" si="4"/>
        <v>1.87</v>
      </c>
    </row>
    <row r="71" spans="1:6" x14ac:dyDescent="0.2">
      <c r="A71" s="19">
        <v>5</v>
      </c>
      <c r="B71" s="181" t="s">
        <v>4</v>
      </c>
      <c r="C71" s="182"/>
      <c r="D71" s="14">
        <f t="shared" si="5"/>
        <v>0</v>
      </c>
      <c r="E71" s="17">
        <f>IF(F3="1",SUMIF(Data!A:A,'51'!$A$2,Data!EC:EC),0)</f>
        <v>0</v>
      </c>
      <c r="F71" s="21" t="str">
        <f t="shared" si="4"/>
        <v/>
      </c>
    </row>
    <row r="72" spans="1:6" x14ac:dyDescent="0.2">
      <c r="A72" s="19">
        <v>6</v>
      </c>
      <c r="B72" s="181" t="s">
        <v>5</v>
      </c>
      <c r="C72" s="182"/>
      <c r="D72" s="14">
        <f t="shared" si="5"/>
        <v>50208</v>
      </c>
      <c r="E72" s="17">
        <f>IF(F3="1",SUMIF(Data!A:A,'51'!$A$2,Data!ED:ED),0)</f>
        <v>97891</v>
      </c>
      <c r="F72" s="21">
        <f t="shared" si="4"/>
        <v>1.95</v>
      </c>
    </row>
    <row r="73" spans="1:6" x14ac:dyDescent="0.2">
      <c r="A73" s="19">
        <v>7</v>
      </c>
      <c r="B73" s="181" t="s">
        <v>6</v>
      </c>
      <c r="C73" s="182"/>
      <c r="D73" s="14">
        <f t="shared" si="5"/>
        <v>190518</v>
      </c>
      <c r="E73" s="17">
        <f>IF(F3="1",SUMIF(Data!A:A,'51'!$A$2,Data!EE:EE),0)</f>
        <v>759989</v>
      </c>
      <c r="F73" s="21">
        <f t="shared" si="4"/>
        <v>3.99</v>
      </c>
    </row>
    <row r="74" spans="1:6" x14ac:dyDescent="0.2">
      <c r="A74" s="19">
        <v>8</v>
      </c>
      <c r="B74" s="181" t="s">
        <v>7</v>
      </c>
      <c r="C74" s="182"/>
      <c r="D74" s="14">
        <f t="shared" si="5"/>
        <v>13536</v>
      </c>
      <c r="E74" s="17">
        <f>IF(F3="1",SUMIF(Data!A:A,'51'!$A$2,Data!EF:EF),0)</f>
        <v>40654</v>
      </c>
      <c r="F74" s="21">
        <f t="shared" si="4"/>
        <v>3</v>
      </c>
    </row>
    <row r="75" spans="1:6" x14ac:dyDescent="0.2">
      <c r="A75" s="19">
        <v>9</v>
      </c>
      <c r="B75" s="181" t="s">
        <v>8</v>
      </c>
      <c r="C75" s="182"/>
      <c r="D75" s="14">
        <f t="shared" si="5"/>
        <v>38704</v>
      </c>
      <c r="E75" s="17">
        <f>IF(F3="1",SUMIF(Data!A:A,'51'!$A$2,Data!EG:EG),0)</f>
        <v>344538</v>
      </c>
      <c r="F75" s="21">
        <f t="shared" si="4"/>
        <v>8.9</v>
      </c>
    </row>
    <row r="76" spans="1:6" x14ac:dyDescent="0.2">
      <c r="A76" s="19">
        <v>10</v>
      </c>
      <c r="B76" s="181" t="s">
        <v>9</v>
      </c>
      <c r="C76" s="182"/>
      <c r="D76" s="14">
        <f t="shared" si="5"/>
        <v>0</v>
      </c>
      <c r="E76" s="17">
        <f>IF(F3="1",SUMIF(Data!A:A,'51'!$A$2,Data!EH:EH),0)</f>
        <v>0</v>
      </c>
      <c r="F76" s="21" t="str">
        <f t="shared" si="4"/>
        <v/>
      </c>
    </row>
    <row r="77" spans="1:6" x14ac:dyDescent="0.2">
      <c r="A77" s="19">
        <v>11</v>
      </c>
      <c r="B77" s="181" t="s">
        <v>10</v>
      </c>
      <c r="C77" s="182"/>
      <c r="D77" s="14">
        <f t="shared" si="5"/>
        <v>287680</v>
      </c>
      <c r="E77" s="17">
        <f>IF(F3="1",SUMIF(Data!A:A,'51'!$A$2,Data!EI:EI),0)</f>
        <v>793928</v>
      </c>
      <c r="F77" s="21">
        <f t="shared" si="4"/>
        <v>2.76</v>
      </c>
    </row>
    <row r="78" spans="1:6" ht="14.25" customHeight="1" x14ac:dyDescent="0.2">
      <c r="A78" s="19">
        <v>12</v>
      </c>
      <c r="B78" s="181" t="s">
        <v>11</v>
      </c>
      <c r="C78" s="182"/>
      <c r="D78" s="14">
        <f t="shared" si="5"/>
        <v>368446</v>
      </c>
      <c r="E78" s="17">
        <f>IF(F3="1",SUMIF(Data!A:A,'51'!$A$2,Data!EJ:EJ),0)</f>
        <v>717602</v>
      </c>
      <c r="F78" s="21">
        <f t="shared" si="4"/>
        <v>1.95</v>
      </c>
    </row>
    <row r="79" spans="1:6" x14ac:dyDescent="0.2">
      <c r="A79" s="19">
        <v>13</v>
      </c>
      <c r="B79" s="181" t="s">
        <v>12</v>
      </c>
      <c r="C79" s="182"/>
      <c r="D79" s="14">
        <f t="shared" si="5"/>
        <v>46584</v>
      </c>
      <c r="E79" s="17">
        <f>IF(F3="1",SUMIF(Data!A:A,'51'!$A$2,Data!EK:EK),0)</f>
        <v>75104</v>
      </c>
      <c r="F79" s="21">
        <f t="shared" si="4"/>
        <v>1.61</v>
      </c>
    </row>
    <row r="80" spans="1:6" ht="14.25" customHeight="1" x14ac:dyDescent="0.2">
      <c r="A80" s="19">
        <v>14</v>
      </c>
      <c r="B80" s="181" t="s">
        <v>464</v>
      </c>
      <c r="C80" s="182"/>
      <c r="D80" s="14">
        <f t="shared" si="5"/>
        <v>31193</v>
      </c>
      <c r="E80" s="17">
        <f>IF(F3="1",SUMIF(Data!A:A,'51'!$A$2,Data!EL:EL),0)</f>
        <v>100048</v>
      </c>
      <c r="F80" s="21">
        <f t="shared" si="4"/>
        <v>3.21</v>
      </c>
    </row>
    <row r="81" spans="1:6" x14ac:dyDescent="0.2">
      <c r="A81" s="19">
        <v>15</v>
      </c>
      <c r="B81" s="181" t="s">
        <v>13</v>
      </c>
      <c r="C81" s="182"/>
      <c r="D81" s="14">
        <f t="shared" si="5"/>
        <v>27120</v>
      </c>
      <c r="E81" s="17">
        <f>IF(F3="1",SUMIF(Data!A:A,'51'!$A$2,Data!EM:EM),0)</f>
        <v>152344</v>
      </c>
      <c r="F81" s="21">
        <f t="shared" si="4"/>
        <v>5.62</v>
      </c>
    </row>
    <row r="82" spans="1:6" x14ac:dyDescent="0.2">
      <c r="A82" s="19">
        <v>16</v>
      </c>
      <c r="B82" s="181" t="s">
        <v>14</v>
      </c>
      <c r="C82" s="182"/>
      <c r="D82" s="14">
        <f t="shared" si="5"/>
        <v>270698</v>
      </c>
      <c r="E82" s="17">
        <f>IF(F3="1",SUMIF(Data!A:A,'51'!$A$2,Data!EN:EN),0)</f>
        <v>1017714</v>
      </c>
      <c r="F82" s="21">
        <f t="shared" si="4"/>
        <v>3.76</v>
      </c>
    </row>
    <row r="83" spans="1:6" x14ac:dyDescent="0.2">
      <c r="A83" s="19">
        <v>17</v>
      </c>
      <c r="B83" s="181" t="s">
        <v>15</v>
      </c>
      <c r="C83" s="182"/>
      <c r="D83" s="14">
        <f t="shared" si="5"/>
        <v>0</v>
      </c>
      <c r="E83" s="17">
        <f>IF(F3="1",SUMIF(Data!A:A,'51'!$A$2,Data!EO:EO),0)</f>
        <v>0</v>
      </c>
      <c r="F83" s="21" t="str">
        <f t="shared" si="4"/>
        <v/>
      </c>
    </row>
    <row r="84" spans="1:6" x14ac:dyDescent="0.2">
      <c r="A84" s="19">
        <v>18</v>
      </c>
      <c r="B84" s="181" t="s">
        <v>16</v>
      </c>
      <c r="C84" s="182"/>
      <c r="D84" s="14">
        <f t="shared" si="5"/>
        <v>0</v>
      </c>
      <c r="E84" s="17">
        <f>IF(F3="1",SUMIF(Data!A:A,'51'!$A$2,Data!EP:EP),0)</f>
        <v>0</v>
      </c>
      <c r="F84" s="21" t="str">
        <f t="shared" si="4"/>
        <v/>
      </c>
    </row>
    <row r="85" spans="1:6" x14ac:dyDescent="0.2">
      <c r="A85" s="19">
        <v>19</v>
      </c>
      <c r="B85" s="181" t="s">
        <v>17</v>
      </c>
      <c r="C85" s="182"/>
      <c r="D85" s="14">
        <f t="shared" si="5"/>
        <v>192528</v>
      </c>
      <c r="E85" s="17">
        <f>IF(F3="1",SUMIF(Data!A:A,'51'!$A$2,Data!EQ:EQ),0)</f>
        <v>440903</v>
      </c>
      <c r="F85" s="21">
        <f t="shared" si="4"/>
        <v>2.29</v>
      </c>
    </row>
    <row r="86" spans="1:6" x14ac:dyDescent="0.2">
      <c r="A86" s="19">
        <v>20</v>
      </c>
      <c r="B86" s="181" t="s">
        <v>18</v>
      </c>
      <c r="C86" s="182"/>
      <c r="D86" s="14">
        <f t="shared" si="5"/>
        <v>114704</v>
      </c>
      <c r="E86" s="17">
        <f>IF(F3="1",SUMIF(Data!A:A,'51'!$A$2,Data!ER:ER),0)</f>
        <v>335991</v>
      </c>
      <c r="F86" s="21">
        <f t="shared" si="4"/>
        <v>2.93</v>
      </c>
    </row>
    <row r="87" spans="1:6" ht="14.25" customHeight="1" x14ac:dyDescent="0.2">
      <c r="A87" s="19">
        <v>21</v>
      </c>
      <c r="B87" s="181" t="s">
        <v>461</v>
      </c>
      <c r="C87" s="182"/>
      <c r="D87" s="14">
        <f t="shared" si="5"/>
        <v>29044</v>
      </c>
      <c r="E87" s="17">
        <f>IF(F3="1",SUMIF(Data!A:A,'51'!$A$2,Data!ES:ES),0)</f>
        <v>97303</v>
      </c>
      <c r="F87" s="21">
        <f t="shared" si="4"/>
        <v>3.35</v>
      </c>
    </row>
    <row r="88" spans="1:6" x14ac:dyDescent="0.2">
      <c r="A88" s="19">
        <v>22</v>
      </c>
      <c r="B88" s="181" t="s">
        <v>19</v>
      </c>
      <c r="C88" s="182"/>
      <c r="D88" s="14">
        <f t="shared" si="5"/>
        <v>33272</v>
      </c>
      <c r="E88" s="17">
        <f>IF(F3="1",SUMIF(Data!A:A,'51'!$A$2,Data!ET:ET),0)</f>
        <v>134104</v>
      </c>
      <c r="F88" s="21">
        <f t="shared" si="4"/>
        <v>4.03</v>
      </c>
    </row>
    <row r="89" spans="1:6" x14ac:dyDescent="0.2">
      <c r="A89" s="19">
        <v>23</v>
      </c>
      <c r="B89" s="181" t="s">
        <v>20</v>
      </c>
      <c r="C89" s="182"/>
      <c r="D89" s="14">
        <f t="shared" si="5"/>
        <v>0</v>
      </c>
      <c r="E89" s="17">
        <f>IF(F3="1",SUMIF(Data!A:A,'51'!$A$2,Data!EU:EU),0)</f>
        <v>0</v>
      </c>
      <c r="F89" s="21" t="str">
        <f t="shared" si="4"/>
        <v/>
      </c>
    </row>
    <row r="90" spans="1:6" x14ac:dyDescent="0.2">
      <c r="A90" s="19">
        <v>24</v>
      </c>
      <c r="B90" s="181" t="s">
        <v>21</v>
      </c>
      <c r="C90" s="182"/>
      <c r="D90" s="14">
        <f t="shared" si="5"/>
        <v>37556</v>
      </c>
      <c r="E90" s="17">
        <f>IF(F3="1",SUMIF(Data!A:A,'51'!$A$2,Data!EV:EV),0)</f>
        <v>29393</v>
      </c>
      <c r="F90" s="21">
        <f t="shared" si="4"/>
        <v>0.78</v>
      </c>
    </row>
    <row r="91" spans="1:6" x14ac:dyDescent="0.2">
      <c r="A91" s="19">
        <v>25</v>
      </c>
      <c r="B91" s="181" t="s">
        <v>22</v>
      </c>
      <c r="C91" s="182"/>
      <c r="D91" s="14">
        <f t="shared" si="5"/>
        <v>185968</v>
      </c>
      <c r="E91" s="17">
        <f>IF(F3="1",SUMIF(Data!A:A,'51'!$A$2,Data!EW:EW),0)</f>
        <v>326724</v>
      </c>
      <c r="F91" s="21">
        <f t="shared" si="4"/>
        <v>1.76</v>
      </c>
    </row>
    <row r="92" spans="1:6" x14ac:dyDescent="0.2">
      <c r="A92" s="19">
        <v>26</v>
      </c>
      <c r="B92" s="181" t="s">
        <v>23</v>
      </c>
      <c r="C92" s="182"/>
      <c r="D92" s="14">
        <f t="shared" si="5"/>
        <v>55056</v>
      </c>
      <c r="E92" s="17">
        <f>IF(F3="1",SUMIF(Data!A:A,'51'!$A$2,Data!EX:EX),0)</f>
        <v>100540</v>
      </c>
      <c r="F92" s="21">
        <f t="shared" si="4"/>
        <v>1.83</v>
      </c>
    </row>
    <row r="93" spans="1:6" x14ac:dyDescent="0.2">
      <c r="A93" s="19">
        <v>28</v>
      </c>
      <c r="B93" s="181" t="s">
        <v>24</v>
      </c>
      <c r="C93" s="182"/>
      <c r="D93" s="14">
        <f t="shared" si="5"/>
        <v>0</v>
      </c>
      <c r="E93" s="17">
        <f>IF(F3="1",SUMIF(Data!A:A,'51'!$A$2,Data!EZ:EZ),0)</f>
        <v>0</v>
      </c>
      <c r="F93" s="21" t="str">
        <f t="shared" si="4"/>
        <v/>
      </c>
    </row>
    <row r="94" spans="1:6" ht="15.75" customHeight="1" thickBot="1" x14ac:dyDescent="0.25">
      <c r="A94" s="22">
        <v>29</v>
      </c>
      <c r="B94" s="183" t="s">
        <v>25</v>
      </c>
      <c r="C94" s="184"/>
      <c r="D94" s="23">
        <f t="shared" si="5"/>
        <v>0</v>
      </c>
      <c r="E94" s="24">
        <f>IF(F3="1",SUMIF(Data!A:A,'51'!$A$2,Data!FA:FA),0)</f>
        <v>0</v>
      </c>
      <c r="F94" s="25" t="str">
        <f t="shared" si="4"/>
        <v/>
      </c>
    </row>
    <row r="95" spans="1:6" x14ac:dyDescent="0.2">
      <c r="B95" s="30" t="s">
        <v>35</v>
      </c>
      <c r="C95" s="30"/>
      <c r="D95" s="59">
        <f>SUM(D67:D94)</f>
        <v>2766995</v>
      </c>
      <c r="E95" s="31">
        <f>SUM(E67:E94)</f>
        <v>7473090</v>
      </c>
      <c r="F95" s="32">
        <f t="shared" si="4"/>
        <v>2.7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IF(F3="1",SUMIF(Data!A:A,'51'!$A$2,Data!AH:AH),0)</f>
        <v>2497670</v>
      </c>
      <c r="F98" s="20">
        <f>IF(OR(E98=0,E98=0),"",ROUND(E98/$D$105,2))</f>
        <v>0.9</v>
      </c>
    </row>
    <row r="99" spans="2:6" x14ac:dyDescent="0.2">
      <c r="B99" s="187" t="s">
        <v>31</v>
      </c>
      <c r="C99" s="188"/>
      <c r="D99" s="36"/>
      <c r="E99" s="17">
        <f>IF(F3="1",SUMIF(Data!A:A,'51'!$A$2,Data!AI:AI),0)</f>
        <v>1415138</v>
      </c>
      <c r="F99" s="21">
        <f t="shared" ref="F99:F104" si="6">IF(OR(E99=0,E99=0),"",ROUND(E99/$D$105,2))</f>
        <v>0.51</v>
      </c>
    </row>
    <row r="100" spans="2:6" x14ac:dyDescent="0.2">
      <c r="B100" s="187" t="s">
        <v>1078</v>
      </c>
      <c r="C100" s="188"/>
      <c r="D100" s="36"/>
      <c r="E100" s="17">
        <f>IF(F3="1",SUMIF(Data!A:A,'51'!$A$2,Data!AJ:AJ),0)</f>
        <v>407018</v>
      </c>
      <c r="F100" s="21">
        <f t="shared" si="6"/>
        <v>0.15</v>
      </c>
    </row>
    <row r="101" spans="2:6" x14ac:dyDescent="0.2">
      <c r="B101" s="187" t="s">
        <v>1079</v>
      </c>
      <c r="C101" s="188"/>
      <c r="D101" s="36"/>
      <c r="E101" s="17">
        <f>IF(F3="1",SUMIF(Data!A:A,'51'!$A$2,Data!AK:AK),0)</f>
        <v>457501</v>
      </c>
      <c r="F101" s="21">
        <f t="shared" si="6"/>
        <v>0.17</v>
      </c>
    </row>
    <row r="102" spans="2:6" x14ac:dyDescent="0.2">
      <c r="B102" s="187" t="s">
        <v>1080</v>
      </c>
      <c r="C102" s="188"/>
      <c r="D102" s="36"/>
      <c r="E102" s="17">
        <f>IF(F3="1",SUMIF(Data!A:A,'51'!$A$2,Data!AL:AL),0)</f>
        <v>0</v>
      </c>
      <c r="F102" s="21" t="str">
        <f t="shared" si="6"/>
        <v/>
      </c>
    </row>
    <row r="103" spans="2:6" x14ac:dyDescent="0.2">
      <c r="B103" s="189" t="s">
        <v>34</v>
      </c>
      <c r="C103" s="190"/>
      <c r="D103" s="36"/>
      <c r="E103" s="17">
        <f>IF(F3="1",SUMIF(Data!A:A,'51'!$A$2,Data!AM:AM),0)</f>
        <v>0</v>
      </c>
      <c r="F103" s="21" t="str">
        <f t="shared" si="6"/>
        <v/>
      </c>
    </row>
    <row r="104" spans="2:6" ht="15.75" customHeight="1" thickBot="1" x14ac:dyDescent="0.25">
      <c r="B104" s="179" t="s">
        <v>29</v>
      </c>
      <c r="C104" s="180"/>
      <c r="D104" s="37"/>
      <c r="E104" s="24">
        <f>IF(F3="1",SUMIF(Data!A:A,'51'!$A$2,Data!Q:Q),0)</f>
        <v>658059</v>
      </c>
      <c r="F104" s="25">
        <f t="shared" si="6"/>
        <v>0.24</v>
      </c>
    </row>
    <row r="105" spans="2:6" x14ac:dyDescent="0.2">
      <c r="B105" s="30" t="s">
        <v>35</v>
      </c>
      <c r="C105" s="30"/>
      <c r="D105" s="34">
        <f>D95</f>
        <v>2766995</v>
      </c>
      <c r="E105" s="31">
        <f>SUM(E98:E104)</f>
        <v>5435386</v>
      </c>
      <c r="F105" s="32">
        <f>IF($D$105=0,"",ROUND(E105/$D$105,2))</f>
        <v>1.96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7473090</v>
      </c>
      <c r="D109" s="15">
        <f>IF(F3="1",SUMIF(Data!$A:$A,$A$2,Data!HJ:HJ),0)</f>
        <v>0</v>
      </c>
      <c r="E109" s="15">
        <f>IF(F3="1",SUMIF(Data!$A:$A,$A$2,Data!IN:IN),0)</f>
        <v>0</v>
      </c>
      <c r="F109" s="47">
        <f>SUM(C109:E109)</f>
        <v>7473090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658059</v>
      </c>
      <c r="E117" s="52"/>
      <c r="F117" s="49">
        <f>SUM(C117:E117)</f>
        <v>658059</v>
      </c>
    </row>
    <row r="118" spans="1:6" x14ac:dyDescent="0.2">
      <c r="B118" s="13" t="s">
        <v>35</v>
      </c>
      <c r="C118" s="4">
        <f>SUM(C109:C116)</f>
        <v>7473090</v>
      </c>
      <c r="D118" s="4">
        <f>SUM(D109:D116)</f>
        <v>0</v>
      </c>
      <c r="E118" s="4">
        <f>SUM(E109:E116)</f>
        <v>0</v>
      </c>
      <c r="F118" s="4">
        <f>SUM(F109:F116)</f>
        <v>7473090</v>
      </c>
    </row>
    <row r="119" spans="1:6" ht="15" thickBot="1" x14ac:dyDescent="0.25"/>
    <row r="120" spans="1:6" ht="15" thickBot="1" x14ac:dyDescent="0.25">
      <c r="B120" s="55" t="s">
        <v>934</v>
      </c>
      <c r="C120" s="53"/>
      <c r="D120" s="53"/>
      <c r="E120" s="53">
        <f>IF(F3="1",SUMIF(Data!A:A,'51'!$A$2,Data!AM:AM),0)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435</v>
      </c>
      <c r="B2" s="58" t="str">
        <f>VLOOKUP(A2,Data!A:G,7,0)</f>
        <v>Texas State Technical College-West Texas</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107072</v>
      </c>
      <c r="E6" s="17">
        <f t="shared" ref="E6:E32" si="1">E37+E68+IFERROR($E$105/$D$105*D6,0)</f>
        <v>851410.04965753795</v>
      </c>
      <c r="F6" s="21">
        <f t="shared" ref="F6:F33" si="2">IF(OR(D6=0,E6=0),"",ROUND(E6/D6,2))</f>
        <v>7.95</v>
      </c>
    </row>
    <row r="7" spans="1:6" ht="14.25" customHeight="1" x14ac:dyDescent="0.2">
      <c r="A7" s="19">
        <v>3</v>
      </c>
      <c r="B7" s="181" t="s">
        <v>2</v>
      </c>
      <c r="C7" s="182"/>
      <c r="D7" s="14">
        <f t="shared" si="0"/>
        <v>16128</v>
      </c>
      <c r="E7" s="17">
        <f t="shared" si="1"/>
        <v>106716.34220782999</v>
      </c>
      <c r="F7" s="21">
        <f t="shared" si="2"/>
        <v>6.62</v>
      </c>
    </row>
    <row r="8" spans="1:6" ht="14.25" customHeight="1" x14ac:dyDescent="0.2">
      <c r="A8" s="19">
        <v>4</v>
      </c>
      <c r="B8" s="181" t="s">
        <v>3</v>
      </c>
      <c r="C8" s="182"/>
      <c r="D8" s="14">
        <f t="shared" si="0"/>
        <v>293942</v>
      </c>
      <c r="E8" s="17">
        <f t="shared" si="1"/>
        <v>1706698.1992344966</v>
      </c>
      <c r="F8" s="21">
        <f t="shared" si="2"/>
        <v>5.81</v>
      </c>
    </row>
    <row r="9" spans="1:6" x14ac:dyDescent="0.2">
      <c r="A9" s="19">
        <v>5</v>
      </c>
      <c r="B9" s="181" t="s">
        <v>4</v>
      </c>
      <c r="C9" s="182"/>
      <c r="D9" s="14">
        <f t="shared" si="0"/>
        <v>0</v>
      </c>
      <c r="E9" s="17">
        <f t="shared" si="1"/>
        <v>22399</v>
      </c>
      <c r="F9" s="21" t="str">
        <f t="shared" si="2"/>
        <v/>
      </c>
    </row>
    <row r="10" spans="1:6" x14ac:dyDescent="0.2">
      <c r="A10" s="19">
        <v>6</v>
      </c>
      <c r="B10" s="181" t="s">
        <v>5</v>
      </c>
      <c r="C10" s="182"/>
      <c r="D10" s="14">
        <f t="shared" si="0"/>
        <v>43296</v>
      </c>
      <c r="E10" s="17">
        <f t="shared" si="1"/>
        <v>300223.6805698293</v>
      </c>
      <c r="F10" s="21">
        <f t="shared" si="2"/>
        <v>6.93</v>
      </c>
    </row>
    <row r="11" spans="1:6" x14ac:dyDescent="0.2">
      <c r="A11" s="19">
        <v>7</v>
      </c>
      <c r="B11" s="181" t="s">
        <v>6</v>
      </c>
      <c r="C11" s="182"/>
      <c r="D11" s="14">
        <f t="shared" si="0"/>
        <v>278800</v>
      </c>
      <c r="E11" s="17">
        <f t="shared" si="1"/>
        <v>1859207.1854875372</v>
      </c>
      <c r="F11" s="21">
        <f t="shared" si="2"/>
        <v>6.67</v>
      </c>
    </row>
    <row r="12" spans="1:6" x14ac:dyDescent="0.2">
      <c r="A12" s="19">
        <v>8</v>
      </c>
      <c r="B12" s="181" t="s">
        <v>7</v>
      </c>
      <c r="C12" s="182"/>
      <c r="D12" s="14">
        <f t="shared" si="0"/>
        <v>15186</v>
      </c>
      <c r="E12" s="17">
        <f t="shared" si="1"/>
        <v>107598.39960119706</v>
      </c>
      <c r="F12" s="21">
        <f t="shared" si="2"/>
        <v>7.09</v>
      </c>
    </row>
    <row r="13" spans="1:6" x14ac:dyDescent="0.2">
      <c r="A13" s="19">
        <v>9</v>
      </c>
      <c r="B13" s="181" t="s">
        <v>8</v>
      </c>
      <c r="C13" s="182"/>
      <c r="D13" s="14">
        <f t="shared" si="0"/>
        <v>0</v>
      </c>
      <c r="E13" s="17">
        <f t="shared" si="1"/>
        <v>0</v>
      </c>
      <c r="F13" s="21" t="str">
        <f t="shared" si="2"/>
        <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139882</v>
      </c>
      <c r="E15" s="17">
        <f t="shared" si="1"/>
        <v>932312.91051064455</v>
      </c>
      <c r="F15" s="21">
        <f t="shared" si="2"/>
        <v>6.66</v>
      </c>
    </row>
    <row r="16" spans="1:6" ht="14.25" customHeight="1" x14ac:dyDescent="0.2">
      <c r="A16" s="19">
        <v>12</v>
      </c>
      <c r="B16" s="181" t="s">
        <v>11</v>
      </c>
      <c r="C16" s="182"/>
      <c r="D16" s="14">
        <f t="shared" si="0"/>
        <v>163766</v>
      </c>
      <c r="E16" s="17">
        <f t="shared" si="1"/>
        <v>903324.72284272604</v>
      </c>
      <c r="F16" s="21">
        <f t="shared" si="2"/>
        <v>5.52</v>
      </c>
    </row>
    <row r="17" spans="1:6" x14ac:dyDescent="0.2">
      <c r="A17" s="19">
        <v>13</v>
      </c>
      <c r="B17" s="181" t="s">
        <v>12</v>
      </c>
      <c r="C17" s="182"/>
      <c r="D17" s="14">
        <f t="shared" si="0"/>
        <v>2088</v>
      </c>
      <c r="E17" s="17">
        <f t="shared" si="1"/>
        <v>7157.4014465494174</v>
      </c>
      <c r="F17" s="21">
        <f t="shared" si="2"/>
        <v>3.43</v>
      </c>
    </row>
    <row r="18" spans="1:6" ht="14.25" customHeight="1" x14ac:dyDescent="0.2">
      <c r="A18" s="19">
        <v>14</v>
      </c>
      <c r="B18" s="181" t="s">
        <v>464</v>
      </c>
      <c r="C18" s="182"/>
      <c r="D18" s="14">
        <f t="shared" si="0"/>
        <v>16102</v>
      </c>
      <c r="E18" s="17">
        <f t="shared" si="1"/>
        <v>70590.79602123503</v>
      </c>
      <c r="F18" s="21">
        <f t="shared" si="2"/>
        <v>4.38</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160842</v>
      </c>
      <c r="E20" s="17">
        <f t="shared" si="1"/>
        <v>1040678.9901656616</v>
      </c>
      <c r="F20" s="21">
        <f t="shared" si="2"/>
        <v>6.47</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186800</v>
      </c>
      <c r="E22" s="17">
        <f t="shared" si="1"/>
        <v>963854.21753612603</v>
      </c>
      <c r="F22" s="21">
        <f t="shared" si="2"/>
        <v>5.16</v>
      </c>
    </row>
    <row r="23" spans="1:6" x14ac:dyDescent="0.2">
      <c r="A23" s="19">
        <v>19</v>
      </c>
      <c r="B23" s="181" t="s">
        <v>17</v>
      </c>
      <c r="C23" s="182"/>
      <c r="D23" s="14">
        <f t="shared" si="0"/>
        <v>47360</v>
      </c>
      <c r="E23" s="17">
        <f t="shared" si="1"/>
        <v>497744.59219759598</v>
      </c>
      <c r="F23" s="21">
        <f t="shared" si="2"/>
        <v>10.51</v>
      </c>
    </row>
    <row r="24" spans="1:6" x14ac:dyDescent="0.2">
      <c r="A24" s="19">
        <v>20</v>
      </c>
      <c r="B24" s="181" t="s">
        <v>18</v>
      </c>
      <c r="C24" s="182"/>
      <c r="D24" s="14">
        <f t="shared" si="0"/>
        <v>73632</v>
      </c>
      <c r="E24" s="17">
        <f t="shared" si="1"/>
        <v>436155.80043693807</v>
      </c>
      <c r="F24" s="21">
        <f t="shared" si="2"/>
        <v>5.92</v>
      </c>
    </row>
    <row r="25" spans="1:6" ht="14.25" customHeight="1" x14ac:dyDescent="0.2">
      <c r="A25" s="19">
        <v>21</v>
      </c>
      <c r="B25" s="181" t="s">
        <v>461</v>
      </c>
      <c r="C25" s="182"/>
      <c r="D25" s="14">
        <f t="shared" si="0"/>
        <v>101064</v>
      </c>
      <c r="E25" s="17">
        <f t="shared" si="1"/>
        <v>706685.45392436325</v>
      </c>
      <c r="F25" s="21">
        <f t="shared" si="2"/>
        <v>6.99</v>
      </c>
    </row>
    <row r="26" spans="1:6" x14ac:dyDescent="0.2">
      <c r="A26" s="19">
        <v>22</v>
      </c>
      <c r="B26" s="181" t="s">
        <v>19</v>
      </c>
      <c r="C26" s="182"/>
      <c r="D26" s="14">
        <f t="shared" si="0"/>
        <v>29366</v>
      </c>
      <c r="E26" s="17">
        <f t="shared" si="1"/>
        <v>275727.20444414282</v>
      </c>
      <c r="F26" s="21">
        <f t="shared" si="2"/>
        <v>9.39</v>
      </c>
    </row>
    <row r="27" spans="1:6" x14ac:dyDescent="0.2">
      <c r="A27" s="19">
        <v>23</v>
      </c>
      <c r="B27" s="181" t="s">
        <v>20</v>
      </c>
      <c r="C27" s="182"/>
      <c r="D27" s="14">
        <f t="shared" si="0"/>
        <v>0</v>
      </c>
      <c r="E27" s="17">
        <f t="shared" si="1"/>
        <v>0</v>
      </c>
      <c r="F27" s="21" t="str">
        <f t="shared" si="2"/>
        <v/>
      </c>
    </row>
    <row r="28" spans="1:6" x14ac:dyDescent="0.2">
      <c r="A28" s="19">
        <v>24</v>
      </c>
      <c r="B28" s="181" t="s">
        <v>21</v>
      </c>
      <c r="C28" s="182"/>
      <c r="D28" s="14">
        <f t="shared" si="0"/>
        <v>84418</v>
      </c>
      <c r="E28" s="17">
        <f t="shared" si="1"/>
        <v>344041.61461437203</v>
      </c>
      <c r="F28" s="21">
        <f t="shared" si="2"/>
        <v>4.08</v>
      </c>
    </row>
    <row r="29" spans="1:6" x14ac:dyDescent="0.2">
      <c r="A29" s="19">
        <v>25</v>
      </c>
      <c r="B29" s="181" t="s">
        <v>22</v>
      </c>
      <c r="C29" s="182"/>
      <c r="D29" s="14">
        <f t="shared" si="0"/>
        <v>25872</v>
      </c>
      <c r="E29" s="17">
        <f t="shared" si="1"/>
        <v>163220.88229172726</v>
      </c>
      <c r="F29" s="21">
        <f t="shared" si="2"/>
        <v>6.31</v>
      </c>
    </row>
    <row r="30" spans="1:6" x14ac:dyDescent="0.2">
      <c r="A30" s="19">
        <v>26</v>
      </c>
      <c r="B30" s="181" t="s">
        <v>23</v>
      </c>
      <c r="C30" s="182"/>
      <c r="D30" s="14">
        <f t="shared" si="0"/>
        <v>70940</v>
      </c>
      <c r="E30" s="17">
        <f t="shared" si="1"/>
        <v>498835.55680949031</v>
      </c>
      <c r="F30" s="21">
        <f t="shared" si="2"/>
        <v>7.03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1856556</v>
      </c>
      <c r="E33" s="31">
        <f>SUM(E5:E32)</f>
        <v>11794582.999999998</v>
      </c>
      <c r="F33" s="32">
        <f t="shared" si="2"/>
        <v>6.35</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IF(F3="1",SUMIF(Data!A:A,'52'!$A$2,Data!CU:CU),0)</f>
        <v>0</v>
      </c>
      <c r="E36" s="15">
        <f>IF(F3="1",SUMIF(Data!$A:$A,$A$2,Data!IO:IO),0)</f>
        <v>0</v>
      </c>
      <c r="F36" s="20" t="str">
        <f t="shared" ref="F36:F64" si="3">IF(OR(D36=0,E36=0),"",ROUND(E36/D36,2))</f>
        <v/>
      </c>
    </row>
    <row r="37" spans="1:6" x14ac:dyDescent="0.2">
      <c r="A37" s="19">
        <v>2</v>
      </c>
      <c r="B37" s="181" t="s">
        <v>1</v>
      </c>
      <c r="C37" s="182"/>
      <c r="D37" s="14">
        <f>IF(F3="1",SUMIF(Data!A:A,'52'!$A$2,Data!CV:CV),0)</f>
        <v>107072</v>
      </c>
      <c r="E37" s="17">
        <f>IF(F3="1",SUMIF(Data!$A:$A,$A$2,Data!IP:IP),0)</f>
        <v>187118</v>
      </c>
      <c r="F37" s="21">
        <f t="shared" si="3"/>
        <v>1.75</v>
      </c>
    </row>
    <row r="38" spans="1:6" ht="14.25" customHeight="1" x14ac:dyDescent="0.2">
      <c r="A38" s="19">
        <v>3</v>
      </c>
      <c r="B38" s="181" t="s">
        <v>2</v>
      </c>
      <c r="C38" s="182"/>
      <c r="D38" s="14">
        <f>IF(F3="1",SUMIF(Data!A:A,'52'!$A$2,Data!CW:CW),0)</f>
        <v>16128</v>
      </c>
      <c r="E38" s="17">
        <f>IF($F$3="1",SUMIF(Data!$A:$A,$A$2,Data!IQ:IQ),0)</f>
        <v>15920</v>
      </c>
      <c r="F38" s="21">
        <f t="shared" si="3"/>
        <v>0.99</v>
      </c>
    </row>
    <row r="39" spans="1:6" ht="14.25" customHeight="1" x14ac:dyDescent="0.2">
      <c r="A39" s="19">
        <v>4</v>
      </c>
      <c r="B39" s="181" t="s">
        <v>3</v>
      </c>
      <c r="C39" s="182"/>
      <c r="D39" s="14">
        <f>IF(F3="1",SUMIF(Data!A:A,'52'!$A$2,Data!CX:CX),0)</f>
        <v>293942</v>
      </c>
      <c r="E39" s="17">
        <f>IF($F$3="1",SUMIF(Data!$A:$A,$A$2,Data!IR:IR),0)</f>
        <v>390298</v>
      </c>
      <c r="F39" s="21">
        <f t="shared" si="3"/>
        <v>1.33</v>
      </c>
    </row>
    <row r="40" spans="1:6" x14ac:dyDescent="0.2">
      <c r="A40" s="19">
        <v>5</v>
      </c>
      <c r="B40" s="181" t="s">
        <v>4</v>
      </c>
      <c r="C40" s="182"/>
      <c r="D40" s="14">
        <f>IF(F3="1",SUMIF(Data!A:A,'52'!$A$2,Data!CY:CY),0)</f>
        <v>0</v>
      </c>
      <c r="E40" s="17">
        <f>IF($F$3="1",SUMIF(Data!$A:$A,$A$2,Data!IS:IS),0)</f>
        <v>417</v>
      </c>
      <c r="F40" s="21" t="str">
        <f t="shared" si="3"/>
        <v/>
      </c>
    </row>
    <row r="41" spans="1:6" x14ac:dyDescent="0.2">
      <c r="A41" s="19">
        <v>6</v>
      </c>
      <c r="B41" s="181" t="s">
        <v>5</v>
      </c>
      <c r="C41" s="182"/>
      <c r="D41" s="14">
        <f>IF(F3="1",SUMIF(Data!A:A,'52'!$A$2,Data!CZ:CZ),0)</f>
        <v>43296</v>
      </c>
      <c r="E41" s="17">
        <f>IF($F$3="1",SUMIF(Data!$A:$A,$A$2,Data!IT:IT),0)</f>
        <v>73357</v>
      </c>
      <c r="F41" s="21">
        <f t="shared" si="3"/>
        <v>1.69</v>
      </c>
    </row>
    <row r="42" spans="1:6" x14ac:dyDescent="0.2">
      <c r="A42" s="19">
        <v>7</v>
      </c>
      <c r="B42" s="181" t="s">
        <v>6</v>
      </c>
      <c r="C42" s="182"/>
      <c r="D42" s="14">
        <f>IF(F3="1",SUMIF(Data!A:A,'52'!$A$2,Data!DA:DA),0)</f>
        <v>278800</v>
      </c>
      <c r="E42" s="17">
        <f>IF($F$3="1",SUMIF(Data!$A:$A,$A$2,Data!IU:IU),0)</f>
        <v>453684</v>
      </c>
      <c r="F42" s="21">
        <f t="shared" si="3"/>
        <v>1.63</v>
      </c>
    </row>
    <row r="43" spans="1:6" x14ac:dyDescent="0.2">
      <c r="A43" s="19">
        <v>8</v>
      </c>
      <c r="B43" s="181" t="s">
        <v>7</v>
      </c>
      <c r="C43" s="182"/>
      <c r="D43" s="14">
        <f>IF(F3="1",SUMIF(Data!A:A,'52'!$A$2,Data!DB:DB),0)</f>
        <v>15186</v>
      </c>
      <c r="E43" s="17">
        <f>IF($F$3="1",SUMIF(Data!$A:$A,$A$2,Data!IV:IV),0)</f>
        <v>22855</v>
      </c>
      <c r="F43" s="21">
        <f t="shared" si="3"/>
        <v>1.51</v>
      </c>
    </row>
    <row r="44" spans="1:6" x14ac:dyDescent="0.2">
      <c r="A44" s="19">
        <v>9</v>
      </c>
      <c r="B44" s="181" t="s">
        <v>8</v>
      </c>
      <c r="C44" s="182"/>
      <c r="D44" s="14">
        <f>IF(F3="1",SUMIF(Data!A:A,'52'!$A$2,Data!DC:DC),0)</f>
        <v>0</v>
      </c>
      <c r="E44" s="17">
        <f>IF($F$3="1",SUMIF(Data!$A:$A,$A$2,Data!IW:IW),0)</f>
        <v>0</v>
      </c>
      <c r="F44" s="21" t="str">
        <f t="shared" si="3"/>
        <v/>
      </c>
    </row>
    <row r="45" spans="1:6" x14ac:dyDescent="0.2">
      <c r="A45" s="19">
        <v>10</v>
      </c>
      <c r="B45" s="181" t="s">
        <v>9</v>
      </c>
      <c r="C45" s="182"/>
      <c r="D45" s="14">
        <f>IF(F3="1",SUMIF(Data!A:A,'52'!$A$2,Data!DD:DD),0)</f>
        <v>0</v>
      </c>
      <c r="E45" s="17">
        <f>IF($F$3="1",SUMIF(Data!$A:$A,$A$2,Data!IX:IX),0)</f>
        <v>0</v>
      </c>
      <c r="F45" s="21" t="str">
        <f t="shared" si="3"/>
        <v/>
      </c>
    </row>
    <row r="46" spans="1:6" x14ac:dyDescent="0.2">
      <c r="A46" s="19">
        <v>11</v>
      </c>
      <c r="B46" s="181" t="s">
        <v>10</v>
      </c>
      <c r="C46" s="182"/>
      <c r="D46" s="14">
        <f>IF(F3="1",SUMIF(Data!A:A,'52'!$A$2,Data!DE:DE),0)</f>
        <v>139882</v>
      </c>
      <c r="E46" s="17">
        <f>IF($F$3="1",SUMIF(Data!$A:$A,$A$2,Data!IY:IY),0)</f>
        <v>176552</v>
      </c>
      <c r="F46" s="21">
        <f t="shared" si="3"/>
        <v>1.26</v>
      </c>
    </row>
    <row r="47" spans="1:6" ht="14.25" customHeight="1" x14ac:dyDescent="0.2">
      <c r="A47" s="19">
        <v>12</v>
      </c>
      <c r="B47" s="181" t="s">
        <v>11</v>
      </c>
      <c r="C47" s="182"/>
      <c r="D47" s="14">
        <f>IF(F3="1",SUMIF(Data!A:A,'52'!$A$2,Data!DF:DF),0)</f>
        <v>163766</v>
      </c>
      <c r="E47" s="17">
        <f>IF($F$3="1",SUMIF(Data!$A:$A,$A$2,Data!IZ:IZ),0)</f>
        <v>144270</v>
      </c>
      <c r="F47" s="21">
        <f t="shared" si="3"/>
        <v>0.88</v>
      </c>
    </row>
    <row r="48" spans="1:6" x14ac:dyDescent="0.2">
      <c r="A48" s="19">
        <v>13</v>
      </c>
      <c r="B48" s="181" t="s">
        <v>12</v>
      </c>
      <c r="C48" s="182"/>
      <c r="D48" s="14">
        <f>IF(F3="1",SUMIF(Data!A:A,'52'!$A$2,Data!DG:DG),0)</f>
        <v>2088</v>
      </c>
      <c r="E48" s="17">
        <f>IF($F$3="1",SUMIF(Data!$A:$A,$A$2,Data!JA:JA),0)</f>
        <v>1519</v>
      </c>
      <c r="F48" s="21">
        <f t="shared" si="3"/>
        <v>0.73</v>
      </c>
    </row>
    <row r="49" spans="1:6" ht="14.25" customHeight="1" x14ac:dyDescent="0.2">
      <c r="A49" s="19">
        <v>14</v>
      </c>
      <c r="B49" s="181" t="s">
        <v>464</v>
      </c>
      <c r="C49" s="182"/>
      <c r="D49" s="14">
        <f>IF(F3="1",SUMIF(Data!A:A,'52'!$A$2,Data!DH:DH),0)</f>
        <v>16102</v>
      </c>
      <c r="E49" s="17">
        <f>IF($F$3="1",SUMIF(Data!$A:$A,$A$2,Data!JB:JB),0)</f>
        <v>14323</v>
      </c>
      <c r="F49" s="21">
        <f t="shared" si="3"/>
        <v>0.89</v>
      </c>
    </row>
    <row r="50" spans="1:6" x14ac:dyDescent="0.2">
      <c r="A50" s="19">
        <v>15</v>
      </c>
      <c r="B50" s="181" t="s">
        <v>13</v>
      </c>
      <c r="C50" s="182"/>
      <c r="D50" s="14">
        <f>IF(F3="1",SUMIF(Data!A:A,'52'!$A$2,Data!DI:DI),0)</f>
        <v>0</v>
      </c>
      <c r="E50" s="17">
        <f>IF($F$3="1",SUMIF(Data!$A:$A,$A$2,Data!JC:JC),0)</f>
        <v>0</v>
      </c>
      <c r="F50" s="21" t="str">
        <f t="shared" si="3"/>
        <v/>
      </c>
    </row>
    <row r="51" spans="1:6" x14ac:dyDescent="0.2">
      <c r="A51" s="19">
        <v>16</v>
      </c>
      <c r="B51" s="181" t="s">
        <v>14</v>
      </c>
      <c r="C51" s="182"/>
      <c r="D51" s="14">
        <f>IF(F3="1",SUMIF(Data!A:A,'52'!$A$2,Data!DJ:DJ),0)</f>
        <v>160842</v>
      </c>
      <c r="E51" s="17">
        <f>IF($F$3="1",SUMIF(Data!$A:$A,$A$2,Data!JD:JD),0)</f>
        <v>205359</v>
      </c>
      <c r="F51" s="21">
        <f t="shared" si="3"/>
        <v>1.28</v>
      </c>
    </row>
    <row r="52" spans="1:6" x14ac:dyDescent="0.2">
      <c r="A52" s="19">
        <v>17</v>
      </c>
      <c r="B52" s="181" t="s">
        <v>15</v>
      </c>
      <c r="C52" s="182"/>
      <c r="D52" s="14">
        <f>IF(F3="1",SUMIF(Data!A:A,'52'!$A$2,Data!DK:DK),0)</f>
        <v>0</v>
      </c>
      <c r="E52" s="17">
        <f>IF($F$3="1",SUMIF(Data!$A:$A,$A$2,Data!JE:JE),0)</f>
        <v>0</v>
      </c>
      <c r="F52" s="21" t="str">
        <f t="shared" si="3"/>
        <v/>
      </c>
    </row>
    <row r="53" spans="1:6" x14ac:dyDescent="0.2">
      <c r="A53" s="19">
        <v>18</v>
      </c>
      <c r="B53" s="181" t="s">
        <v>16</v>
      </c>
      <c r="C53" s="182"/>
      <c r="D53" s="14">
        <f>IF(F3="1",SUMIF(Data!A:A,'52'!$A$2,Data!DL:DL),0)</f>
        <v>186800</v>
      </c>
      <c r="E53" s="17">
        <f>IF($F$3="1",SUMIF(Data!$A:$A,$A$2,Data!JF:JF),0)</f>
        <v>194974</v>
      </c>
      <c r="F53" s="21">
        <f t="shared" si="3"/>
        <v>1.04</v>
      </c>
    </row>
    <row r="54" spans="1:6" x14ac:dyDescent="0.2">
      <c r="A54" s="19">
        <v>19</v>
      </c>
      <c r="B54" s="181" t="s">
        <v>17</v>
      </c>
      <c r="C54" s="182"/>
      <c r="D54" s="14">
        <f>IF(F3="1",SUMIF(Data!A:A,'52'!$A$2,Data!DM:DM),0)</f>
        <v>47360</v>
      </c>
      <c r="E54" s="17">
        <f>IF($F$3="1",SUMIF(Data!$A:$A,$A$2,Data!JG:JG),0)</f>
        <v>53563</v>
      </c>
      <c r="F54" s="21">
        <f t="shared" si="3"/>
        <v>1.1299999999999999</v>
      </c>
    </row>
    <row r="55" spans="1:6" x14ac:dyDescent="0.2">
      <c r="A55" s="19">
        <v>20</v>
      </c>
      <c r="B55" s="181" t="s">
        <v>18</v>
      </c>
      <c r="C55" s="182"/>
      <c r="D55" s="14">
        <f>IF(F3="1",SUMIF(Data!A:A,'52'!$A$2,Data!DN:DN),0)</f>
        <v>73632</v>
      </c>
      <c r="E55" s="17">
        <f>IF($F$3="1",SUMIF(Data!$A:$A,$A$2,Data!JH:JH),0)</f>
        <v>99199</v>
      </c>
      <c r="F55" s="21">
        <f t="shared" si="3"/>
        <v>1.35</v>
      </c>
    </row>
    <row r="56" spans="1:6" ht="14.25" customHeight="1" x14ac:dyDescent="0.2">
      <c r="A56" s="19">
        <v>21</v>
      </c>
      <c r="B56" s="181" t="s">
        <v>461</v>
      </c>
      <c r="C56" s="182"/>
      <c r="D56" s="14">
        <f>IF(F3="1",SUMIF(Data!A:A,'52'!$A$2,Data!DO:DO),0)</f>
        <v>101064</v>
      </c>
      <c r="E56" s="17">
        <f>IF($F$3="1",SUMIF(Data!$A:$A,$A$2,Data!JI:JI),0)</f>
        <v>154602</v>
      </c>
      <c r="F56" s="21">
        <f t="shared" si="3"/>
        <v>1.53</v>
      </c>
    </row>
    <row r="57" spans="1:6" x14ac:dyDescent="0.2">
      <c r="A57" s="19">
        <v>22</v>
      </c>
      <c r="B57" s="181" t="s">
        <v>19</v>
      </c>
      <c r="C57" s="182"/>
      <c r="D57" s="14">
        <f>IF(F3="1",SUMIF(Data!A:A,'52'!$A$2,Data!DP:DP),0)</f>
        <v>29366</v>
      </c>
      <c r="E57" s="17">
        <f>IF($F$3="1",SUMIF(Data!$A:$A,$A$2,Data!JJ:JJ),0)</f>
        <v>37103</v>
      </c>
      <c r="F57" s="21">
        <f t="shared" si="3"/>
        <v>1.26</v>
      </c>
    </row>
    <row r="58" spans="1:6" x14ac:dyDescent="0.2">
      <c r="A58" s="19">
        <v>23</v>
      </c>
      <c r="B58" s="181" t="s">
        <v>20</v>
      </c>
      <c r="C58" s="182"/>
      <c r="D58" s="14">
        <f>IF(F3="1",SUMIF(Data!A:A,'52'!$A$2,Data!DQ:DQ),0)</f>
        <v>0</v>
      </c>
      <c r="E58" s="17">
        <f>IF($F$3="1",SUMIF(Data!$A:$A,$A$2,Data!JK:JK),0)</f>
        <v>0</v>
      </c>
      <c r="F58" s="21" t="str">
        <f t="shared" si="3"/>
        <v/>
      </c>
    </row>
    <row r="59" spans="1:6" x14ac:dyDescent="0.2">
      <c r="A59" s="19">
        <v>24</v>
      </c>
      <c r="B59" s="181" t="s">
        <v>21</v>
      </c>
      <c r="C59" s="182"/>
      <c r="D59" s="14">
        <f>IF(F3="1",SUMIF(Data!A:A,'52'!$A$2,Data!DR:DR),0)</f>
        <v>84418</v>
      </c>
      <c r="E59" s="17">
        <f>IF($F$3="1",SUMIF(Data!$A:$A,$A$2,Data!JL:JL),0)</f>
        <v>77087</v>
      </c>
      <c r="F59" s="21">
        <f t="shared" si="3"/>
        <v>0.91</v>
      </c>
    </row>
    <row r="60" spans="1:6" x14ac:dyDescent="0.2">
      <c r="A60" s="19">
        <v>25</v>
      </c>
      <c r="B60" s="181" t="s">
        <v>22</v>
      </c>
      <c r="C60" s="182"/>
      <c r="D60" s="14">
        <f>IF(F3="1",SUMIF(Data!A:A,'52'!$A$2,Data!DS:DS),0)</f>
        <v>25872</v>
      </c>
      <c r="E60" s="17">
        <f>IF($F$3="1",SUMIF(Data!$A:$A,$A$2,Data!JM:JM),0)</f>
        <v>22679</v>
      </c>
      <c r="F60" s="21">
        <f t="shared" si="3"/>
        <v>0.88</v>
      </c>
    </row>
    <row r="61" spans="1:6" x14ac:dyDescent="0.2">
      <c r="A61" s="19">
        <v>26</v>
      </c>
      <c r="B61" s="181" t="s">
        <v>23</v>
      </c>
      <c r="C61" s="182"/>
      <c r="D61" s="14">
        <f>IF(F3="1",SUMIF(Data!A:A,'52'!$A$2,Data!DT:DT),0)</f>
        <v>70940</v>
      </c>
      <c r="E61" s="17">
        <f>IF($F$3="1",SUMIF(Data!$A:$A,$A$2,Data!JN:JN),0)</f>
        <v>122542</v>
      </c>
      <c r="F61" s="21">
        <f t="shared" si="3"/>
        <v>1.73</v>
      </c>
    </row>
    <row r="62" spans="1:6" x14ac:dyDescent="0.2">
      <c r="A62" s="19">
        <v>28</v>
      </c>
      <c r="B62" s="181" t="s">
        <v>24</v>
      </c>
      <c r="C62" s="182"/>
      <c r="D62" s="14">
        <f>IF(F3="1",SUMIF(Data!A:A,'52'!$A$2,Data!DV:DV),0)</f>
        <v>0</v>
      </c>
      <c r="E62" s="17">
        <f>IF($F$3="1",SUMIF(Data!$A:$A,$A$2,Data!JP:JP),0)</f>
        <v>0</v>
      </c>
      <c r="F62" s="21" t="str">
        <f t="shared" si="3"/>
        <v/>
      </c>
    </row>
    <row r="63" spans="1:6" ht="15.75" customHeight="1" thickBot="1" x14ac:dyDescent="0.25">
      <c r="A63" s="22">
        <v>29</v>
      </c>
      <c r="B63" s="183" t="s">
        <v>25</v>
      </c>
      <c r="C63" s="184"/>
      <c r="D63" s="23">
        <f>IF(F3="1",SUMIF(Data!A:A,'52'!$A$2,Data!DW:DW),0)</f>
        <v>0</v>
      </c>
      <c r="E63" s="24">
        <f>IF($F$3="1",SUMIF(Data!$A:$A,$A$2,Data!JQ:JQ),0)</f>
        <v>0</v>
      </c>
      <c r="F63" s="25" t="str">
        <f t="shared" si="3"/>
        <v/>
      </c>
    </row>
    <row r="64" spans="1:6" x14ac:dyDescent="0.2">
      <c r="B64" s="30" t="s">
        <v>35</v>
      </c>
      <c r="C64" s="30"/>
      <c r="D64" s="59">
        <f>SUM(D36:D63)</f>
        <v>1856556</v>
      </c>
      <c r="E64" s="31">
        <f>SUM(E36:E63)</f>
        <v>2447421</v>
      </c>
      <c r="F64" s="32">
        <f t="shared" si="3"/>
        <v>1.32</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IF(F3="1",SUMIF(Data!A:A,'52'!$A$2,Data!DY:DY),0)</f>
        <v>0</v>
      </c>
      <c r="F67" s="20" t="str">
        <f t="shared" ref="F67:F95" si="4">IF(OR(D67=0,E67=0),"",ROUND(E67/D67,2))</f>
        <v/>
      </c>
    </row>
    <row r="68" spans="1:6" x14ac:dyDescent="0.2">
      <c r="A68" s="19">
        <v>2</v>
      </c>
      <c r="B68" s="181" t="s">
        <v>1</v>
      </c>
      <c r="C68" s="182"/>
      <c r="D68" s="14">
        <f t="shared" ref="D68:D94" si="5">D37</f>
        <v>107072</v>
      </c>
      <c r="E68" s="17">
        <f>IF(F3="1",SUMIF(Data!A:A,'52'!$A$2,Data!DZ:DZ),0)</f>
        <v>427308</v>
      </c>
      <c r="F68" s="21">
        <f t="shared" si="4"/>
        <v>3.99</v>
      </c>
    </row>
    <row r="69" spans="1:6" ht="14.25" customHeight="1" x14ac:dyDescent="0.2">
      <c r="A69" s="19">
        <v>3</v>
      </c>
      <c r="B69" s="181" t="s">
        <v>2</v>
      </c>
      <c r="C69" s="182"/>
      <c r="D69" s="14">
        <f t="shared" si="5"/>
        <v>16128</v>
      </c>
      <c r="E69" s="17">
        <f>IF(F3="1",SUMIF(Data!A:A,'52'!$A$2,Data!EA:EA),0)</f>
        <v>55100</v>
      </c>
      <c r="F69" s="21">
        <f t="shared" si="4"/>
        <v>3.42</v>
      </c>
    </row>
    <row r="70" spans="1:6" ht="14.25" customHeight="1" x14ac:dyDescent="0.2">
      <c r="A70" s="19">
        <v>4</v>
      </c>
      <c r="B70" s="181" t="s">
        <v>3</v>
      </c>
      <c r="C70" s="182"/>
      <c r="D70" s="14">
        <f t="shared" si="5"/>
        <v>293942</v>
      </c>
      <c r="E70" s="17">
        <f>IF(F3="1",SUMIF(Data!A:A,'52'!$A$2,Data!EB:EB),0)</f>
        <v>665814</v>
      </c>
      <c r="F70" s="21">
        <f t="shared" si="4"/>
        <v>2.27</v>
      </c>
    </row>
    <row r="71" spans="1:6" x14ac:dyDescent="0.2">
      <c r="A71" s="19">
        <v>5</v>
      </c>
      <c r="B71" s="181" t="s">
        <v>4</v>
      </c>
      <c r="C71" s="182"/>
      <c r="D71" s="14">
        <f t="shared" si="5"/>
        <v>0</v>
      </c>
      <c r="E71" s="17">
        <f>IF(F3="1",SUMIF(Data!A:A,'52'!$A$2,Data!EC:EC),0)</f>
        <v>21982</v>
      </c>
      <c r="F71" s="21" t="str">
        <f t="shared" si="4"/>
        <v/>
      </c>
    </row>
    <row r="72" spans="1:6" x14ac:dyDescent="0.2">
      <c r="A72" s="19">
        <v>6</v>
      </c>
      <c r="B72" s="181" t="s">
        <v>5</v>
      </c>
      <c r="C72" s="182"/>
      <c r="D72" s="14">
        <f t="shared" si="5"/>
        <v>43296</v>
      </c>
      <c r="E72" s="17">
        <f>IF(F3="1",SUMIF(Data!A:A,'52'!$A$2,Data!ED:ED),0)</f>
        <v>131039</v>
      </c>
      <c r="F72" s="21">
        <f t="shared" si="4"/>
        <v>3.03</v>
      </c>
    </row>
    <row r="73" spans="1:6" x14ac:dyDescent="0.2">
      <c r="A73" s="19">
        <v>7</v>
      </c>
      <c r="B73" s="181" t="s">
        <v>6</v>
      </c>
      <c r="C73" s="182"/>
      <c r="D73" s="14">
        <f t="shared" si="5"/>
        <v>278800</v>
      </c>
      <c r="E73" s="17">
        <f>IF(F3="1",SUMIF(Data!A:A,'52'!$A$2,Data!EE:EE),0)</f>
        <v>788451</v>
      </c>
      <c r="F73" s="21">
        <f t="shared" si="4"/>
        <v>2.83</v>
      </c>
    </row>
    <row r="74" spans="1:6" x14ac:dyDescent="0.2">
      <c r="A74" s="19">
        <v>8</v>
      </c>
      <c r="B74" s="181" t="s">
        <v>7</v>
      </c>
      <c r="C74" s="182"/>
      <c r="D74" s="14">
        <f t="shared" si="5"/>
        <v>15186</v>
      </c>
      <c r="E74" s="17">
        <f>IF(F3="1",SUMIF(Data!A:A,'52'!$A$2,Data!EF:EF),0)</f>
        <v>51132</v>
      </c>
      <c r="F74" s="21">
        <f t="shared" si="4"/>
        <v>3.37</v>
      </c>
    </row>
    <row r="75" spans="1:6" x14ac:dyDescent="0.2">
      <c r="A75" s="19">
        <v>9</v>
      </c>
      <c r="B75" s="181" t="s">
        <v>8</v>
      </c>
      <c r="C75" s="182"/>
      <c r="D75" s="14">
        <f t="shared" si="5"/>
        <v>0</v>
      </c>
      <c r="E75" s="17">
        <f>IF(F3="1",SUMIF(Data!A:A,'52'!$A$2,Data!EG:EG),0)</f>
        <v>0</v>
      </c>
      <c r="F75" s="21" t="str">
        <f t="shared" si="4"/>
        <v/>
      </c>
    </row>
    <row r="76" spans="1:6" x14ac:dyDescent="0.2">
      <c r="A76" s="19">
        <v>10</v>
      </c>
      <c r="B76" s="181" t="s">
        <v>9</v>
      </c>
      <c r="C76" s="182"/>
      <c r="D76" s="14">
        <f t="shared" si="5"/>
        <v>0</v>
      </c>
      <c r="E76" s="17">
        <f>IF(F3="1",SUMIF(Data!A:A,'52'!$A$2,Data!EH:EH),0)</f>
        <v>0</v>
      </c>
      <c r="F76" s="21" t="str">
        <f t="shared" si="4"/>
        <v/>
      </c>
    </row>
    <row r="77" spans="1:6" x14ac:dyDescent="0.2">
      <c r="A77" s="19">
        <v>11</v>
      </c>
      <c r="B77" s="181" t="s">
        <v>10</v>
      </c>
      <c r="C77" s="182"/>
      <c r="D77" s="14">
        <f t="shared" si="5"/>
        <v>139882</v>
      </c>
      <c r="E77" s="17">
        <f>IF(F3="1",SUMIF(Data!A:A,'52'!$A$2,Data!EI:EI),0)</f>
        <v>446158</v>
      </c>
      <c r="F77" s="21">
        <f t="shared" si="4"/>
        <v>3.19</v>
      </c>
    </row>
    <row r="78" spans="1:6" ht="14.25" customHeight="1" x14ac:dyDescent="0.2">
      <c r="A78" s="19">
        <v>12</v>
      </c>
      <c r="B78" s="181" t="s">
        <v>11</v>
      </c>
      <c r="C78" s="182"/>
      <c r="D78" s="14">
        <f t="shared" si="5"/>
        <v>163766</v>
      </c>
      <c r="E78" s="17">
        <f>IF(F3="1",SUMIF(Data!A:A,'52'!$A$2,Data!EJ:EJ),0)</f>
        <v>396589</v>
      </c>
      <c r="F78" s="21">
        <f t="shared" si="4"/>
        <v>2.42</v>
      </c>
    </row>
    <row r="79" spans="1:6" x14ac:dyDescent="0.2">
      <c r="A79" s="19">
        <v>13</v>
      </c>
      <c r="B79" s="181" t="s">
        <v>12</v>
      </c>
      <c r="C79" s="182"/>
      <c r="D79" s="14">
        <f t="shared" si="5"/>
        <v>2088</v>
      </c>
      <c r="E79" s="17">
        <f>IF(F3="1",SUMIF(Data!A:A,'52'!$A$2,Data!EK:EK),0)</f>
        <v>1017</v>
      </c>
      <c r="F79" s="21">
        <f t="shared" si="4"/>
        <v>0.49</v>
      </c>
    </row>
    <row r="80" spans="1:6" ht="14.25" customHeight="1" x14ac:dyDescent="0.2">
      <c r="A80" s="19">
        <v>14</v>
      </c>
      <c r="B80" s="181" t="s">
        <v>464</v>
      </c>
      <c r="C80" s="182"/>
      <c r="D80" s="14">
        <f t="shared" si="5"/>
        <v>16102</v>
      </c>
      <c r="E80" s="17">
        <f>IF(F3="1",SUMIF(Data!A:A,'52'!$A$2,Data!EL:EL),0)</f>
        <v>20629</v>
      </c>
      <c r="F80" s="21">
        <f t="shared" si="4"/>
        <v>1.28</v>
      </c>
    </row>
    <row r="81" spans="1:6" x14ac:dyDescent="0.2">
      <c r="A81" s="19">
        <v>15</v>
      </c>
      <c r="B81" s="181" t="s">
        <v>13</v>
      </c>
      <c r="C81" s="182"/>
      <c r="D81" s="14">
        <f t="shared" si="5"/>
        <v>0</v>
      </c>
      <c r="E81" s="17">
        <f>IF(F3="1",SUMIF(Data!A:A,'52'!$A$2,Data!EM:EM),0)</f>
        <v>0</v>
      </c>
      <c r="F81" s="21" t="str">
        <f t="shared" si="4"/>
        <v/>
      </c>
    </row>
    <row r="82" spans="1:6" x14ac:dyDescent="0.2">
      <c r="A82" s="19">
        <v>16</v>
      </c>
      <c r="B82" s="181" t="s">
        <v>14</v>
      </c>
      <c r="C82" s="182"/>
      <c r="D82" s="14">
        <f t="shared" si="5"/>
        <v>160842</v>
      </c>
      <c r="E82" s="17">
        <f>IF(F3="1",SUMIF(Data!A:A,'52'!$A$2,Data!EN:EN),0)</f>
        <v>479326</v>
      </c>
      <c r="F82" s="21">
        <f t="shared" si="4"/>
        <v>2.98</v>
      </c>
    </row>
    <row r="83" spans="1:6" x14ac:dyDescent="0.2">
      <c r="A83" s="19">
        <v>17</v>
      </c>
      <c r="B83" s="181" t="s">
        <v>15</v>
      </c>
      <c r="C83" s="182"/>
      <c r="D83" s="14">
        <f t="shared" si="5"/>
        <v>0</v>
      </c>
      <c r="E83" s="17">
        <f>IF(F3="1",SUMIF(Data!A:A,'52'!$A$2,Data!EO:EO),0)</f>
        <v>0</v>
      </c>
      <c r="F83" s="21" t="str">
        <f t="shared" si="4"/>
        <v/>
      </c>
    </row>
    <row r="84" spans="1:6" x14ac:dyDescent="0.2">
      <c r="A84" s="19">
        <v>18</v>
      </c>
      <c r="B84" s="181" t="s">
        <v>16</v>
      </c>
      <c r="C84" s="182"/>
      <c r="D84" s="14">
        <f t="shared" si="5"/>
        <v>186800</v>
      </c>
      <c r="E84" s="17">
        <f>IF(F3="1",SUMIF(Data!A:A,'52'!$A$2,Data!EP:EP),0)</f>
        <v>355433</v>
      </c>
      <c r="F84" s="21">
        <f t="shared" si="4"/>
        <v>1.9</v>
      </c>
    </row>
    <row r="85" spans="1:6" x14ac:dyDescent="0.2">
      <c r="A85" s="19">
        <v>19</v>
      </c>
      <c r="B85" s="181" t="s">
        <v>17</v>
      </c>
      <c r="C85" s="182"/>
      <c r="D85" s="14">
        <f t="shared" si="5"/>
        <v>47360</v>
      </c>
      <c r="E85" s="17">
        <f>IF(F3="1",SUMIF(Data!A:A,'52'!$A$2,Data!EQ:EQ),0)</f>
        <v>339359</v>
      </c>
      <c r="F85" s="21">
        <f t="shared" si="4"/>
        <v>7.17</v>
      </c>
    </row>
    <row r="86" spans="1:6" x14ac:dyDescent="0.2">
      <c r="A86" s="19">
        <v>20</v>
      </c>
      <c r="B86" s="181" t="s">
        <v>18</v>
      </c>
      <c r="C86" s="182"/>
      <c r="D86" s="14">
        <f t="shared" si="5"/>
        <v>73632</v>
      </c>
      <c r="E86" s="17">
        <f>IF(F3="1",SUMIF(Data!A:A,'52'!$A$2,Data!ER:ER),0)</f>
        <v>173986</v>
      </c>
      <c r="F86" s="21">
        <f t="shared" si="4"/>
        <v>2.36</v>
      </c>
    </row>
    <row r="87" spans="1:6" ht="14.25" customHeight="1" x14ac:dyDescent="0.2">
      <c r="A87" s="19">
        <v>21</v>
      </c>
      <c r="B87" s="181" t="s">
        <v>461</v>
      </c>
      <c r="C87" s="182"/>
      <c r="D87" s="14">
        <f t="shared" si="5"/>
        <v>101064</v>
      </c>
      <c r="E87" s="17">
        <f>IF(F3="1",SUMIF(Data!A:A,'52'!$A$2,Data!ES:ES),0)</f>
        <v>328397</v>
      </c>
      <c r="F87" s="21">
        <f t="shared" si="4"/>
        <v>3.25</v>
      </c>
    </row>
    <row r="88" spans="1:6" x14ac:dyDescent="0.2">
      <c r="A88" s="19">
        <v>22</v>
      </c>
      <c r="B88" s="181" t="s">
        <v>19</v>
      </c>
      <c r="C88" s="182"/>
      <c r="D88" s="14">
        <f t="shared" si="5"/>
        <v>29366</v>
      </c>
      <c r="E88" s="17">
        <f>IF(F3="1",SUMIF(Data!A:A,'52'!$A$2,Data!ET:ET),0)</f>
        <v>173628</v>
      </c>
      <c r="F88" s="21">
        <f t="shared" si="4"/>
        <v>5.91</v>
      </c>
    </row>
    <row r="89" spans="1:6" x14ac:dyDescent="0.2">
      <c r="A89" s="19">
        <v>23</v>
      </c>
      <c r="B89" s="181" t="s">
        <v>20</v>
      </c>
      <c r="C89" s="182"/>
      <c r="D89" s="14">
        <f t="shared" si="5"/>
        <v>0</v>
      </c>
      <c r="E89" s="17">
        <f>IF(F3="1",SUMIF(Data!A:A,'52'!$A$2,Data!EU:EU),0)</f>
        <v>0</v>
      </c>
      <c r="F89" s="21" t="str">
        <f t="shared" si="4"/>
        <v/>
      </c>
    </row>
    <row r="90" spans="1:6" x14ac:dyDescent="0.2">
      <c r="A90" s="19">
        <v>24</v>
      </c>
      <c r="B90" s="181" t="s">
        <v>21</v>
      </c>
      <c r="C90" s="182"/>
      <c r="D90" s="14">
        <f t="shared" si="5"/>
        <v>84418</v>
      </c>
      <c r="E90" s="17">
        <f>IF(F3="1",SUMIF(Data!A:A,'52'!$A$2,Data!EV:EV),0)</f>
        <v>80111</v>
      </c>
      <c r="F90" s="21">
        <f t="shared" si="4"/>
        <v>0.95</v>
      </c>
    </row>
    <row r="91" spans="1:6" x14ac:dyDescent="0.2">
      <c r="A91" s="19">
        <v>25</v>
      </c>
      <c r="B91" s="181" t="s">
        <v>22</v>
      </c>
      <c r="C91" s="182"/>
      <c r="D91" s="14">
        <f t="shared" si="5"/>
        <v>25872</v>
      </c>
      <c r="E91" s="17">
        <f>IF(F3="1",SUMIF(Data!A:A,'52'!$A$2,Data!EW:EW),0)</f>
        <v>83279</v>
      </c>
      <c r="F91" s="21">
        <f t="shared" si="4"/>
        <v>3.22</v>
      </c>
    </row>
    <row r="92" spans="1:6" x14ac:dyDescent="0.2">
      <c r="A92" s="19">
        <v>26</v>
      </c>
      <c r="B92" s="181" t="s">
        <v>23</v>
      </c>
      <c r="C92" s="182"/>
      <c r="D92" s="14">
        <f t="shared" si="5"/>
        <v>70940</v>
      </c>
      <c r="E92" s="17">
        <f>IF(F3="1",SUMIF(Data!A:A,'52'!$A$2,Data!EX:EX),0)</f>
        <v>219281</v>
      </c>
      <c r="F92" s="21">
        <f t="shared" si="4"/>
        <v>3.09</v>
      </c>
    </row>
    <row r="93" spans="1:6" x14ac:dyDescent="0.2">
      <c r="A93" s="19">
        <v>28</v>
      </c>
      <c r="B93" s="181" t="s">
        <v>24</v>
      </c>
      <c r="C93" s="182"/>
      <c r="D93" s="14">
        <f t="shared" si="5"/>
        <v>0</v>
      </c>
      <c r="E93" s="17">
        <f>IF(F3="1",SUMIF(Data!A:A,'52'!$A$2,Data!EZ:EZ),0)</f>
        <v>0</v>
      </c>
      <c r="F93" s="21" t="str">
        <f t="shared" si="4"/>
        <v/>
      </c>
    </row>
    <row r="94" spans="1:6" ht="15.75" customHeight="1" thickBot="1" x14ac:dyDescent="0.25">
      <c r="A94" s="22">
        <v>29</v>
      </c>
      <c r="B94" s="183" t="s">
        <v>25</v>
      </c>
      <c r="C94" s="184"/>
      <c r="D94" s="23">
        <f t="shared" si="5"/>
        <v>0</v>
      </c>
      <c r="E94" s="24">
        <f>IF(F3="1",SUMIF(Data!A:A,'52'!$A$2,Data!FA:FA),0)</f>
        <v>0</v>
      </c>
      <c r="F94" s="25" t="str">
        <f t="shared" si="4"/>
        <v/>
      </c>
    </row>
    <row r="95" spans="1:6" x14ac:dyDescent="0.2">
      <c r="B95" s="30" t="s">
        <v>35</v>
      </c>
      <c r="C95" s="30"/>
      <c r="D95" s="59">
        <f>SUM(D67:D94)</f>
        <v>1856556</v>
      </c>
      <c r="E95" s="31">
        <f>SUM(E67:E94)</f>
        <v>5238019</v>
      </c>
      <c r="F95" s="32">
        <f t="shared" si="4"/>
        <v>2.82</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IF(F3="1",SUMIF(Data!A:A,'52'!$A$2,Data!AH:AH),0)</f>
        <v>1779852</v>
      </c>
      <c r="F98" s="20">
        <f>IF(OR(E98=0,E98=0),"",ROUND(E98/$D$105,2))</f>
        <v>0.96</v>
      </c>
    </row>
    <row r="99" spans="2:6" x14ac:dyDescent="0.2">
      <c r="B99" s="187" t="s">
        <v>31</v>
      </c>
      <c r="C99" s="188"/>
      <c r="D99" s="36"/>
      <c r="E99" s="17">
        <f>IF(F3="1",SUMIF(Data!A:A,'52'!$A$2,Data!AI:AI),0)</f>
        <v>1508013</v>
      </c>
      <c r="F99" s="21">
        <f t="shared" ref="F99:F104" si="6">IF(OR(E99=0,E99=0),"",ROUND(E99/$D$105,2))</f>
        <v>0.81</v>
      </c>
    </row>
    <row r="100" spans="2:6" x14ac:dyDescent="0.2">
      <c r="B100" s="187" t="s">
        <v>1078</v>
      </c>
      <c r="C100" s="188"/>
      <c r="D100" s="36"/>
      <c r="E100" s="17">
        <f>IF(F3="1",SUMIF(Data!A:A,'52'!$A$2,Data!AJ:AJ),0)</f>
        <v>179159</v>
      </c>
      <c r="F100" s="21">
        <f t="shared" si="6"/>
        <v>0.1</v>
      </c>
    </row>
    <row r="101" spans="2:6" x14ac:dyDescent="0.2">
      <c r="B101" s="187" t="s">
        <v>1079</v>
      </c>
      <c r="C101" s="188"/>
      <c r="D101" s="36"/>
      <c r="E101" s="17">
        <f>IF(F3="1",SUMIF(Data!A:A,'52'!$A$2,Data!AK:AK),0)</f>
        <v>273627</v>
      </c>
      <c r="F101" s="21">
        <f t="shared" si="6"/>
        <v>0.15</v>
      </c>
    </row>
    <row r="102" spans="2:6" x14ac:dyDescent="0.2">
      <c r="B102" s="187" t="s">
        <v>1080</v>
      </c>
      <c r="C102" s="188"/>
      <c r="D102" s="36"/>
      <c r="E102" s="17">
        <f>IF(F3="1",SUMIF(Data!A:A,'52'!$A$2,Data!AL:AL),0)</f>
        <v>0</v>
      </c>
      <c r="F102" s="21" t="str">
        <f t="shared" si="6"/>
        <v/>
      </c>
    </row>
    <row r="103" spans="2:6" x14ac:dyDescent="0.2">
      <c r="B103" s="189" t="s">
        <v>34</v>
      </c>
      <c r="C103" s="190"/>
      <c r="D103" s="36"/>
      <c r="E103" s="17">
        <f>IF(F3="1",SUMIF(Data!A:A,'52'!$A$2,Data!AM:AM),0)</f>
        <v>0</v>
      </c>
      <c r="F103" s="21" t="str">
        <f t="shared" si="6"/>
        <v/>
      </c>
    </row>
    <row r="104" spans="2:6" ht="15.75" customHeight="1" thickBot="1" x14ac:dyDescent="0.25">
      <c r="B104" s="179" t="s">
        <v>29</v>
      </c>
      <c r="C104" s="180"/>
      <c r="D104" s="37"/>
      <c r="E104" s="24">
        <f>IF(F3="1",SUMIF(Data!A:A,'52'!$A$2,Data!Q:Q),0)</f>
        <v>368492</v>
      </c>
      <c r="F104" s="25">
        <f t="shared" si="6"/>
        <v>0.2</v>
      </c>
    </row>
    <row r="105" spans="2:6" x14ac:dyDescent="0.2">
      <c r="B105" s="30" t="s">
        <v>35</v>
      </c>
      <c r="C105" s="30"/>
      <c r="D105" s="34">
        <f>D95</f>
        <v>1856556</v>
      </c>
      <c r="E105" s="31">
        <f>SUM(E98:E104)</f>
        <v>4109143</v>
      </c>
      <c r="F105" s="32">
        <f>IF($D$105=0,"",ROUND(E105/$D$105,2))</f>
        <v>2.21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5238019</v>
      </c>
      <c r="D109" s="15">
        <f>IF(F3="1",SUMIF(Data!$A:$A,$A$2,Data!HJ:HJ),0)</f>
        <v>0</v>
      </c>
      <c r="E109" s="15">
        <f>IF(F3="1",SUMIF(Data!$A:$A,$A$2,Data!IN:IN),0)</f>
        <v>0</v>
      </c>
      <c r="F109" s="47">
        <f>SUM(C109:E109)</f>
        <v>5238019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368492</v>
      </c>
      <c r="E117" s="52"/>
      <c r="F117" s="49">
        <f>SUM(C117:E117)</f>
        <v>368492</v>
      </c>
    </row>
    <row r="118" spans="1:6" x14ac:dyDescent="0.2">
      <c r="B118" s="13" t="s">
        <v>35</v>
      </c>
      <c r="C118" s="4">
        <f>SUM(C109:C116)</f>
        <v>5238019</v>
      </c>
      <c r="D118" s="4">
        <f>SUM(D109:D116)</f>
        <v>0</v>
      </c>
      <c r="E118" s="4">
        <f>SUM(E109:E116)</f>
        <v>0</v>
      </c>
      <c r="F118" s="4">
        <f>SUM(F109:F116)</f>
        <v>5238019</v>
      </c>
    </row>
    <row r="119" spans="1:6" ht="15" thickBot="1" x14ac:dyDescent="0.25"/>
    <row r="120" spans="1:6" ht="15" thickBot="1" x14ac:dyDescent="0.25">
      <c r="B120" s="55" t="s">
        <v>934</v>
      </c>
      <c r="C120" s="53"/>
      <c r="D120" s="53"/>
      <c r="E120" s="53">
        <f>IF(F3="1",SUMIF(Data!A:A,'52'!$A$2,Data!AM:AM),0)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1071</v>
      </c>
      <c r="B2" s="58" t="str">
        <f>VLOOKUP(A2,Data!A:G,7,0)</f>
        <v>Texas State Technical Collage-Marshall</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1824</v>
      </c>
      <c r="E5" s="15">
        <f>E36+E67+IFERROR($E$105/$D$105*D5,0)</f>
        <v>15450.625178984037</v>
      </c>
      <c r="F5" s="20">
        <f>IF(OR(D5=0,E5=0),"",ROUND(E5/D5,2))</f>
        <v>8.4700000000000006</v>
      </c>
    </row>
    <row r="6" spans="1:6" x14ac:dyDescent="0.2">
      <c r="A6" s="19">
        <v>2</v>
      </c>
      <c r="B6" s="181" t="s">
        <v>1</v>
      </c>
      <c r="C6" s="182"/>
      <c r="D6" s="14">
        <f t="shared" ref="D6:D32" si="0">D37</f>
        <v>25120</v>
      </c>
      <c r="E6" s="17">
        <f t="shared" ref="E6:E32" si="1">E37+E68+IFERROR($E$105/$D$105*D6,0)</f>
        <v>212792.3818509205</v>
      </c>
      <c r="F6" s="21">
        <f t="shared" ref="F6:F33" si="2">IF(OR(D6=0,E6=0),"",ROUND(E6/D6,2))</f>
        <v>8.4700000000000006</v>
      </c>
    </row>
    <row r="7" spans="1:6" ht="14.25" customHeight="1" x14ac:dyDescent="0.2">
      <c r="A7" s="19">
        <v>3</v>
      </c>
      <c r="B7" s="181" t="s">
        <v>2</v>
      </c>
      <c r="C7" s="182"/>
      <c r="D7" s="14">
        <f t="shared" si="0"/>
        <v>13120</v>
      </c>
      <c r="E7" s="17">
        <f t="shared" si="1"/>
        <v>137350.68988392028</v>
      </c>
      <c r="F7" s="21">
        <f t="shared" si="2"/>
        <v>10.47</v>
      </c>
    </row>
    <row r="8" spans="1:6" ht="14.25" customHeight="1" x14ac:dyDescent="0.2">
      <c r="A8" s="19">
        <v>4</v>
      </c>
      <c r="B8" s="181" t="s">
        <v>3</v>
      </c>
      <c r="C8" s="182"/>
      <c r="D8" s="14">
        <f t="shared" si="0"/>
        <v>21484</v>
      </c>
      <c r="E8" s="17">
        <f t="shared" si="1"/>
        <v>194530.64218491944</v>
      </c>
      <c r="F8" s="21">
        <f t="shared" si="2"/>
        <v>9.0500000000000007</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576</v>
      </c>
      <c r="E10" s="17">
        <f t="shared" si="1"/>
        <v>4879.5132144160116</v>
      </c>
      <c r="F10" s="21">
        <f t="shared" si="2"/>
        <v>8.4700000000000006</v>
      </c>
    </row>
    <row r="11" spans="1:6" x14ac:dyDescent="0.2">
      <c r="A11" s="19">
        <v>7</v>
      </c>
      <c r="B11" s="181" t="s">
        <v>6</v>
      </c>
      <c r="C11" s="182"/>
      <c r="D11" s="14">
        <f t="shared" si="0"/>
        <v>80152</v>
      </c>
      <c r="E11" s="17">
        <f t="shared" si="1"/>
        <v>725749.41521158372</v>
      </c>
      <c r="F11" s="21">
        <f t="shared" si="2"/>
        <v>9.0500000000000007</v>
      </c>
    </row>
    <row r="12" spans="1:6" x14ac:dyDescent="0.2">
      <c r="A12" s="19">
        <v>8</v>
      </c>
      <c r="B12" s="181" t="s">
        <v>7</v>
      </c>
      <c r="C12" s="182"/>
      <c r="D12" s="14">
        <f t="shared" si="0"/>
        <v>35616</v>
      </c>
      <c r="E12" s="17">
        <f t="shared" si="1"/>
        <v>301702.73375805677</v>
      </c>
      <c r="F12" s="21">
        <f t="shared" si="2"/>
        <v>8.4700000000000006</v>
      </c>
    </row>
    <row r="13" spans="1:6" x14ac:dyDescent="0.2">
      <c r="A13" s="19">
        <v>9</v>
      </c>
      <c r="B13" s="181" t="s">
        <v>8</v>
      </c>
      <c r="C13" s="182"/>
      <c r="D13" s="14">
        <f t="shared" si="0"/>
        <v>0</v>
      </c>
      <c r="E13" s="17">
        <f t="shared" si="1"/>
        <v>0</v>
      </c>
      <c r="F13" s="21" t="str">
        <f t="shared" si="2"/>
        <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189098</v>
      </c>
      <c r="E15" s="17">
        <f t="shared" si="1"/>
        <v>1819212.7357979845</v>
      </c>
      <c r="F15" s="21">
        <f t="shared" si="2"/>
        <v>9.6199999999999992</v>
      </c>
    </row>
    <row r="16" spans="1:6" ht="14.25" customHeight="1" x14ac:dyDescent="0.2">
      <c r="A16" s="19">
        <v>12</v>
      </c>
      <c r="B16" s="181" t="s">
        <v>11</v>
      </c>
      <c r="C16" s="182"/>
      <c r="D16" s="14">
        <f t="shared" si="0"/>
        <v>51664</v>
      </c>
      <c r="E16" s="17">
        <f t="shared" si="1"/>
        <v>432038.0324819251</v>
      </c>
      <c r="F16" s="21">
        <f t="shared" si="2"/>
        <v>8.36</v>
      </c>
    </row>
    <row r="17" spans="1:6" x14ac:dyDescent="0.2">
      <c r="A17" s="19">
        <v>13</v>
      </c>
      <c r="B17" s="181" t="s">
        <v>12</v>
      </c>
      <c r="C17" s="182"/>
      <c r="D17" s="14">
        <f t="shared" si="0"/>
        <v>0</v>
      </c>
      <c r="E17" s="17">
        <f t="shared" si="1"/>
        <v>0</v>
      </c>
      <c r="F17" s="21" t="str">
        <f t="shared" si="2"/>
        <v/>
      </c>
    </row>
    <row r="18" spans="1:6" ht="14.25" customHeight="1" x14ac:dyDescent="0.2">
      <c r="A18" s="19">
        <v>14</v>
      </c>
      <c r="B18" s="181" t="s">
        <v>464</v>
      </c>
      <c r="C18" s="182"/>
      <c r="D18" s="14">
        <f t="shared" si="0"/>
        <v>0</v>
      </c>
      <c r="E18" s="17">
        <f t="shared" si="1"/>
        <v>0</v>
      </c>
      <c r="F18" s="21" t="str">
        <f t="shared" si="2"/>
        <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0</v>
      </c>
      <c r="E20" s="17">
        <f t="shared" si="1"/>
        <v>0</v>
      </c>
      <c r="F20" s="21" t="str">
        <f t="shared" si="2"/>
        <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0</v>
      </c>
      <c r="E22" s="17">
        <f t="shared" si="1"/>
        <v>0</v>
      </c>
      <c r="F22" s="21" t="str">
        <f t="shared" si="2"/>
        <v/>
      </c>
    </row>
    <row r="23" spans="1:6" x14ac:dyDescent="0.2">
      <c r="A23" s="19">
        <v>19</v>
      </c>
      <c r="B23" s="181" t="s">
        <v>17</v>
      </c>
      <c r="C23" s="182"/>
      <c r="D23" s="14">
        <f t="shared" si="0"/>
        <v>32080</v>
      </c>
      <c r="E23" s="17">
        <f t="shared" si="1"/>
        <v>268267.58319178066</v>
      </c>
      <c r="F23" s="21">
        <f t="shared" si="2"/>
        <v>8.36</v>
      </c>
    </row>
    <row r="24" spans="1:6" x14ac:dyDescent="0.2">
      <c r="A24" s="19">
        <v>20</v>
      </c>
      <c r="B24" s="181" t="s">
        <v>18</v>
      </c>
      <c r="C24" s="182"/>
      <c r="D24" s="14">
        <f t="shared" si="0"/>
        <v>2016</v>
      </c>
      <c r="E24" s="17">
        <f t="shared" si="1"/>
        <v>21836.796250456042</v>
      </c>
      <c r="F24" s="21">
        <f t="shared" si="2"/>
        <v>10.83</v>
      </c>
    </row>
    <row r="25" spans="1:6" ht="14.25" customHeight="1" x14ac:dyDescent="0.2">
      <c r="A25" s="19">
        <v>21</v>
      </c>
      <c r="B25" s="181" t="s">
        <v>461</v>
      </c>
      <c r="C25" s="182"/>
      <c r="D25" s="14">
        <f t="shared" si="0"/>
        <v>18896</v>
      </c>
      <c r="E25" s="17">
        <f t="shared" si="1"/>
        <v>208844.8362840364</v>
      </c>
      <c r="F25" s="21">
        <f t="shared" si="2"/>
        <v>11.05</v>
      </c>
    </row>
    <row r="26" spans="1:6" x14ac:dyDescent="0.2">
      <c r="A26" s="19">
        <v>22</v>
      </c>
      <c r="B26" s="181" t="s">
        <v>19</v>
      </c>
      <c r="C26" s="182"/>
      <c r="D26" s="14">
        <f t="shared" si="0"/>
        <v>19584</v>
      </c>
      <c r="E26" s="17">
        <f t="shared" si="1"/>
        <v>177327.4492901444</v>
      </c>
      <c r="F26" s="21">
        <f t="shared" si="2"/>
        <v>9.0500000000000007</v>
      </c>
    </row>
    <row r="27" spans="1:6" x14ac:dyDescent="0.2">
      <c r="A27" s="19">
        <v>23</v>
      </c>
      <c r="B27" s="181" t="s">
        <v>20</v>
      </c>
      <c r="C27" s="182"/>
      <c r="D27" s="14">
        <f t="shared" si="0"/>
        <v>0</v>
      </c>
      <c r="E27" s="17">
        <f t="shared" si="1"/>
        <v>0</v>
      </c>
      <c r="F27" s="21" t="str">
        <f t="shared" si="2"/>
        <v/>
      </c>
    </row>
    <row r="28" spans="1:6" x14ac:dyDescent="0.2">
      <c r="A28" s="19">
        <v>24</v>
      </c>
      <c r="B28" s="181" t="s">
        <v>21</v>
      </c>
      <c r="C28" s="182"/>
      <c r="D28" s="14">
        <f t="shared" si="0"/>
        <v>3040</v>
      </c>
      <c r="E28" s="17">
        <f t="shared" si="1"/>
        <v>27525.70863164006</v>
      </c>
      <c r="F28" s="21">
        <f t="shared" si="2"/>
        <v>9.0500000000000007</v>
      </c>
    </row>
    <row r="29" spans="1:6" x14ac:dyDescent="0.2">
      <c r="A29" s="19">
        <v>25</v>
      </c>
      <c r="B29" s="181" t="s">
        <v>22</v>
      </c>
      <c r="C29" s="182"/>
      <c r="D29" s="14">
        <f t="shared" si="0"/>
        <v>14592</v>
      </c>
      <c r="E29" s="17">
        <f t="shared" si="1"/>
        <v>90564.001431872297</v>
      </c>
      <c r="F29" s="21">
        <f t="shared" si="2"/>
        <v>6.21</v>
      </c>
    </row>
    <row r="30" spans="1:6" x14ac:dyDescent="0.2">
      <c r="A30" s="19">
        <v>26</v>
      </c>
      <c r="B30" s="181" t="s">
        <v>23</v>
      </c>
      <c r="C30" s="182"/>
      <c r="D30" s="14">
        <f t="shared" si="0"/>
        <v>960</v>
      </c>
      <c r="E30" s="17">
        <f t="shared" si="1"/>
        <v>8691.8553573600202</v>
      </c>
      <c r="F30" s="21">
        <f t="shared" si="2"/>
        <v>9.0500000000000007</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509822</v>
      </c>
      <c r="E33" s="31">
        <f>SUM(E5:E32)</f>
        <v>4646765.0000000009</v>
      </c>
      <c r="F33" s="32">
        <f t="shared" si="2"/>
        <v>9.11</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IF(F3="1",SUMIF(Data!A:A,'53'!$A$2,Data!CU:CU),0)</f>
        <v>1824</v>
      </c>
      <c r="E36" s="15">
        <f>IF(F3="1",SUMIF(Data!$A:$A,$A$2,Data!IO:IO),0)</f>
        <v>3216</v>
      </c>
      <c r="F36" s="20">
        <f t="shared" ref="F36:F64" si="3">IF(OR(D36=0,E36=0),"",ROUND(E36/D36,2))</f>
        <v>1.76</v>
      </c>
    </row>
    <row r="37" spans="1:6" x14ac:dyDescent="0.2">
      <c r="A37" s="19">
        <v>2</v>
      </c>
      <c r="B37" s="181" t="s">
        <v>1</v>
      </c>
      <c r="C37" s="182"/>
      <c r="D37" s="14">
        <f>IF(F3="1",SUMIF(Data!A:A,'53'!$A$2,Data!CV:CV),0)</f>
        <v>25120</v>
      </c>
      <c r="E37" s="17">
        <f>IF(F3="1",SUMIF(Data!$A:$A,$A$2,Data!IP:IP),0)</f>
        <v>44295</v>
      </c>
      <c r="F37" s="21">
        <f t="shared" si="3"/>
        <v>1.76</v>
      </c>
    </row>
    <row r="38" spans="1:6" ht="14.25" customHeight="1" x14ac:dyDescent="0.2">
      <c r="A38" s="19">
        <v>3</v>
      </c>
      <c r="B38" s="181" t="s">
        <v>2</v>
      </c>
      <c r="C38" s="182"/>
      <c r="D38" s="14">
        <f>IF(F3="1",SUMIF(Data!A:A,'53'!$A$2,Data!CW:CW),0)</f>
        <v>13120</v>
      </c>
      <c r="E38" s="17">
        <f>IF($F$3="1",SUMIF(Data!$A:$A,$A$2,Data!IQ:IQ),0)</f>
        <v>12378</v>
      </c>
      <c r="F38" s="21">
        <f t="shared" si="3"/>
        <v>0.94</v>
      </c>
    </row>
    <row r="39" spans="1:6" ht="14.25" customHeight="1" x14ac:dyDescent="0.2">
      <c r="A39" s="19">
        <v>4</v>
      </c>
      <c r="B39" s="181" t="s">
        <v>3</v>
      </c>
      <c r="C39" s="182"/>
      <c r="D39" s="14">
        <f>IF(F3="1",SUMIF(Data!A:A,'53'!$A$2,Data!CX:CX),0)</f>
        <v>21484</v>
      </c>
      <c r="E39" s="17">
        <f>IF($F$3="1",SUMIF(Data!$A:$A,$A$2,Data!IR:IR),0)</f>
        <v>28405</v>
      </c>
      <c r="F39" s="21">
        <f t="shared" si="3"/>
        <v>1.32</v>
      </c>
    </row>
    <row r="40" spans="1:6" x14ac:dyDescent="0.2">
      <c r="A40" s="19">
        <v>5</v>
      </c>
      <c r="B40" s="181" t="s">
        <v>4</v>
      </c>
      <c r="C40" s="182"/>
      <c r="D40" s="14">
        <f>IF(F3="1",SUMIF(Data!A:A,'53'!$A$2,Data!CY:CY),0)</f>
        <v>0</v>
      </c>
      <c r="E40" s="17">
        <f>IF($F$3="1",SUMIF(Data!$A:$A,$A$2,Data!IS:IS),0)</f>
        <v>0</v>
      </c>
      <c r="F40" s="21" t="str">
        <f t="shared" si="3"/>
        <v/>
      </c>
    </row>
    <row r="41" spans="1:6" x14ac:dyDescent="0.2">
      <c r="A41" s="19">
        <v>6</v>
      </c>
      <c r="B41" s="181" t="s">
        <v>5</v>
      </c>
      <c r="C41" s="182"/>
      <c r="D41" s="14">
        <f>IF(F3="1",SUMIF(Data!A:A,'53'!$A$2,Data!CZ:CZ),0)</f>
        <v>576</v>
      </c>
      <c r="E41" s="17">
        <f>IF($F$3="1",SUMIF(Data!$A:$A,$A$2,Data!IT:IT),0)</f>
        <v>1016</v>
      </c>
      <c r="F41" s="21">
        <f t="shared" si="3"/>
        <v>1.76</v>
      </c>
    </row>
    <row r="42" spans="1:6" x14ac:dyDescent="0.2">
      <c r="A42" s="19">
        <v>7</v>
      </c>
      <c r="B42" s="181" t="s">
        <v>6</v>
      </c>
      <c r="C42" s="182"/>
      <c r="D42" s="14">
        <f>IF(F3="1",SUMIF(Data!A:A,'53'!$A$2,Data!DA:DA),0)</f>
        <v>80152</v>
      </c>
      <c r="E42" s="17">
        <f>IF($F$3="1",SUMIF(Data!$A:$A,$A$2,Data!IU:IU),0)</f>
        <v>105973</v>
      </c>
      <c r="F42" s="21">
        <f t="shared" si="3"/>
        <v>1.32</v>
      </c>
    </row>
    <row r="43" spans="1:6" x14ac:dyDescent="0.2">
      <c r="A43" s="19">
        <v>8</v>
      </c>
      <c r="B43" s="181" t="s">
        <v>7</v>
      </c>
      <c r="C43" s="182"/>
      <c r="D43" s="14">
        <f>IF(F3="1",SUMIF(Data!A:A,'53'!$A$2,Data!DB:DB),0)</f>
        <v>35616</v>
      </c>
      <c r="E43" s="17">
        <f>IF($F$3="1",SUMIF(Data!$A:$A,$A$2,Data!IV:IV),0)</f>
        <v>62802</v>
      </c>
      <c r="F43" s="21">
        <f t="shared" si="3"/>
        <v>1.76</v>
      </c>
    </row>
    <row r="44" spans="1:6" x14ac:dyDescent="0.2">
      <c r="A44" s="19">
        <v>9</v>
      </c>
      <c r="B44" s="181" t="s">
        <v>8</v>
      </c>
      <c r="C44" s="182"/>
      <c r="D44" s="14">
        <f>IF(F3="1",SUMIF(Data!A:A,'53'!$A$2,Data!DC:DC),0)</f>
        <v>0</v>
      </c>
      <c r="E44" s="17">
        <f>IF($F$3="1",SUMIF(Data!$A:$A,$A$2,Data!IW:IW),0)</f>
        <v>0</v>
      </c>
      <c r="F44" s="21" t="str">
        <f t="shared" si="3"/>
        <v/>
      </c>
    </row>
    <row r="45" spans="1:6" x14ac:dyDescent="0.2">
      <c r="A45" s="19">
        <v>10</v>
      </c>
      <c r="B45" s="181" t="s">
        <v>9</v>
      </c>
      <c r="C45" s="182"/>
      <c r="D45" s="14">
        <f>IF(F3="1",SUMIF(Data!A:A,'53'!$A$2,Data!DD:DD),0)</f>
        <v>0</v>
      </c>
      <c r="E45" s="17">
        <f>IF($F$3="1",SUMIF(Data!$A:$A,$A$2,Data!IX:IX),0)</f>
        <v>0</v>
      </c>
      <c r="F45" s="21" t="str">
        <f t="shared" si="3"/>
        <v/>
      </c>
    </row>
    <row r="46" spans="1:6" x14ac:dyDescent="0.2">
      <c r="A46" s="19">
        <v>11</v>
      </c>
      <c r="B46" s="181" t="s">
        <v>10</v>
      </c>
      <c r="C46" s="182"/>
      <c r="D46" s="14">
        <f>IF(F3="1",SUMIF(Data!A:A,'53'!$A$2,Data!DE:DE),0)</f>
        <v>189098</v>
      </c>
      <c r="E46" s="17">
        <f>IF($F$3="1",SUMIF(Data!$A:$A,$A$2,Data!IY:IY),0)</f>
        <v>380761</v>
      </c>
      <c r="F46" s="21">
        <f t="shared" si="3"/>
        <v>2.0099999999999998</v>
      </c>
    </row>
    <row r="47" spans="1:6" ht="14.25" customHeight="1" x14ac:dyDescent="0.2">
      <c r="A47" s="19">
        <v>12</v>
      </c>
      <c r="B47" s="181" t="s">
        <v>11</v>
      </c>
      <c r="C47" s="182"/>
      <c r="D47" s="14">
        <f>IF(F3="1",SUMIF(Data!A:A,'53'!$A$2,Data!DF:DF),0)</f>
        <v>51664</v>
      </c>
      <c r="E47" s="17">
        <f>IF($F$3="1",SUMIF(Data!$A:$A,$A$2,Data!IZ:IZ),0)</f>
        <v>46497</v>
      </c>
      <c r="F47" s="21">
        <f t="shared" si="3"/>
        <v>0.9</v>
      </c>
    </row>
    <row r="48" spans="1:6" x14ac:dyDescent="0.2">
      <c r="A48" s="19">
        <v>13</v>
      </c>
      <c r="B48" s="181" t="s">
        <v>12</v>
      </c>
      <c r="C48" s="182"/>
      <c r="D48" s="14">
        <f>IF(F3="1",SUMIF(Data!A:A,'53'!$A$2,Data!DG:DG),0)</f>
        <v>0</v>
      </c>
      <c r="E48" s="17">
        <f>IF($F$3="1",SUMIF(Data!$A:$A,$A$2,Data!JA:JA),0)</f>
        <v>0</v>
      </c>
      <c r="F48" s="21" t="str">
        <f t="shared" si="3"/>
        <v/>
      </c>
    </row>
    <row r="49" spans="1:6" ht="14.25" customHeight="1" x14ac:dyDescent="0.2">
      <c r="A49" s="19">
        <v>14</v>
      </c>
      <c r="B49" s="181" t="s">
        <v>464</v>
      </c>
      <c r="C49" s="182"/>
      <c r="D49" s="14">
        <f>IF(F3="1",SUMIF(Data!A:A,'53'!$A$2,Data!DH:DH),0)</f>
        <v>0</v>
      </c>
      <c r="E49" s="17">
        <f>IF($F$3="1",SUMIF(Data!$A:$A,$A$2,Data!JB:JB),0)</f>
        <v>0</v>
      </c>
      <c r="F49" s="21" t="str">
        <f t="shared" si="3"/>
        <v/>
      </c>
    </row>
    <row r="50" spans="1:6" x14ac:dyDescent="0.2">
      <c r="A50" s="19">
        <v>15</v>
      </c>
      <c r="B50" s="181" t="s">
        <v>13</v>
      </c>
      <c r="C50" s="182"/>
      <c r="D50" s="14">
        <f>IF(F3="1",SUMIF(Data!A:A,'53'!$A$2,Data!DI:DI),0)</f>
        <v>0</v>
      </c>
      <c r="E50" s="17">
        <f>IF($F$3="1",SUMIF(Data!$A:$A,$A$2,Data!JC:JC),0)</f>
        <v>0</v>
      </c>
      <c r="F50" s="21" t="str">
        <f t="shared" si="3"/>
        <v/>
      </c>
    </row>
    <row r="51" spans="1:6" x14ac:dyDescent="0.2">
      <c r="A51" s="19">
        <v>16</v>
      </c>
      <c r="B51" s="181" t="s">
        <v>14</v>
      </c>
      <c r="C51" s="182"/>
      <c r="D51" s="14">
        <f>IF(F3="1",SUMIF(Data!A:A,'53'!$A$2,Data!DJ:DJ),0)</f>
        <v>0</v>
      </c>
      <c r="E51" s="17">
        <f>IF($F$3="1",SUMIF(Data!$A:$A,$A$2,Data!JD:JD),0)</f>
        <v>0</v>
      </c>
      <c r="F51" s="21" t="str">
        <f t="shared" si="3"/>
        <v/>
      </c>
    </row>
    <row r="52" spans="1:6" x14ac:dyDescent="0.2">
      <c r="A52" s="19">
        <v>17</v>
      </c>
      <c r="B52" s="181" t="s">
        <v>15</v>
      </c>
      <c r="C52" s="182"/>
      <c r="D52" s="14">
        <f>IF(F3="1",SUMIF(Data!A:A,'53'!$A$2,Data!DK:DK),0)</f>
        <v>0</v>
      </c>
      <c r="E52" s="17">
        <f>IF($F$3="1",SUMIF(Data!$A:$A,$A$2,Data!JE:JE),0)</f>
        <v>0</v>
      </c>
      <c r="F52" s="21" t="str">
        <f t="shared" si="3"/>
        <v/>
      </c>
    </row>
    <row r="53" spans="1:6" x14ac:dyDescent="0.2">
      <c r="A53" s="19">
        <v>18</v>
      </c>
      <c r="B53" s="181" t="s">
        <v>16</v>
      </c>
      <c r="C53" s="182"/>
      <c r="D53" s="14">
        <f>IF(F3="1",SUMIF(Data!A:A,'53'!$A$2,Data!DL:DL),0)</f>
        <v>0</v>
      </c>
      <c r="E53" s="17">
        <f>IF($F$3="1",SUMIF(Data!$A:$A,$A$2,Data!JF:JF),0)</f>
        <v>0</v>
      </c>
      <c r="F53" s="21" t="str">
        <f t="shared" si="3"/>
        <v/>
      </c>
    </row>
    <row r="54" spans="1:6" x14ac:dyDescent="0.2">
      <c r="A54" s="19">
        <v>19</v>
      </c>
      <c r="B54" s="181" t="s">
        <v>17</v>
      </c>
      <c r="C54" s="182"/>
      <c r="D54" s="14">
        <f>IF(F3="1",SUMIF(Data!A:A,'53'!$A$2,Data!DM:DM),0)</f>
        <v>32080</v>
      </c>
      <c r="E54" s="17">
        <f>IF($F$3="1",SUMIF(Data!$A:$A,$A$2,Data!JG:JG),0)</f>
        <v>28871</v>
      </c>
      <c r="F54" s="21">
        <f t="shared" si="3"/>
        <v>0.9</v>
      </c>
    </row>
    <row r="55" spans="1:6" x14ac:dyDescent="0.2">
      <c r="A55" s="19">
        <v>20</v>
      </c>
      <c r="B55" s="181" t="s">
        <v>18</v>
      </c>
      <c r="C55" s="182"/>
      <c r="D55" s="14">
        <f>IF(F3="1",SUMIF(Data!A:A,'53'!$A$2,Data!DN:DN),0)</f>
        <v>2016</v>
      </c>
      <c r="E55" s="17">
        <f>IF($F$3="1",SUMIF(Data!$A:$A,$A$2,Data!JH:JH),0)</f>
        <v>5265</v>
      </c>
      <c r="F55" s="21">
        <f t="shared" si="3"/>
        <v>2.61</v>
      </c>
    </row>
    <row r="56" spans="1:6" ht="14.25" customHeight="1" x14ac:dyDescent="0.2">
      <c r="A56" s="19">
        <v>21</v>
      </c>
      <c r="B56" s="181" t="s">
        <v>461</v>
      </c>
      <c r="C56" s="182"/>
      <c r="D56" s="14">
        <f>IF(F3="1",SUMIF(Data!A:A,'53'!$A$2,Data!DO:DO),0)</f>
        <v>18896</v>
      </c>
      <c r="E56" s="17">
        <f>IF($F$3="1",SUMIF(Data!$A:$A,$A$2,Data!JI:JI),0)</f>
        <v>53518</v>
      </c>
      <c r="F56" s="21">
        <f t="shared" si="3"/>
        <v>2.83</v>
      </c>
    </row>
    <row r="57" spans="1:6" x14ac:dyDescent="0.2">
      <c r="A57" s="19">
        <v>22</v>
      </c>
      <c r="B57" s="181" t="s">
        <v>19</v>
      </c>
      <c r="C57" s="182"/>
      <c r="D57" s="14">
        <f>IF(F3="1",SUMIF(Data!A:A,'53'!$A$2,Data!DP:DP),0)</f>
        <v>19584</v>
      </c>
      <c r="E57" s="17">
        <f>IF($F$3="1",SUMIF(Data!$A:$A,$A$2,Data!JJ:JJ),0)</f>
        <v>25894</v>
      </c>
      <c r="F57" s="21">
        <f t="shared" si="3"/>
        <v>1.32</v>
      </c>
    </row>
    <row r="58" spans="1:6" x14ac:dyDescent="0.2">
      <c r="A58" s="19">
        <v>23</v>
      </c>
      <c r="B58" s="181" t="s">
        <v>20</v>
      </c>
      <c r="C58" s="182"/>
      <c r="D58" s="14">
        <f>IF(F3="1",SUMIF(Data!A:A,'53'!$A$2,Data!DQ:DQ),0)</f>
        <v>0</v>
      </c>
      <c r="E58" s="17">
        <f>IF($F$3="1",SUMIF(Data!$A:$A,$A$2,Data!JK:JK),0)</f>
        <v>0</v>
      </c>
      <c r="F58" s="21" t="str">
        <f t="shared" si="3"/>
        <v/>
      </c>
    </row>
    <row r="59" spans="1:6" x14ac:dyDescent="0.2">
      <c r="A59" s="19">
        <v>24</v>
      </c>
      <c r="B59" s="181" t="s">
        <v>21</v>
      </c>
      <c r="C59" s="182"/>
      <c r="D59" s="14">
        <f>IF(F3="1",SUMIF(Data!A:A,'53'!$A$2,Data!DR:DR),0)</f>
        <v>3040</v>
      </c>
      <c r="E59" s="17">
        <f>IF($F$3="1",SUMIF(Data!$A:$A,$A$2,Data!JL:JL),0)</f>
        <v>4019</v>
      </c>
      <c r="F59" s="21">
        <f t="shared" si="3"/>
        <v>1.32</v>
      </c>
    </row>
    <row r="60" spans="1:6" x14ac:dyDescent="0.2">
      <c r="A60" s="19">
        <v>25</v>
      </c>
      <c r="B60" s="181" t="s">
        <v>22</v>
      </c>
      <c r="C60" s="182"/>
      <c r="D60" s="14">
        <f>IF(F3="1",SUMIF(Data!A:A,'53'!$A$2,Data!DS:DS),0)</f>
        <v>14592</v>
      </c>
      <c r="E60" s="17">
        <f>IF($F$3="1",SUMIF(Data!$A:$A,$A$2,Data!JM:JM),0)</f>
        <v>10109</v>
      </c>
      <c r="F60" s="21">
        <f t="shared" si="3"/>
        <v>0.69</v>
      </c>
    </row>
    <row r="61" spans="1:6" x14ac:dyDescent="0.2">
      <c r="A61" s="19">
        <v>26</v>
      </c>
      <c r="B61" s="181" t="s">
        <v>23</v>
      </c>
      <c r="C61" s="182"/>
      <c r="D61" s="14">
        <f>IF(F3="1",SUMIF(Data!A:A,'53'!$A$2,Data!DT:DT),0)</f>
        <v>960</v>
      </c>
      <c r="E61" s="17">
        <f>IF($F$3="1",SUMIF(Data!$A:$A,$A$2,Data!JN:JN),0)</f>
        <v>1269</v>
      </c>
      <c r="F61" s="21">
        <f t="shared" si="3"/>
        <v>1.32</v>
      </c>
    </row>
    <row r="62" spans="1:6" x14ac:dyDescent="0.2">
      <c r="A62" s="19">
        <v>28</v>
      </c>
      <c r="B62" s="181" t="s">
        <v>24</v>
      </c>
      <c r="C62" s="182"/>
      <c r="D62" s="14">
        <f>IF(F3="1",SUMIF(Data!A:A,'53'!$A$2,Data!DV:DV),0)</f>
        <v>0</v>
      </c>
      <c r="E62" s="17">
        <f>IF($F$3="1",SUMIF(Data!$A:$A,$A$2,Data!JP:JP),0)</f>
        <v>0</v>
      </c>
      <c r="F62" s="21" t="str">
        <f t="shared" si="3"/>
        <v/>
      </c>
    </row>
    <row r="63" spans="1:6" ht="15.75" customHeight="1" thickBot="1" x14ac:dyDescent="0.25">
      <c r="A63" s="22">
        <v>29</v>
      </c>
      <c r="B63" s="183" t="s">
        <v>25</v>
      </c>
      <c r="C63" s="184"/>
      <c r="D63" s="23">
        <f>IF(F3="1",SUMIF(Data!A:A,'53'!$A$2,Data!DW:DW),0)</f>
        <v>0</v>
      </c>
      <c r="E63" s="24">
        <f>IF($F$3="1",SUMIF(Data!$A:$A,$A$2,Data!JQ:JQ),0)</f>
        <v>0</v>
      </c>
      <c r="F63" s="25" t="str">
        <f t="shared" si="3"/>
        <v/>
      </c>
    </row>
    <row r="64" spans="1:6" x14ac:dyDescent="0.2">
      <c r="B64" s="30" t="s">
        <v>35</v>
      </c>
      <c r="C64" s="30"/>
      <c r="D64" s="59">
        <f>SUM(D36:D63)</f>
        <v>509822</v>
      </c>
      <c r="E64" s="31">
        <f>SUM(E36:E63)</f>
        <v>814288</v>
      </c>
      <c r="F64" s="32">
        <f t="shared" si="3"/>
        <v>1.6</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1824</v>
      </c>
      <c r="E67" s="15">
        <f>IF(F3="1",SUMIF(Data!A:A,'53'!$A$2,Data!DY:DY),0)</f>
        <v>4709</v>
      </c>
      <c r="F67" s="20">
        <f t="shared" ref="F67:F95" si="4">IF(OR(D67=0,E67=0),"",ROUND(E67/D67,2))</f>
        <v>2.58</v>
      </c>
    </row>
    <row r="68" spans="1:6" x14ac:dyDescent="0.2">
      <c r="A68" s="19">
        <v>2</v>
      </c>
      <c r="B68" s="181" t="s">
        <v>1</v>
      </c>
      <c r="C68" s="182"/>
      <c r="D68" s="14">
        <f t="shared" ref="D68:D94" si="5">D37</f>
        <v>25120</v>
      </c>
      <c r="E68" s="17">
        <f>IF(F3="1",SUMIF(Data!A:A,'53'!$A$2,Data!DZ:DZ),0)</f>
        <v>64855</v>
      </c>
      <c r="F68" s="21">
        <f t="shared" si="4"/>
        <v>2.58</v>
      </c>
    </row>
    <row r="69" spans="1:6" ht="14.25" customHeight="1" x14ac:dyDescent="0.2">
      <c r="A69" s="19">
        <v>3</v>
      </c>
      <c r="B69" s="181" t="s">
        <v>2</v>
      </c>
      <c r="C69" s="182"/>
      <c r="D69" s="14">
        <f t="shared" si="5"/>
        <v>13120</v>
      </c>
      <c r="E69" s="17">
        <f>IF(F3="1",SUMIF(Data!A:A,'53'!$A$2,Data!EA:EA),0)</f>
        <v>70841</v>
      </c>
      <c r="F69" s="21">
        <f t="shared" si="4"/>
        <v>5.4</v>
      </c>
    </row>
    <row r="70" spans="1:6" ht="14.25" customHeight="1" x14ac:dyDescent="0.2">
      <c r="A70" s="19">
        <v>4</v>
      </c>
      <c r="B70" s="181" t="s">
        <v>3</v>
      </c>
      <c r="C70" s="182"/>
      <c r="D70" s="14">
        <f t="shared" si="5"/>
        <v>21484</v>
      </c>
      <c r="E70" s="17">
        <f>IF(F3="1",SUMIF(Data!A:A,'53'!$A$2,Data!EB:EB),0)</f>
        <v>77485</v>
      </c>
      <c r="F70" s="21">
        <f t="shared" si="4"/>
        <v>3.61</v>
      </c>
    </row>
    <row r="71" spans="1:6" x14ac:dyDescent="0.2">
      <c r="A71" s="19">
        <v>5</v>
      </c>
      <c r="B71" s="181" t="s">
        <v>4</v>
      </c>
      <c r="C71" s="182"/>
      <c r="D71" s="14">
        <f t="shared" si="5"/>
        <v>0</v>
      </c>
      <c r="E71" s="17">
        <f>IF(F3="1",SUMIF(Data!A:A,'53'!$A$2,Data!EC:EC),0)</f>
        <v>0</v>
      </c>
      <c r="F71" s="21" t="str">
        <f t="shared" si="4"/>
        <v/>
      </c>
    </row>
    <row r="72" spans="1:6" x14ac:dyDescent="0.2">
      <c r="A72" s="19">
        <v>6</v>
      </c>
      <c r="B72" s="181" t="s">
        <v>5</v>
      </c>
      <c r="C72" s="182"/>
      <c r="D72" s="14">
        <f t="shared" si="5"/>
        <v>576</v>
      </c>
      <c r="E72" s="17">
        <f>IF(F3="1",SUMIF(Data!A:A,'53'!$A$2,Data!ED:ED),0)</f>
        <v>1487</v>
      </c>
      <c r="F72" s="21">
        <f t="shared" si="4"/>
        <v>2.58</v>
      </c>
    </row>
    <row r="73" spans="1:6" x14ac:dyDescent="0.2">
      <c r="A73" s="19">
        <v>7</v>
      </c>
      <c r="B73" s="181" t="s">
        <v>6</v>
      </c>
      <c r="C73" s="182"/>
      <c r="D73" s="14">
        <f t="shared" si="5"/>
        <v>80152</v>
      </c>
      <c r="E73" s="17">
        <f>IF(F3="1",SUMIF(Data!A:A,'53'!$A$2,Data!EE:EE),0)</f>
        <v>289078</v>
      </c>
      <c r="F73" s="21">
        <f t="shared" si="4"/>
        <v>3.61</v>
      </c>
    </row>
    <row r="74" spans="1:6" x14ac:dyDescent="0.2">
      <c r="A74" s="19">
        <v>8</v>
      </c>
      <c r="B74" s="181" t="s">
        <v>7</v>
      </c>
      <c r="C74" s="182"/>
      <c r="D74" s="14">
        <f t="shared" si="5"/>
        <v>35616</v>
      </c>
      <c r="E74" s="17">
        <f>IF(F3="1",SUMIF(Data!A:A,'53'!$A$2,Data!EF:EF),0)</f>
        <v>91953</v>
      </c>
      <c r="F74" s="21">
        <f t="shared" si="4"/>
        <v>2.58</v>
      </c>
    </row>
    <row r="75" spans="1:6" x14ac:dyDescent="0.2">
      <c r="A75" s="19">
        <v>9</v>
      </c>
      <c r="B75" s="181" t="s">
        <v>8</v>
      </c>
      <c r="C75" s="182"/>
      <c r="D75" s="14">
        <f t="shared" si="5"/>
        <v>0</v>
      </c>
      <c r="E75" s="17">
        <f>IF(F3="1",SUMIF(Data!A:A,'53'!$A$2,Data!EG:EG),0)</f>
        <v>0</v>
      </c>
      <c r="F75" s="21" t="str">
        <f t="shared" si="4"/>
        <v/>
      </c>
    </row>
    <row r="76" spans="1:6" x14ac:dyDescent="0.2">
      <c r="A76" s="19">
        <v>10</v>
      </c>
      <c r="B76" s="181" t="s">
        <v>9</v>
      </c>
      <c r="C76" s="182"/>
      <c r="D76" s="14">
        <f t="shared" si="5"/>
        <v>0</v>
      </c>
      <c r="E76" s="17">
        <f>IF(F3="1",SUMIF(Data!A:A,'53'!$A$2,Data!EH:EH),0)</f>
        <v>0</v>
      </c>
      <c r="F76" s="21" t="str">
        <f t="shared" si="4"/>
        <v/>
      </c>
    </row>
    <row r="77" spans="1:6" x14ac:dyDescent="0.2">
      <c r="A77" s="19">
        <v>11</v>
      </c>
      <c r="B77" s="181" t="s">
        <v>10</v>
      </c>
      <c r="C77" s="182"/>
      <c r="D77" s="14">
        <f t="shared" si="5"/>
        <v>189098</v>
      </c>
      <c r="E77" s="17">
        <f>IF(F3="1",SUMIF(Data!A:A,'53'!$A$2,Data!EI:EI),0)</f>
        <v>658254</v>
      </c>
      <c r="F77" s="21">
        <f t="shared" si="4"/>
        <v>3.48</v>
      </c>
    </row>
    <row r="78" spans="1:6" ht="14.25" customHeight="1" x14ac:dyDescent="0.2">
      <c r="A78" s="19">
        <v>12</v>
      </c>
      <c r="B78" s="181" t="s">
        <v>11</v>
      </c>
      <c r="C78" s="182"/>
      <c r="D78" s="14">
        <f t="shared" si="5"/>
        <v>51664</v>
      </c>
      <c r="E78" s="17">
        <f>IF(F3="1",SUMIF(Data!A:A,'53'!$A$2,Data!EJ:EJ),0)</f>
        <v>172381</v>
      </c>
      <c r="F78" s="21">
        <f t="shared" si="4"/>
        <v>3.34</v>
      </c>
    </row>
    <row r="79" spans="1:6" x14ac:dyDescent="0.2">
      <c r="A79" s="19">
        <v>13</v>
      </c>
      <c r="B79" s="181" t="s">
        <v>12</v>
      </c>
      <c r="C79" s="182"/>
      <c r="D79" s="14">
        <f t="shared" si="5"/>
        <v>0</v>
      </c>
      <c r="E79" s="17">
        <f>IF(F3="1",SUMIF(Data!A:A,'53'!$A$2,Data!EK:EK),0)</f>
        <v>0</v>
      </c>
      <c r="F79" s="21" t="str">
        <f t="shared" si="4"/>
        <v/>
      </c>
    </row>
    <row r="80" spans="1:6" ht="14.25" customHeight="1" x14ac:dyDescent="0.2">
      <c r="A80" s="19">
        <v>14</v>
      </c>
      <c r="B80" s="181" t="s">
        <v>464</v>
      </c>
      <c r="C80" s="182"/>
      <c r="D80" s="14">
        <f t="shared" si="5"/>
        <v>0</v>
      </c>
      <c r="E80" s="17">
        <f>IF(F3="1",SUMIF(Data!A:A,'53'!$A$2,Data!EL:EL),0)</f>
        <v>0</v>
      </c>
      <c r="F80" s="21" t="str">
        <f t="shared" si="4"/>
        <v/>
      </c>
    </row>
    <row r="81" spans="1:6" x14ac:dyDescent="0.2">
      <c r="A81" s="19">
        <v>15</v>
      </c>
      <c r="B81" s="181" t="s">
        <v>13</v>
      </c>
      <c r="C81" s="182"/>
      <c r="D81" s="14">
        <f t="shared" si="5"/>
        <v>0</v>
      </c>
      <c r="E81" s="17">
        <f>IF(F3="1",SUMIF(Data!A:A,'53'!$A$2,Data!EM:EM),0)</f>
        <v>0</v>
      </c>
      <c r="F81" s="21" t="str">
        <f t="shared" si="4"/>
        <v/>
      </c>
    </row>
    <row r="82" spans="1:6" x14ac:dyDescent="0.2">
      <c r="A82" s="19">
        <v>16</v>
      </c>
      <c r="B82" s="181" t="s">
        <v>14</v>
      </c>
      <c r="C82" s="182"/>
      <c r="D82" s="14">
        <f t="shared" si="5"/>
        <v>0</v>
      </c>
      <c r="E82" s="17">
        <f>IF(F3="1",SUMIF(Data!A:A,'53'!$A$2,Data!EN:EN),0)</f>
        <v>0</v>
      </c>
      <c r="F82" s="21" t="str">
        <f t="shared" si="4"/>
        <v/>
      </c>
    </row>
    <row r="83" spans="1:6" x14ac:dyDescent="0.2">
      <c r="A83" s="19">
        <v>17</v>
      </c>
      <c r="B83" s="181" t="s">
        <v>15</v>
      </c>
      <c r="C83" s="182"/>
      <c r="D83" s="14">
        <f t="shared" si="5"/>
        <v>0</v>
      </c>
      <c r="E83" s="17">
        <f>IF(F3="1",SUMIF(Data!A:A,'53'!$A$2,Data!EO:EO),0)</f>
        <v>0</v>
      </c>
      <c r="F83" s="21" t="str">
        <f t="shared" si="4"/>
        <v/>
      </c>
    </row>
    <row r="84" spans="1:6" x14ac:dyDescent="0.2">
      <c r="A84" s="19">
        <v>18</v>
      </c>
      <c r="B84" s="181" t="s">
        <v>16</v>
      </c>
      <c r="C84" s="182"/>
      <c r="D84" s="14">
        <f t="shared" si="5"/>
        <v>0</v>
      </c>
      <c r="E84" s="17">
        <f>IF(F3="1",SUMIF(Data!A:A,'53'!$A$2,Data!EP:EP),0)</f>
        <v>0</v>
      </c>
      <c r="F84" s="21" t="str">
        <f t="shared" si="4"/>
        <v/>
      </c>
    </row>
    <row r="85" spans="1:6" x14ac:dyDescent="0.2">
      <c r="A85" s="19">
        <v>19</v>
      </c>
      <c r="B85" s="181" t="s">
        <v>17</v>
      </c>
      <c r="C85" s="182"/>
      <c r="D85" s="14">
        <f t="shared" si="5"/>
        <v>32080</v>
      </c>
      <c r="E85" s="17">
        <f>IF(F3="1",SUMIF(Data!A:A,'53'!$A$2,Data!EQ:EQ),0)</f>
        <v>107038</v>
      </c>
      <c r="F85" s="21">
        <f t="shared" si="4"/>
        <v>3.34</v>
      </c>
    </row>
    <row r="86" spans="1:6" x14ac:dyDescent="0.2">
      <c r="A86" s="19">
        <v>20</v>
      </c>
      <c r="B86" s="181" t="s">
        <v>18</v>
      </c>
      <c r="C86" s="182"/>
      <c r="D86" s="14">
        <f t="shared" si="5"/>
        <v>2016</v>
      </c>
      <c r="E86" s="17">
        <f>IF(F3="1",SUMIF(Data!A:A,'53'!$A$2,Data!ER:ER),0)</f>
        <v>8254</v>
      </c>
      <c r="F86" s="21">
        <f t="shared" si="4"/>
        <v>4.09</v>
      </c>
    </row>
    <row r="87" spans="1:6" ht="14.25" customHeight="1" x14ac:dyDescent="0.2">
      <c r="A87" s="19">
        <v>21</v>
      </c>
      <c r="B87" s="181" t="s">
        <v>461</v>
      </c>
      <c r="C87" s="182"/>
      <c r="D87" s="14">
        <f t="shared" si="5"/>
        <v>18896</v>
      </c>
      <c r="E87" s="17">
        <f>IF(F3="1",SUMIF(Data!A:A,'53'!$A$2,Data!ES:ES),0)</f>
        <v>77364</v>
      </c>
      <c r="F87" s="21">
        <f t="shared" si="4"/>
        <v>4.09</v>
      </c>
    </row>
    <row r="88" spans="1:6" x14ac:dyDescent="0.2">
      <c r="A88" s="19">
        <v>22</v>
      </c>
      <c r="B88" s="181" t="s">
        <v>19</v>
      </c>
      <c r="C88" s="182"/>
      <c r="D88" s="14">
        <f t="shared" si="5"/>
        <v>19584</v>
      </c>
      <c r="E88" s="17">
        <f>IF(F3="1",SUMIF(Data!A:A,'53'!$A$2,Data!ET:ET),0)</f>
        <v>70632</v>
      </c>
      <c r="F88" s="21">
        <f t="shared" si="4"/>
        <v>3.61</v>
      </c>
    </row>
    <row r="89" spans="1:6" x14ac:dyDescent="0.2">
      <c r="A89" s="19">
        <v>23</v>
      </c>
      <c r="B89" s="181" t="s">
        <v>20</v>
      </c>
      <c r="C89" s="182"/>
      <c r="D89" s="14">
        <f t="shared" si="5"/>
        <v>0</v>
      </c>
      <c r="E89" s="17">
        <f>IF(F3="1",SUMIF(Data!A:A,'53'!$A$2,Data!EU:EU),0)</f>
        <v>0</v>
      </c>
      <c r="F89" s="21" t="str">
        <f t="shared" si="4"/>
        <v/>
      </c>
    </row>
    <row r="90" spans="1:6" x14ac:dyDescent="0.2">
      <c r="A90" s="19">
        <v>24</v>
      </c>
      <c r="B90" s="181" t="s">
        <v>21</v>
      </c>
      <c r="C90" s="182"/>
      <c r="D90" s="14">
        <f t="shared" si="5"/>
        <v>3040</v>
      </c>
      <c r="E90" s="17">
        <f>IF(F3="1",SUMIF(Data!A:A,'53'!$A$2,Data!EV:EV),0)</f>
        <v>10964</v>
      </c>
      <c r="F90" s="21">
        <f t="shared" si="4"/>
        <v>3.61</v>
      </c>
    </row>
    <row r="91" spans="1:6" x14ac:dyDescent="0.2">
      <c r="A91" s="19">
        <v>25</v>
      </c>
      <c r="B91" s="181" t="s">
        <v>22</v>
      </c>
      <c r="C91" s="182"/>
      <c r="D91" s="14">
        <f t="shared" si="5"/>
        <v>14592</v>
      </c>
      <c r="E91" s="17">
        <f>IF(F3="1",SUMIF(Data!A:A,'53'!$A$2,Data!EW:EW),0)</f>
        <v>20250</v>
      </c>
      <c r="F91" s="21">
        <f t="shared" si="4"/>
        <v>1.39</v>
      </c>
    </row>
    <row r="92" spans="1:6" x14ac:dyDescent="0.2">
      <c r="A92" s="19">
        <v>26</v>
      </c>
      <c r="B92" s="181" t="s">
        <v>23</v>
      </c>
      <c r="C92" s="182"/>
      <c r="D92" s="14">
        <f t="shared" si="5"/>
        <v>960</v>
      </c>
      <c r="E92" s="17">
        <f>IF(F3="1",SUMIF(Data!A:A,'53'!$A$2,Data!EX:EX),0)</f>
        <v>3462</v>
      </c>
      <c r="F92" s="21">
        <f t="shared" si="4"/>
        <v>3.61</v>
      </c>
    </row>
    <row r="93" spans="1:6" x14ac:dyDescent="0.2">
      <c r="A93" s="19">
        <v>28</v>
      </c>
      <c r="B93" s="181" t="s">
        <v>24</v>
      </c>
      <c r="C93" s="182"/>
      <c r="D93" s="14">
        <f t="shared" si="5"/>
        <v>0</v>
      </c>
      <c r="E93" s="17">
        <f>IF(F3="1",SUMIF(Data!A:A,'53'!$A$2,Data!EZ:EZ),0)</f>
        <v>0</v>
      </c>
      <c r="F93" s="21" t="str">
        <f t="shared" si="4"/>
        <v/>
      </c>
    </row>
    <row r="94" spans="1:6" ht="15.75" customHeight="1" thickBot="1" x14ac:dyDescent="0.25">
      <c r="A94" s="22">
        <v>29</v>
      </c>
      <c r="B94" s="183" t="s">
        <v>25</v>
      </c>
      <c r="C94" s="184"/>
      <c r="D94" s="23">
        <f t="shared" si="5"/>
        <v>0</v>
      </c>
      <c r="E94" s="24">
        <f>IF(F3="1",SUMIF(Data!A:A,'53'!$A$2,Data!FA:FA),0)</f>
        <v>0</v>
      </c>
      <c r="F94" s="25" t="str">
        <f t="shared" si="4"/>
        <v/>
      </c>
    </row>
    <row r="95" spans="1:6" x14ac:dyDescent="0.2">
      <c r="B95" s="30" t="s">
        <v>35</v>
      </c>
      <c r="C95" s="30"/>
      <c r="D95" s="59">
        <f>SUM(D67:D94)</f>
        <v>509822</v>
      </c>
      <c r="E95" s="31">
        <f>SUM(E67:E94)</f>
        <v>1729007</v>
      </c>
      <c r="F95" s="32">
        <f t="shared" si="4"/>
        <v>3.39</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IF(F3="1",SUMIF(Data!A:A,'53'!$A$2,Data!AH:AH),0)</f>
        <v>922011</v>
      </c>
      <c r="F98" s="20">
        <f>IF(OR(E98=0,E98=0),"",ROUND(E98/$D$105,2))</f>
        <v>1.81</v>
      </c>
    </row>
    <row r="99" spans="2:6" x14ac:dyDescent="0.2">
      <c r="B99" s="187" t="s">
        <v>31</v>
      </c>
      <c r="C99" s="188"/>
      <c r="D99" s="36"/>
      <c r="E99" s="17">
        <f>IF(F3="1",SUMIF(Data!A:A,'53'!$A$2,Data!AI:AI),0)</f>
        <v>476558</v>
      </c>
      <c r="F99" s="21">
        <f t="shared" ref="F99:F104" si="6">IF(OR(E99=0,E99=0),"",ROUND(E99/$D$105,2))</f>
        <v>0.93</v>
      </c>
    </row>
    <row r="100" spans="2:6" x14ac:dyDescent="0.2">
      <c r="B100" s="187" t="s">
        <v>1078</v>
      </c>
      <c r="C100" s="188"/>
      <c r="D100" s="36"/>
      <c r="E100" s="17">
        <f>IF(F3="1",SUMIF(Data!A:A,'53'!$A$2,Data!AJ:AJ),0)</f>
        <v>203290</v>
      </c>
      <c r="F100" s="21">
        <f t="shared" si="6"/>
        <v>0.4</v>
      </c>
    </row>
    <row r="101" spans="2:6" x14ac:dyDescent="0.2">
      <c r="B101" s="187" t="s">
        <v>1079</v>
      </c>
      <c r="C101" s="188"/>
      <c r="D101" s="36"/>
      <c r="E101" s="17">
        <f>IF(F3="1",SUMIF(Data!A:A,'53'!$A$2,Data!AK:AK),0)</f>
        <v>371594</v>
      </c>
      <c r="F101" s="21">
        <f t="shared" si="6"/>
        <v>0.73</v>
      </c>
    </row>
    <row r="102" spans="2:6" x14ac:dyDescent="0.2">
      <c r="B102" s="187" t="s">
        <v>1080</v>
      </c>
      <c r="C102" s="188"/>
      <c r="D102" s="36"/>
      <c r="E102" s="17">
        <f>IF(F3="1",SUMIF(Data!A:A,'53'!$A$2,Data!AL:AL),0)</f>
        <v>0</v>
      </c>
      <c r="F102" s="21" t="str">
        <f t="shared" si="6"/>
        <v/>
      </c>
    </row>
    <row r="103" spans="2:6" x14ac:dyDescent="0.2">
      <c r="B103" s="189" t="s">
        <v>34</v>
      </c>
      <c r="C103" s="190"/>
      <c r="D103" s="36"/>
      <c r="E103" s="17">
        <f>IF(F3="1",SUMIF(Data!A:A,'53'!$A$2,Data!AM:AM),0)</f>
        <v>0</v>
      </c>
      <c r="F103" s="21" t="str">
        <f t="shared" si="6"/>
        <v/>
      </c>
    </row>
    <row r="104" spans="2:6" ht="15.75" customHeight="1" thickBot="1" x14ac:dyDescent="0.25">
      <c r="B104" s="179" t="s">
        <v>29</v>
      </c>
      <c r="C104" s="180"/>
      <c r="D104" s="37"/>
      <c r="E104" s="24">
        <f>IF(F3="1",SUMIF(Data!A:A,'53'!$A$2,Data!Q:Q),0)</f>
        <v>130017</v>
      </c>
      <c r="F104" s="25">
        <f t="shared" si="6"/>
        <v>0.26</v>
      </c>
    </row>
    <row r="105" spans="2:6" x14ac:dyDescent="0.2">
      <c r="B105" s="30" t="s">
        <v>35</v>
      </c>
      <c r="C105" s="30"/>
      <c r="D105" s="34">
        <f>D95</f>
        <v>509822</v>
      </c>
      <c r="E105" s="31">
        <f>SUM(E98:E104)</f>
        <v>2103470</v>
      </c>
      <c r="F105" s="32">
        <f>IF($D$105=0,"",ROUND(E105/$D$105,2))</f>
        <v>4.13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1729007</v>
      </c>
      <c r="D109" s="15">
        <f>IF(F3="1",SUMIF(Data!$A:$A,$A$2,Data!HJ:HJ),0)</f>
        <v>0</v>
      </c>
      <c r="E109" s="15">
        <f>IF(F3="1",SUMIF(Data!$A:$A,$A$2,Data!IN:IN),0)</f>
        <v>0</v>
      </c>
      <c r="F109" s="47">
        <f>SUM(C109:E109)</f>
        <v>1729007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130017</v>
      </c>
      <c r="E117" s="52"/>
      <c r="F117" s="49">
        <f>SUM(C117:E117)</f>
        <v>130017</v>
      </c>
    </row>
    <row r="118" spans="1:6" x14ac:dyDescent="0.2">
      <c r="B118" s="13" t="s">
        <v>35</v>
      </c>
      <c r="C118" s="4">
        <f>SUM(C109:C116)</f>
        <v>1729007</v>
      </c>
      <c r="D118" s="4">
        <f>SUM(D109:D116)</f>
        <v>0</v>
      </c>
      <c r="E118" s="4">
        <f>SUM(E109:E116)</f>
        <v>0</v>
      </c>
      <c r="F118" s="4">
        <f>SUM(F109:F116)</f>
        <v>1729007</v>
      </c>
    </row>
    <row r="119" spans="1:6" ht="15" thickBot="1" x14ac:dyDescent="0.25"/>
    <row r="120" spans="1:6" ht="15" thickBot="1" x14ac:dyDescent="0.25">
      <c r="B120" s="55" t="s">
        <v>934</v>
      </c>
      <c r="C120" s="53"/>
      <c r="D120" s="53"/>
      <c r="E120" s="53">
        <f>IF(F3="1",SUMIF(Data!A:A,'53'!$A$2,Data!AM:AM),0)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407</v>
      </c>
      <c r="B2" s="58" t="str">
        <f>VLOOKUP(A2,Data!A:G,7,0)</f>
        <v>Texas State Technical College-Waco</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75224</v>
      </c>
      <c r="E5" s="15">
        <f>E36+E67+IFERROR($E$105/$D$105*D5,0)</f>
        <v>490516.91243176814</v>
      </c>
      <c r="F5" s="20">
        <f>IF(OR(D5=0,E5=0),"",ROUND(E5/D5,2))</f>
        <v>6.52</v>
      </c>
    </row>
    <row r="6" spans="1:6" x14ac:dyDescent="0.2">
      <c r="A6" s="19">
        <v>2</v>
      </c>
      <c r="B6" s="181" t="s">
        <v>1</v>
      </c>
      <c r="C6" s="182"/>
      <c r="D6" s="14">
        <f t="shared" ref="D6:D32" si="0">D37</f>
        <v>282675</v>
      </c>
      <c r="E6" s="17">
        <f t="shared" ref="E6:E32" si="1">E37+E68+IFERROR($E$105/$D$105*D6,0)</f>
        <v>1794983.5573573601</v>
      </c>
      <c r="F6" s="21">
        <f t="shared" ref="F6:F33" si="2">IF(OR(D6=0,E6=0),"",ROUND(E6/D6,2))</f>
        <v>6.35</v>
      </c>
    </row>
    <row r="7" spans="1:6" ht="14.25" customHeight="1" x14ac:dyDescent="0.2">
      <c r="A7" s="19">
        <v>3</v>
      </c>
      <c r="B7" s="181" t="s">
        <v>2</v>
      </c>
      <c r="C7" s="182"/>
      <c r="D7" s="14">
        <f t="shared" si="0"/>
        <v>55520</v>
      </c>
      <c r="E7" s="17">
        <f t="shared" si="1"/>
        <v>391953.05331027025</v>
      </c>
      <c r="F7" s="21">
        <f t="shared" si="2"/>
        <v>7.06</v>
      </c>
    </row>
    <row r="8" spans="1:6" ht="14.25" customHeight="1" x14ac:dyDescent="0.2">
      <c r="A8" s="19">
        <v>4</v>
      </c>
      <c r="B8" s="181" t="s">
        <v>3</v>
      </c>
      <c r="C8" s="182"/>
      <c r="D8" s="14">
        <f t="shared" si="0"/>
        <v>407638</v>
      </c>
      <c r="E8" s="17">
        <f t="shared" si="1"/>
        <v>1381833.7445477655</v>
      </c>
      <c r="F8" s="21">
        <f t="shared" si="2"/>
        <v>3.39</v>
      </c>
    </row>
    <row r="9" spans="1:6" x14ac:dyDescent="0.2">
      <c r="A9" s="19">
        <v>5</v>
      </c>
      <c r="B9" s="181" t="s">
        <v>4</v>
      </c>
      <c r="C9" s="182"/>
      <c r="D9" s="14">
        <f t="shared" si="0"/>
        <v>92592</v>
      </c>
      <c r="E9" s="17">
        <f t="shared" si="1"/>
        <v>1541731.6534600961</v>
      </c>
      <c r="F9" s="21">
        <f t="shared" si="2"/>
        <v>16.649999999999999</v>
      </c>
    </row>
    <row r="10" spans="1:6" x14ac:dyDescent="0.2">
      <c r="A10" s="19">
        <v>6</v>
      </c>
      <c r="B10" s="181" t="s">
        <v>5</v>
      </c>
      <c r="C10" s="182"/>
      <c r="D10" s="14">
        <f t="shared" si="0"/>
        <v>126096</v>
      </c>
      <c r="E10" s="17">
        <f t="shared" si="1"/>
        <v>913052.27871419012</v>
      </c>
      <c r="F10" s="21">
        <f t="shared" si="2"/>
        <v>7.24</v>
      </c>
    </row>
    <row r="11" spans="1:6" x14ac:dyDescent="0.2">
      <c r="A11" s="19">
        <v>7</v>
      </c>
      <c r="B11" s="181" t="s">
        <v>6</v>
      </c>
      <c r="C11" s="182"/>
      <c r="D11" s="14">
        <f t="shared" si="0"/>
        <v>492848</v>
      </c>
      <c r="E11" s="17">
        <f t="shared" si="1"/>
        <v>3843484.8193418598</v>
      </c>
      <c r="F11" s="21">
        <f t="shared" si="2"/>
        <v>7.8</v>
      </c>
    </row>
    <row r="12" spans="1:6" x14ac:dyDescent="0.2">
      <c r="A12" s="19">
        <v>8</v>
      </c>
      <c r="B12" s="181" t="s">
        <v>7</v>
      </c>
      <c r="C12" s="182"/>
      <c r="D12" s="14">
        <f t="shared" si="0"/>
        <v>96084</v>
      </c>
      <c r="E12" s="17">
        <f t="shared" si="1"/>
        <v>535746.55602060526</v>
      </c>
      <c r="F12" s="21">
        <f t="shared" si="2"/>
        <v>5.58</v>
      </c>
    </row>
    <row r="13" spans="1:6" x14ac:dyDescent="0.2">
      <c r="A13" s="19">
        <v>9</v>
      </c>
      <c r="B13" s="181" t="s">
        <v>8</v>
      </c>
      <c r="C13" s="182"/>
      <c r="D13" s="14">
        <f t="shared" si="0"/>
        <v>53462</v>
      </c>
      <c r="E13" s="17">
        <f t="shared" si="1"/>
        <v>401093.96296962659</v>
      </c>
      <c r="F13" s="21">
        <f t="shared" si="2"/>
        <v>7.5</v>
      </c>
    </row>
    <row r="14" spans="1:6" x14ac:dyDescent="0.2">
      <c r="A14" s="19">
        <v>10</v>
      </c>
      <c r="B14" s="181" t="s">
        <v>9</v>
      </c>
      <c r="C14" s="182"/>
      <c r="D14" s="14">
        <f t="shared" si="0"/>
        <v>3200</v>
      </c>
      <c r="E14" s="17">
        <f t="shared" si="1"/>
        <v>32323.887798862837</v>
      </c>
      <c r="F14" s="21">
        <f t="shared" si="2"/>
        <v>10.1</v>
      </c>
    </row>
    <row r="15" spans="1:6" x14ac:dyDescent="0.2">
      <c r="A15" s="19">
        <v>11</v>
      </c>
      <c r="B15" s="181" t="s">
        <v>10</v>
      </c>
      <c r="C15" s="182"/>
      <c r="D15" s="14">
        <f t="shared" si="0"/>
        <v>620804</v>
      </c>
      <c r="E15" s="17">
        <f t="shared" si="1"/>
        <v>5722822.657839139</v>
      </c>
      <c r="F15" s="21">
        <f t="shared" si="2"/>
        <v>9.2200000000000006</v>
      </c>
    </row>
    <row r="16" spans="1:6" ht="14.25" customHeight="1" x14ac:dyDescent="0.2">
      <c r="A16" s="19">
        <v>12</v>
      </c>
      <c r="B16" s="181" t="s">
        <v>11</v>
      </c>
      <c r="C16" s="182"/>
      <c r="D16" s="14">
        <f t="shared" si="0"/>
        <v>290421</v>
      </c>
      <c r="E16" s="17">
        <f t="shared" si="1"/>
        <v>1775754.7982604825</v>
      </c>
      <c r="F16" s="21">
        <f t="shared" si="2"/>
        <v>6.11</v>
      </c>
    </row>
    <row r="17" spans="1:6" x14ac:dyDescent="0.2">
      <c r="A17" s="19">
        <v>13</v>
      </c>
      <c r="B17" s="181" t="s">
        <v>12</v>
      </c>
      <c r="C17" s="182"/>
      <c r="D17" s="14">
        <f t="shared" si="0"/>
        <v>960</v>
      </c>
      <c r="E17" s="17">
        <f t="shared" si="1"/>
        <v>3702.9663396588512</v>
      </c>
      <c r="F17" s="21">
        <f t="shared" si="2"/>
        <v>3.86</v>
      </c>
    </row>
    <row r="18" spans="1:6" ht="14.25" customHeight="1" x14ac:dyDescent="0.2">
      <c r="A18" s="19">
        <v>14</v>
      </c>
      <c r="B18" s="181" t="s">
        <v>464</v>
      </c>
      <c r="C18" s="182"/>
      <c r="D18" s="14">
        <f t="shared" si="0"/>
        <v>110540</v>
      </c>
      <c r="E18" s="17">
        <f t="shared" si="1"/>
        <v>631691.99915196816</v>
      </c>
      <c r="F18" s="21">
        <f t="shared" si="2"/>
        <v>5.71</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20603</v>
      </c>
      <c r="E20" s="17">
        <f t="shared" si="1"/>
        <v>206157.59634999096</v>
      </c>
      <c r="F20" s="21">
        <f t="shared" si="2"/>
        <v>10.01</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0</v>
      </c>
      <c r="E22" s="17">
        <f t="shared" si="1"/>
        <v>0</v>
      </c>
      <c r="F22" s="21" t="str">
        <f t="shared" si="2"/>
        <v/>
      </c>
    </row>
    <row r="23" spans="1:6" x14ac:dyDescent="0.2">
      <c r="A23" s="19">
        <v>19</v>
      </c>
      <c r="B23" s="181" t="s">
        <v>17</v>
      </c>
      <c r="C23" s="182"/>
      <c r="D23" s="14">
        <f t="shared" si="0"/>
        <v>188128</v>
      </c>
      <c r="E23" s="17">
        <f t="shared" si="1"/>
        <v>1180607.0036951462</v>
      </c>
      <c r="F23" s="21">
        <f t="shared" si="2"/>
        <v>6.28</v>
      </c>
    </row>
    <row r="24" spans="1:6" x14ac:dyDescent="0.2">
      <c r="A24" s="19">
        <v>20</v>
      </c>
      <c r="B24" s="181" t="s">
        <v>18</v>
      </c>
      <c r="C24" s="182"/>
      <c r="D24" s="14">
        <f t="shared" si="0"/>
        <v>302639</v>
      </c>
      <c r="E24" s="17">
        <f t="shared" si="1"/>
        <v>1877935.0323625156</v>
      </c>
      <c r="F24" s="21">
        <f t="shared" si="2"/>
        <v>6.21</v>
      </c>
    </row>
    <row r="25" spans="1:6" ht="14.25" customHeight="1" x14ac:dyDescent="0.2">
      <c r="A25" s="19">
        <v>21</v>
      </c>
      <c r="B25" s="181" t="s">
        <v>461</v>
      </c>
      <c r="C25" s="182"/>
      <c r="D25" s="14">
        <f t="shared" si="0"/>
        <v>244608</v>
      </c>
      <c r="E25" s="17">
        <f t="shared" si="1"/>
        <v>1840040.0233450753</v>
      </c>
      <c r="F25" s="21">
        <f t="shared" si="2"/>
        <v>7.52</v>
      </c>
    </row>
    <row r="26" spans="1:6" x14ac:dyDescent="0.2">
      <c r="A26" s="19">
        <v>22</v>
      </c>
      <c r="B26" s="181" t="s">
        <v>19</v>
      </c>
      <c r="C26" s="182"/>
      <c r="D26" s="14">
        <f t="shared" si="0"/>
        <v>72400</v>
      </c>
      <c r="E26" s="17">
        <f t="shared" si="1"/>
        <v>450413.96144927171</v>
      </c>
      <c r="F26" s="21">
        <f t="shared" si="2"/>
        <v>6.22</v>
      </c>
    </row>
    <row r="27" spans="1:6" x14ac:dyDescent="0.2">
      <c r="A27" s="19">
        <v>23</v>
      </c>
      <c r="B27" s="181" t="s">
        <v>20</v>
      </c>
      <c r="C27" s="182"/>
      <c r="D27" s="14">
        <f t="shared" si="0"/>
        <v>0</v>
      </c>
      <c r="E27" s="17">
        <f t="shared" si="1"/>
        <v>0</v>
      </c>
      <c r="F27" s="21" t="str">
        <f t="shared" si="2"/>
        <v/>
      </c>
    </row>
    <row r="28" spans="1:6" x14ac:dyDescent="0.2">
      <c r="A28" s="19">
        <v>24</v>
      </c>
      <c r="B28" s="181" t="s">
        <v>21</v>
      </c>
      <c r="C28" s="182"/>
      <c r="D28" s="14">
        <f t="shared" si="0"/>
        <v>20432</v>
      </c>
      <c r="E28" s="17">
        <f t="shared" si="1"/>
        <v>79506.183595739218</v>
      </c>
      <c r="F28" s="21">
        <f t="shared" si="2"/>
        <v>3.89</v>
      </c>
    </row>
    <row r="29" spans="1:6" x14ac:dyDescent="0.2">
      <c r="A29" s="19">
        <v>25</v>
      </c>
      <c r="B29" s="181" t="s">
        <v>22</v>
      </c>
      <c r="C29" s="182"/>
      <c r="D29" s="14">
        <f t="shared" si="0"/>
        <v>75568</v>
      </c>
      <c r="E29" s="17">
        <f t="shared" si="1"/>
        <v>478972.4503701459</v>
      </c>
      <c r="F29" s="21">
        <f t="shared" si="2"/>
        <v>6.34</v>
      </c>
    </row>
    <row r="30" spans="1:6" x14ac:dyDescent="0.2">
      <c r="A30" s="19">
        <v>26</v>
      </c>
      <c r="B30" s="181" t="s">
        <v>23</v>
      </c>
      <c r="C30" s="182"/>
      <c r="D30" s="14">
        <f t="shared" si="0"/>
        <v>169302</v>
      </c>
      <c r="E30" s="17">
        <f t="shared" si="1"/>
        <v>1227644.9012884614</v>
      </c>
      <c r="F30" s="21">
        <f t="shared" si="2"/>
        <v>7.25</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3801744</v>
      </c>
      <c r="E33" s="31">
        <f>SUM(E5:E32)</f>
        <v>26801970</v>
      </c>
      <c r="F33" s="32">
        <f t="shared" si="2"/>
        <v>7.05</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IF(F3="1",SUMIF(Data!A:A,'54'!$A$2,Data!CU:CU),0)</f>
        <v>75224</v>
      </c>
      <c r="E36" s="15">
        <f>IF(F3="1",SUMIF(Data!$A:$A,$A$2,Data!IO:IO),0)</f>
        <v>133756</v>
      </c>
      <c r="F36" s="20">
        <f t="shared" ref="F36:F64" si="3">IF(OR(D36=0,E36=0),"",ROUND(E36/D36,2))</f>
        <v>1.78</v>
      </c>
    </row>
    <row r="37" spans="1:6" x14ac:dyDescent="0.2">
      <c r="A37" s="19">
        <v>2</v>
      </c>
      <c r="B37" s="181" t="s">
        <v>1</v>
      </c>
      <c r="C37" s="182"/>
      <c r="D37" s="14">
        <f>IF(F3="1",SUMIF(Data!A:A,'54'!$A$2,Data!CV:CV),0)</f>
        <v>282675</v>
      </c>
      <c r="E37" s="17">
        <f>IF(F3="1",SUMIF(Data!$A:$A,$A$2,Data!IP:IP),0)</f>
        <v>449202</v>
      </c>
      <c r="F37" s="21">
        <f t="shared" si="3"/>
        <v>1.59</v>
      </c>
    </row>
    <row r="38" spans="1:6" ht="14.25" customHeight="1" x14ac:dyDescent="0.2">
      <c r="A38" s="19">
        <v>3</v>
      </c>
      <c r="B38" s="181" t="s">
        <v>2</v>
      </c>
      <c r="C38" s="182"/>
      <c r="D38" s="14">
        <f>IF(F3="1",SUMIF(Data!A:A,'54'!$A$2,Data!CW:CW),0)</f>
        <v>55520</v>
      </c>
      <c r="E38" s="17">
        <f>IF($F$3="1",SUMIF(Data!$A:$A,$A$2,Data!IQ:IQ),0)</f>
        <v>136264</v>
      </c>
      <c r="F38" s="21">
        <f t="shared" si="3"/>
        <v>2.4500000000000002</v>
      </c>
    </row>
    <row r="39" spans="1:6" ht="14.25" customHeight="1" x14ac:dyDescent="0.2">
      <c r="A39" s="19">
        <v>4</v>
      </c>
      <c r="B39" s="181" t="s">
        <v>3</v>
      </c>
      <c r="C39" s="182"/>
      <c r="D39" s="14">
        <f>IF(F3="1",SUMIF(Data!A:A,'54'!$A$2,Data!CX:CX),0)</f>
        <v>407638</v>
      </c>
      <c r="E39" s="17">
        <f>IF($F$3="1",SUMIF(Data!$A:$A,$A$2,Data!IR:IR),0)</f>
        <v>295043</v>
      </c>
      <c r="F39" s="21">
        <f t="shared" si="3"/>
        <v>0.72</v>
      </c>
    </row>
    <row r="40" spans="1:6" x14ac:dyDescent="0.2">
      <c r="A40" s="19">
        <v>5</v>
      </c>
      <c r="B40" s="181" t="s">
        <v>4</v>
      </c>
      <c r="C40" s="182"/>
      <c r="D40" s="14">
        <f>IF(F3="1",SUMIF(Data!A:A,'54'!$A$2,Data!CY:CY),0)</f>
        <v>92592</v>
      </c>
      <c r="E40" s="17">
        <f>IF($F$3="1",SUMIF(Data!$A:$A,$A$2,Data!IS:IS),0)</f>
        <v>914353</v>
      </c>
      <c r="F40" s="21">
        <f t="shared" si="3"/>
        <v>9.8800000000000008</v>
      </c>
    </row>
    <row r="41" spans="1:6" x14ac:dyDescent="0.2">
      <c r="A41" s="19">
        <v>6</v>
      </c>
      <c r="B41" s="181" t="s">
        <v>5</v>
      </c>
      <c r="C41" s="182"/>
      <c r="D41" s="14">
        <f>IF(F3="1",SUMIF(Data!A:A,'54'!$A$2,Data!CZ:CZ),0)</f>
        <v>126096</v>
      </c>
      <c r="E41" s="17">
        <f>IF($F$3="1",SUMIF(Data!$A:$A,$A$2,Data!IT:IT),0)</f>
        <v>225783</v>
      </c>
      <c r="F41" s="21">
        <f t="shared" si="3"/>
        <v>1.79</v>
      </c>
    </row>
    <row r="42" spans="1:6" x14ac:dyDescent="0.2">
      <c r="A42" s="19">
        <v>7</v>
      </c>
      <c r="B42" s="181" t="s">
        <v>6</v>
      </c>
      <c r="C42" s="182"/>
      <c r="D42" s="14">
        <f>IF(F3="1",SUMIF(Data!A:A,'54'!$A$2,Data!DA:DA),0)</f>
        <v>492848</v>
      </c>
      <c r="E42" s="17">
        <f>IF($F$3="1",SUMIF(Data!$A:$A,$A$2,Data!IU:IU),0)</f>
        <v>823955</v>
      </c>
      <c r="F42" s="21">
        <f t="shared" si="3"/>
        <v>1.67</v>
      </c>
    </row>
    <row r="43" spans="1:6" x14ac:dyDescent="0.2">
      <c r="A43" s="19">
        <v>8</v>
      </c>
      <c r="B43" s="181" t="s">
        <v>7</v>
      </c>
      <c r="C43" s="182"/>
      <c r="D43" s="14">
        <f>IF(F3="1",SUMIF(Data!A:A,'54'!$A$2,Data!DB:DB),0)</f>
        <v>96084</v>
      </c>
      <c r="E43" s="17">
        <f>IF($F$3="1",SUMIF(Data!$A:$A,$A$2,Data!IV:IV),0)</f>
        <v>75937</v>
      </c>
      <c r="F43" s="21">
        <f t="shared" si="3"/>
        <v>0.79</v>
      </c>
    </row>
    <row r="44" spans="1:6" x14ac:dyDescent="0.2">
      <c r="A44" s="19">
        <v>9</v>
      </c>
      <c r="B44" s="181" t="s">
        <v>8</v>
      </c>
      <c r="C44" s="182"/>
      <c r="D44" s="14">
        <f>IF(F3="1",SUMIF(Data!A:A,'54'!$A$2,Data!DC:DC),0)</f>
        <v>53462</v>
      </c>
      <c r="E44" s="17">
        <f>IF($F$3="1",SUMIF(Data!$A:$A,$A$2,Data!IW:IW),0)</f>
        <v>96408</v>
      </c>
      <c r="F44" s="21">
        <f t="shared" si="3"/>
        <v>1.8</v>
      </c>
    </row>
    <row r="45" spans="1:6" x14ac:dyDescent="0.2">
      <c r="A45" s="19">
        <v>10</v>
      </c>
      <c r="B45" s="181" t="s">
        <v>9</v>
      </c>
      <c r="C45" s="182"/>
      <c r="D45" s="14">
        <f>IF(F3="1",SUMIF(Data!A:A,'54'!$A$2,Data!DD:DD),0)</f>
        <v>3200</v>
      </c>
      <c r="E45" s="17">
        <f>IF($F$3="1",SUMIF(Data!$A:$A,$A$2,Data!IX:IX),0)</f>
        <v>8577</v>
      </c>
      <c r="F45" s="21">
        <f t="shared" si="3"/>
        <v>2.68</v>
      </c>
    </row>
    <row r="46" spans="1:6" x14ac:dyDescent="0.2">
      <c r="A46" s="19">
        <v>11</v>
      </c>
      <c r="B46" s="181" t="s">
        <v>10</v>
      </c>
      <c r="C46" s="182"/>
      <c r="D46" s="14">
        <f>IF(F3="1",SUMIF(Data!A:A,'54'!$A$2,Data!DE:DE),0)</f>
        <v>620804</v>
      </c>
      <c r="E46" s="17">
        <f>IF($F$3="1",SUMIF(Data!$A:$A,$A$2,Data!IY:IY),0)</f>
        <v>1495484</v>
      </c>
      <c r="F46" s="21">
        <f t="shared" si="3"/>
        <v>2.41</v>
      </c>
    </row>
    <row r="47" spans="1:6" ht="14.25" customHeight="1" x14ac:dyDescent="0.2">
      <c r="A47" s="19">
        <v>12</v>
      </c>
      <c r="B47" s="181" t="s">
        <v>11</v>
      </c>
      <c r="C47" s="182"/>
      <c r="D47" s="14">
        <f>IF(F3="1",SUMIF(Data!A:A,'54'!$A$2,Data!DF:DF),0)</f>
        <v>290421</v>
      </c>
      <c r="E47" s="17">
        <f>IF($F$3="1",SUMIF(Data!$A:$A,$A$2,Data!IZ:IZ),0)</f>
        <v>444529</v>
      </c>
      <c r="F47" s="21">
        <f t="shared" si="3"/>
        <v>1.53</v>
      </c>
    </row>
    <row r="48" spans="1:6" x14ac:dyDescent="0.2">
      <c r="A48" s="19">
        <v>13</v>
      </c>
      <c r="B48" s="181" t="s">
        <v>12</v>
      </c>
      <c r="C48" s="182"/>
      <c r="D48" s="14">
        <f>IF(F3="1",SUMIF(Data!A:A,'54'!$A$2,Data!DG:DG),0)</f>
        <v>960</v>
      </c>
      <c r="E48" s="17">
        <f>IF($F$3="1",SUMIF(Data!$A:$A,$A$2,Data!JA:JA),0)</f>
        <v>680</v>
      </c>
      <c r="F48" s="21">
        <f t="shared" si="3"/>
        <v>0.71</v>
      </c>
    </row>
    <row r="49" spans="1:6" ht="14.25" customHeight="1" x14ac:dyDescent="0.2">
      <c r="A49" s="19">
        <v>14</v>
      </c>
      <c r="B49" s="181" t="s">
        <v>464</v>
      </c>
      <c r="C49" s="182"/>
      <c r="D49" s="14">
        <f>IF(F3="1",SUMIF(Data!A:A,'54'!$A$2,Data!DH:DH),0)</f>
        <v>110540</v>
      </c>
      <c r="E49" s="17">
        <f>IF($F$3="1",SUMIF(Data!$A:$A,$A$2,Data!JB:JB),0)</f>
        <v>185245</v>
      </c>
      <c r="F49" s="21">
        <f t="shared" si="3"/>
        <v>1.68</v>
      </c>
    </row>
    <row r="50" spans="1:6" x14ac:dyDescent="0.2">
      <c r="A50" s="19">
        <v>15</v>
      </c>
      <c r="B50" s="181" t="s">
        <v>13</v>
      </c>
      <c r="C50" s="182"/>
      <c r="D50" s="14">
        <f>IF(F3="1",SUMIF(Data!A:A,'54'!$A$2,Data!DI:DI),0)</f>
        <v>0</v>
      </c>
      <c r="E50" s="17">
        <f>IF($F$3="1",SUMIF(Data!$A:$A,$A$2,Data!JC:JC),0)</f>
        <v>0</v>
      </c>
      <c r="F50" s="21" t="str">
        <f t="shared" si="3"/>
        <v/>
      </c>
    </row>
    <row r="51" spans="1:6" x14ac:dyDescent="0.2">
      <c r="A51" s="19">
        <v>16</v>
      </c>
      <c r="B51" s="181" t="s">
        <v>14</v>
      </c>
      <c r="C51" s="182"/>
      <c r="D51" s="14">
        <f>IF(F3="1",SUMIF(Data!A:A,'54'!$A$2,Data!DJ:DJ),0)</f>
        <v>20603</v>
      </c>
      <c r="E51" s="17">
        <f>IF($F$3="1",SUMIF(Data!$A:$A,$A$2,Data!JD:JD),0)</f>
        <v>63365</v>
      </c>
      <c r="F51" s="21">
        <f t="shared" si="3"/>
        <v>3.08</v>
      </c>
    </row>
    <row r="52" spans="1:6" x14ac:dyDescent="0.2">
      <c r="A52" s="19">
        <v>17</v>
      </c>
      <c r="B52" s="181" t="s">
        <v>15</v>
      </c>
      <c r="C52" s="182"/>
      <c r="D52" s="14">
        <f>IF(F3="1",SUMIF(Data!A:A,'54'!$A$2,Data!DK:DK),0)</f>
        <v>0</v>
      </c>
      <c r="E52" s="17">
        <f>IF($F$3="1",SUMIF(Data!$A:$A,$A$2,Data!JE:JE),0)</f>
        <v>0</v>
      </c>
      <c r="F52" s="21" t="str">
        <f t="shared" si="3"/>
        <v/>
      </c>
    </row>
    <row r="53" spans="1:6" x14ac:dyDescent="0.2">
      <c r="A53" s="19">
        <v>18</v>
      </c>
      <c r="B53" s="181" t="s">
        <v>16</v>
      </c>
      <c r="C53" s="182"/>
      <c r="D53" s="14">
        <f>IF(F3="1",SUMIF(Data!A:A,'54'!$A$2,Data!DL:DL),0)</f>
        <v>0</v>
      </c>
      <c r="E53" s="17">
        <f>IF($F$3="1",SUMIF(Data!$A:$A,$A$2,Data!JF:JF),0)</f>
        <v>0</v>
      </c>
      <c r="F53" s="21" t="str">
        <f t="shared" si="3"/>
        <v/>
      </c>
    </row>
    <row r="54" spans="1:6" x14ac:dyDescent="0.2">
      <c r="A54" s="19">
        <v>19</v>
      </c>
      <c r="B54" s="181" t="s">
        <v>17</v>
      </c>
      <c r="C54" s="182"/>
      <c r="D54" s="14">
        <f>IF(F3="1",SUMIF(Data!A:A,'54'!$A$2,Data!DM:DM),0)</f>
        <v>188128</v>
      </c>
      <c r="E54" s="17">
        <f>IF($F$3="1",SUMIF(Data!$A:$A,$A$2,Data!JG:JG),0)</f>
        <v>297226</v>
      </c>
      <c r="F54" s="21">
        <f t="shared" si="3"/>
        <v>1.58</v>
      </c>
    </row>
    <row r="55" spans="1:6" x14ac:dyDescent="0.2">
      <c r="A55" s="19">
        <v>20</v>
      </c>
      <c r="B55" s="181" t="s">
        <v>18</v>
      </c>
      <c r="C55" s="182"/>
      <c r="D55" s="14">
        <f>IF(F3="1",SUMIF(Data!A:A,'54'!$A$2,Data!DN:DN),0)</f>
        <v>302639</v>
      </c>
      <c r="E55" s="17">
        <f>IF($F$3="1",SUMIF(Data!$A:$A,$A$2,Data!JH:JH),0)</f>
        <v>567560</v>
      </c>
      <c r="F55" s="21">
        <f t="shared" si="3"/>
        <v>1.88</v>
      </c>
    </row>
    <row r="56" spans="1:6" ht="14.25" customHeight="1" x14ac:dyDescent="0.2">
      <c r="A56" s="19">
        <v>21</v>
      </c>
      <c r="B56" s="181" t="s">
        <v>461</v>
      </c>
      <c r="C56" s="182"/>
      <c r="D56" s="14">
        <f>IF(F3="1",SUMIF(Data!A:A,'54'!$A$2,Data!DO:DO),0)</f>
        <v>244608</v>
      </c>
      <c r="E56" s="17">
        <f>IF($F$3="1",SUMIF(Data!$A:$A,$A$2,Data!JI:JI),0)</f>
        <v>544637</v>
      </c>
      <c r="F56" s="21">
        <f t="shared" si="3"/>
        <v>2.23</v>
      </c>
    </row>
    <row r="57" spans="1:6" x14ac:dyDescent="0.2">
      <c r="A57" s="19">
        <v>22</v>
      </c>
      <c r="B57" s="181" t="s">
        <v>19</v>
      </c>
      <c r="C57" s="182"/>
      <c r="D57" s="14">
        <f>IF(F3="1",SUMIF(Data!A:A,'54'!$A$2,Data!DP:DP),0)</f>
        <v>72400</v>
      </c>
      <c r="E57" s="17">
        <f>IF($F$3="1",SUMIF(Data!$A:$A,$A$2,Data!JJ:JJ),0)</f>
        <v>117441</v>
      </c>
      <c r="F57" s="21">
        <f t="shared" si="3"/>
        <v>1.62</v>
      </c>
    </row>
    <row r="58" spans="1:6" x14ac:dyDescent="0.2">
      <c r="A58" s="19">
        <v>23</v>
      </c>
      <c r="B58" s="181" t="s">
        <v>20</v>
      </c>
      <c r="C58" s="182"/>
      <c r="D58" s="14">
        <f>IF(F3="1",SUMIF(Data!A:A,'54'!$A$2,Data!DQ:DQ),0)</f>
        <v>0</v>
      </c>
      <c r="E58" s="17">
        <f>IF($F$3="1",SUMIF(Data!$A:$A,$A$2,Data!JK:JK),0)</f>
        <v>0</v>
      </c>
      <c r="F58" s="21" t="str">
        <f t="shared" si="3"/>
        <v/>
      </c>
    </row>
    <row r="59" spans="1:6" x14ac:dyDescent="0.2">
      <c r="A59" s="19">
        <v>24</v>
      </c>
      <c r="B59" s="181" t="s">
        <v>21</v>
      </c>
      <c r="C59" s="182"/>
      <c r="D59" s="14">
        <f>IF(F3="1",SUMIF(Data!A:A,'54'!$A$2,Data!DR:DR),0)</f>
        <v>20432</v>
      </c>
      <c r="E59" s="17">
        <f>IF($F$3="1",SUMIF(Data!$A:$A,$A$2,Data!JL:JL),0)</f>
        <v>30652</v>
      </c>
      <c r="F59" s="21">
        <f t="shared" si="3"/>
        <v>1.5</v>
      </c>
    </row>
    <row r="60" spans="1:6" x14ac:dyDescent="0.2">
      <c r="A60" s="19">
        <v>25</v>
      </c>
      <c r="B60" s="181" t="s">
        <v>22</v>
      </c>
      <c r="C60" s="182"/>
      <c r="D60" s="14">
        <f>IF(F3="1",SUMIF(Data!A:A,'54'!$A$2,Data!DS:DS),0)</f>
        <v>75568</v>
      </c>
      <c r="E60" s="17">
        <f>IF($F$3="1",SUMIF(Data!$A:$A,$A$2,Data!JM:JM),0)</f>
        <v>132562</v>
      </c>
      <c r="F60" s="21">
        <f t="shared" si="3"/>
        <v>1.75</v>
      </c>
    </row>
    <row r="61" spans="1:6" x14ac:dyDescent="0.2">
      <c r="A61" s="19">
        <v>26</v>
      </c>
      <c r="B61" s="181" t="s">
        <v>23</v>
      </c>
      <c r="C61" s="182"/>
      <c r="D61" s="14">
        <f>IF(F3="1",SUMIF(Data!A:A,'54'!$A$2,Data!DT:DT),0)</f>
        <v>169302</v>
      </c>
      <c r="E61" s="17">
        <f>IF($F$3="1",SUMIF(Data!$A:$A,$A$2,Data!JN:JN),0)</f>
        <v>641923</v>
      </c>
      <c r="F61" s="21">
        <f t="shared" si="3"/>
        <v>3.79</v>
      </c>
    </row>
    <row r="62" spans="1:6" x14ac:dyDescent="0.2">
      <c r="A62" s="19">
        <v>28</v>
      </c>
      <c r="B62" s="181" t="s">
        <v>24</v>
      </c>
      <c r="C62" s="182"/>
      <c r="D62" s="14">
        <f>IF(F3="1",SUMIF(Data!A:A,'54'!$A$2,Data!DV:DV),0)</f>
        <v>0</v>
      </c>
      <c r="E62" s="17">
        <f>IF($F$3="1",SUMIF(Data!$A:$A,$A$2,Data!JP:JP),0)</f>
        <v>0</v>
      </c>
      <c r="F62" s="21" t="str">
        <f t="shared" si="3"/>
        <v/>
      </c>
    </row>
    <row r="63" spans="1:6" ht="15.75" customHeight="1" thickBot="1" x14ac:dyDescent="0.25">
      <c r="A63" s="22">
        <v>29</v>
      </c>
      <c r="B63" s="183" t="s">
        <v>25</v>
      </c>
      <c r="C63" s="184"/>
      <c r="D63" s="23">
        <f>IF(F3="1",SUMIF(Data!A:A,'54'!$A$2,Data!DW:DW),0)</f>
        <v>0</v>
      </c>
      <c r="E63" s="24">
        <f>IF($F$3="1",SUMIF(Data!$A:$A,$A$2,Data!JQ:JQ),0)</f>
        <v>0</v>
      </c>
      <c r="F63" s="25" t="str">
        <f t="shared" si="3"/>
        <v/>
      </c>
    </row>
    <row r="64" spans="1:6" x14ac:dyDescent="0.2">
      <c r="B64" s="30" t="s">
        <v>35</v>
      </c>
      <c r="C64" s="30"/>
      <c r="D64" s="59">
        <f>SUM(D36:D63)</f>
        <v>3801744</v>
      </c>
      <c r="E64" s="31">
        <f>SUM(E36:E63)</f>
        <v>7680582</v>
      </c>
      <c r="F64" s="32">
        <f t="shared" si="3"/>
        <v>2.02</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75224</v>
      </c>
      <c r="E67" s="15">
        <f>IF(F3="1",SUMIF(Data!A:A,'54'!$A$2,Data!DY:DY),0)</f>
        <v>217129</v>
      </c>
      <c r="F67" s="20">
        <f t="shared" ref="F67:F95" si="4">IF(OR(D67=0,E67=0),"",ROUND(E67/D67,2))</f>
        <v>2.89</v>
      </c>
    </row>
    <row r="68" spans="1:6" x14ac:dyDescent="0.2">
      <c r="A68" s="19">
        <v>2</v>
      </c>
      <c r="B68" s="181" t="s">
        <v>1</v>
      </c>
      <c r="C68" s="182"/>
      <c r="D68" s="14">
        <f t="shared" ref="D68:D94" si="5">D37</f>
        <v>282675</v>
      </c>
      <c r="E68" s="17">
        <f>IF(F3="1",SUMIF(Data!A:A,'54'!$A$2,Data!DZ:DZ),0)</f>
        <v>821076</v>
      </c>
      <c r="F68" s="21">
        <f t="shared" si="4"/>
        <v>2.9</v>
      </c>
    </row>
    <row r="69" spans="1:6" ht="14.25" customHeight="1" x14ac:dyDescent="0.2">
      <c r="A69" s="19">
        <v>3</v>
      </c>
      <c r="B69" s="181" t="s">
        <v>2</v>
      </c>
      <c r="C69" s="182"/>
      <c r="D69" s="14">
        <f t="shared" si="5"/>
        <v>55520</v>
      </c>
      <c r="E69" s="17">
        <f>IF(F3="1",SUMIF(Data!A:A,'54'!$A$2,Data!EA:EA),0)</f>
        <v>152632</v>
      </c>
      <c r="F69" s="21">
        <f t="shared" si="4"/>
        <v>2.75</v>
      </c>
    </row>
    <row r="70" spans="1:6" ht="14.25" customHeight="1" x14ac:dyDescent="0.2">
      <c r="A70" s="19">
        <v>4</v>
      </c>
      <c r="B70" s="181" t="s">
        <v>3</v>
      </c>
      <c r="C70" s="182"/>
      <c r="D70" s="14">
        <f t="shared" si="5"/>
        <v>407638</v>
      </c>
      <c r="E70" s="17">
        <f>IF(F3="1",SUMIF(Data!A:A,'54'!$A$2,Data!EB:EB),0)</f>
        <v>330127</v>
      </c>
      <c r="F70" s="21">
        <f t="shared" si="4"/>
        <v>0.81</v>
      </c>
    </row>
    <row r="71" spans="1:6" x14ac:dyDescent="0.2">
      <c r="A71" s="19">
        <v>5</v>
      </c>
      <c r="B71" s="181" t="s">
        <v>4</v>
      </c>
      <c r="C71" s="182"/>
      <c r="D71" s="14">
        <f t="shared" si="5"/>
        <v>92592</v>
      </c>
      <c r="E71" s="17">
        <f>IF(F3="1",SUMIF(Data!A:A,'54'!$A$2,Data!EC:EC),0)</f>
        <v>455508</v>
      </c>
      <c r="F71" s="21">
        <f t="shared" si="4"/>
        <v>4.92</v>
      </c>
    </row>
    <row r="72" spans="1:6" x14ac:dyDescent="0.2">
      <c r="A72" s="19">
        <v>6</v>
      </c>
      <c r="B72" s="181" t="s">
        <v>5</v>
      </c>
      <c r="C72" s="182"/>
      <c r="D72" s="14">
        <f t="shared" si="5"/>
        <v>126096</v>
      </c>
      <c r="E72" s="17">
        <f>IF(F3="1",SUMIF(Data!A:A,'54'!$A$2,Data!ED:ED),0)</f>
        <v>453208</v>
      </c>
      <c r="F72" s="21">
        <f t="shared" si="4"/>
        <v>3.59</v>
      </c>
    </row>
    <row r="73" spans="1:6" x14ac:dyDescent="0.2">
      <c r="A73" s="19">
        <v>7</v>
      </c>
      <c r="B73" s="181" t="s">
        <v>6</v>
      </c>
      <c r="C73" s="182"/>
      <c r="D73" s="14">
        <f t="shared" si="5"/>
        <v>492848</v>
      </c>
      <c r="E73" s="17">
        <f>IF(F3="1",SUMIF(Data!A:A,'54'!$A$2,Data!EE:EE),0)</f>
        <v>2104698</v>
      </c>
      <c r="F73" s="21">
        <f t="shared" si="4"/>
        <v>4.2699999999999996</v>
      </c>
    </row>
    <row r="74" spans="1:6" x14ac:dyDescent="0.2">
      <c r="A74" s="19">
        <v>8</v>
      </c>
      <c r="B74" s="181" t="s">
        <v>7</v>
      </c>
      <c r="C74" s="182"/>
      <c r="D74" s="14">
        <f t="shared" si="5"/>
        <v>96084</v>
      </c>
      <c r="E74" s="17">
        <f>IF(F3="1",SUMIF(Data!A:A,'54'!$A$2,Data!EF:EF),0)</f>
        <v>281457</v>
      </c>
      <c r="F74" s="21">
        <f t="shared" si="4"/>
        <v>2.93</v>
      </c>
    </row>
    <row r="75" spans="1:6" x14ac:dyDescent="0.2">
      <c r="A75" s="19">
        <v>9</v>
      </c>
      <c r="B75" s="181" t="s">
        <v>8</v>
      </c>
      <c r="C75" s="182"/>
      <c r="D75" s="14">
        <f t="shared" si="5"/>
        <v>53462</v>
      </c>
      <c r="E75" s="17">
        <f>IF(F3="1",SUMIF(Data!A:A,'54'!$A$2,Data!EG:EG),0)</f>
        <v>205449</v>
      </c>
      <c r="F75" s="21">
        <f t="shared" si="4"/>
        <v>3.84</v>
      </c>
    </row>
    <row r="76" spans="1:6" x14ac:dyDescent="0.2">
      <c r="A76" s="19">
        <v>10</v>
      </c>
      <c r="B76" s="181" t="s">
        <v>9</v>
      </c>
      <c r="C76" s="182"/>
      <c r="D76" s="14">
        <f t="shared" si="5"/>
        <v>3200</v>
      </c>
      <c r="E76" s="17">
        <f>IF(F3="1",SUMIF(Data!A:A,'54'!$A$2,Data!EH:EH),0)</f>
        <v>17807</v>
      </c>
      <c r="F76" s="21">
        <f t="shared" si="4"/>
        <v>5.56</v>
      </c>
    </row>
    <row r="77" spans="1:6" x14ac:dyDescent="0.2">
      <c r="A77" s="19">
        <v>11</v>
      </c>
      <c r="B77" s="181" t="s">
        <v>10</v>
      </c>
      <c r="C77" s="182"/>
      <c r="D77" s="14">
        <f t="shared" si="5"/>
        <v>620804</v>
      </c>
      <c r="E77" s="17">
        <f>IF(F3="1",SUMIF(Data!A:A,'54'!$A$2,Data!EI:EI),0)</f>
        <v>3074993</v>
      </c>
      <c r="F77" s="21">
        <f t="shared" si="4"/>
        <v>4.95</v>
      </c>
    </row>
    <row r="78" spans="1:6" ht="14.25" customHeight="1" x14ac:dyDescent="0.2">
      <c r="A78" s="19">
        <v>12</v>
      </c>
      <c r="B78" s="181" t="s">
        <v>11</v>
      </c>
      <c r="C78" s="182"/>
      <c r="D78" s="14">
        <f t="shared" si="5"/>
        <v>290421</v>
      </c>
      <c r="E78" s="17">
        <f>IF(F3="1",SUMIF(Data!A:A,'54'!$A$2,Data!EJ:EJ),0)</f>
        <v>792142</v>
      </c>
      <c r="F78" s="21">
        <f t="shared" si="4"/>
        <v>2.73</v>
      </c>
    </row>
    <row r="79" spans="1:6" x14ac:dyDescent="0.2">
      <c r="A79" s="19">
        <v>13</v>
      </c>
      <c r="B79" s="181" t="s">
        <v>12</v>
      </c>
      <c r="C79" s="182"/>
      <c r="D79" s="14">
        <f t="shared" si="5"/>
        <v>960</v>
      </c>
      <c r="E79" s="17">
        <f>IF(F3="1",SUMIF(Data!A:A,'54'!$A$2,Data!EK:EK),0)</f>
        <v>1241</v>
      </c>
      <c r="F79" s="21">
        <f t="shared" si="4"/>
        <v>1.29</v>
      </c>
    </row>
    <row r="80" spans="1:6" ht="14.25" customHeight="1" x14ac:dyDescent="0.2">
      <c r="A80" s="19">
        <v>14</v>
      </c>
      <c r="B80" s="181" t="s">
        <v>464</v>
      </c>
      <c r="C80" s="182"/>
      <c r="D80" s="14">
        <f t="shared" si="5"/>
        <v>110540</v>
      </c>
      <c r="E80" s="17">
        <f>IF(F3="1",SUMIF(Data!A:A,'54'!$A$2,Data!EL:EL),0)</f>
        <v>241261</v>
      </c>
      <c r="F80" s="21">
        <f t="shared" si="4"/>
        <v>2.1800000000000002</v>
      </c>
    </row>
    <row r="81" spans="1:6" x14ac:dyDescent="0.2">
      <c r="A81" s="19">
        <v>15</v>
      </c>
      <c r="B81" s="181" t="s">
        <v>13</v>
      </c>
      <c r="C81" s="182"/>
      <c r="D81" s="14">
        <f t="shared" si="5"/>
        <v>0</v>
      </c>
      <c r="E81" s="17">
        <f>IF(F3="1",SUMIF(Data!A:A,'54'!$A$2,Data!EM:EM),0)</f>
        <v>0</v>
      </c>
      <c r="F81" s="21" t="str">
        <f t="shared" si="4"/>
        <v/>
      </c>
    </row>
    <row r="82" spans="1:6" x14ac:dyDescent="0.2">
      <c r="A82" s="19">
        <v>16</v>
      </c>
      <c r="B82" s="181" t="s">
        <v>14</v>
      </c>
      <c r="C82" s="182"/>
      <c r="D82" s="14">
        <f t="shared" si="5"/>
        <v>20603</v>
      </c>
      <c r="E82" s="17">
        <f>IF(F3="1",SUMIF(Data!A:A,'54'!$A$2,Data!EN:EN),0)</f>
        <v>104549</v>
      </c>
      <c r="F82" s="21">
        <f t="shared" si="4"/>
        <v>5.07</v>
      </c>
    </row>
    <row r="83" spans="1:6" x14ac:dyDescent="0.2">
      <c r="A83" s="19">
        <v>17</v>
      </c>
      <c r="B83" s="181" t="s">
        <v>15</v>
      </c>
      <c r="C83" s="182"/>
      <c r="D83" s="14">
        <f t="shared" si="5"/>
        <v>0</v>
      </c>
      <c r="E83" s="17">
        <f>IF(F3="1",SUMIF(Data!A:A,'54'!$A$2,Data!EO:EO),0)</f>
        <v>0</v>
      </c>
      <c r="F83" s="21" t="str">
        <f t="shared" si="4"/>
        <v/>
      </c>
    </row>
    <row r="84" spans="1:6" x14ac:dyDescent="0.2">
      <c r="A84" s="19">
        <v>18</v>
      </c>
      <c r="B84" s="181" t="s">
        <v>16</v>
      </c>
      <c r="C84" s="182"/>
      <c r="D84" s="14">
        <f t="shared" si="5"/>
        <v>0</v>
      </c>
      <c r="E84" s="17">
        <f>IF(F3="1",SUMIF(Data!A:A,'54'!$A$2,Data!EP:EP),0)</f>
        <v>0</v>
      </c>
      <c r="F84" s="21" t="str">
        <f t="shared" si="4"/>
        <v/>
      </c>
    </row>
    <row r="85" spans="1:6" x14ac:dyDescent="0.2">
      <c r="A85" s="19">
        <v>19</v>
      </c>
      <c r="B85" s="181" t="s">
        <v>17</v>
      </c>
      <c r="C85" s="182"/>
      <c r="D85" s="14">
        <f t="shared" si="5"/>
        <v>188128</v>
      </c>
      <c r="E85" s="17">
        <f>IF(F3="1",SUMIF(Data!A:A,'54'!$A$2,Data!EQ:EQ),0)</f>
        <v>534175</v>
      </c>
      <c r="F85" s="21">
        <f t="shared" si="4"/>
        <v>2.84</v>
      </c>
    </row>
    <row r="86" spans="1:6" x14ac:dyDescent="0.2">
      <c r="A86" s="19">
        <v>20</v>
      </c>
      <c r="B86" s="181" t="s">
        <v>18</v>
      </c>
      <c r="C86" s="182"/>
      <c r="D86" s="14">
        <f t="shared" si="5"/>
        <v>302639</v>
      </c>
      <c r="E86" s="17">
        <f>IF(F3="1",SUMIF(Data!A:A,'54'!$A$2,Data!ER:ER),0)</f>
        <v>748612</v>
      </c>
      <c r="F86" s="21">
        <f t="shared" si="4"/>
        <v>2.4700000000000002</v>
      </c>
    </row>
    <row r="87" spans="1:6" ht="14.25" customHeight="1" x14ac:dyDescent="0.2">
      <c r="A87" s="19">
        <v>21</v>
      </c>
      <c r="B87" s="181" t="s">
        <v>461</v>
      </c>
      <c r="C87" s="182"/>
      <c r="D87" s="14">
        <f t="shared" si="5"/>
        <v>244608</v>
      </c>
      <c r="E87" s="17">
        <f>IF(F3="1",SUMIF(Data!A:A,'54'!$A$2,Data!ES:ES),0)</f>
        <v>841358</v>
      </c>
      <c r="F87" s="21">
        <f t="shared" si="4"/>
        <v>3.44</v>
      </c>
    </row>
    <row r="88" spans="1:6" x14ac:dyDescent="0.2">
      <c r="A88" s="19">
        <v>22</v>
      </c>
      <c r="B88" s="181" t="s">
        <v>19</v>
      </c>
      <c r="C88" s="182"/>
      <c r="D88" s="14">
        <f t="shared" si="5"/>
        <v>72400</v>
      </c>
      <c r="E88" s="17">
        <f>IF(F3="1",SUMIF(Data!A:A,'54'!$A$2,Data!ET:ET),0)</f>
        <v>198583</v>
      </c>
      <c r="F88" s="21">
        <f t="shared" si="4"/>
        <v>2.74</v>
      </c>
    </row>
    <row r="89" spans="1:6" x14ac:dyDescent="0.2">
      <c r="A89" s="19">
        <v>23</v>
      </c>
      <c r="B89" s="181" t="s">
        <v>20</v>
      </c>
      <c r="C89" s="182"/>
      <c r="D89" s="14">
        <f t="shared" si="5"/>
        <v>0</v>
      </c>
      <c r="E89" s="17">
        <f>IF(F3="1",SUMIF(Data!A:A,'54'!$A$2,Data!EU:EU),0)</f>
        <v>0</v>
      </c>
      <c r="F89" s="21" t="str">
        <f t="shared" si="4"/>
        <v/>
      </c>
    </row>
    <row r="90" spans="1:6" x14ac:dyDescent="0.2">
      <c r="A90" s="19">
        <v>24</v>
      </c>
      <c r="B90" s="181" t="s">
        <v>21</v>
      </c>
      <c r="C90" s="182"/>
      <c r="D90" s="14">
        <f t="shared" si="5"/>
        <v>20432</v>
      </c>
      <c r="E90" s="17">
        <f>IF(F3="1",SUMIF(Data!A:A,'54'!$A$2,Data!EV:EV),0)</f>
        <v>10928</v>
      </c>
      <c r="F90" s="21">
        <f t="shared" si="4"/>
        <v>0.53</v>
      </c>
    </row>
    <row r="91" spans="1:6" x14ac:dyDescent="0.2">
      <c r="A91" s="19">
        <v>25</v>
      </c>
      <c r="B91" s="181" t="s">
        <v>22</v>
      </c>
      <c r="C91" s="182"/>
      <c r="D91" s="14">
        <f t="shared" si="5"/>
        <v>75568</v>
      </c>
      <c r="E91" s="17">
        <f>IF(F3="1",SUMIF(Data!A:A,'54'!$A$2,Data!EW:EW),0)</f>
        <v>206140</v>
      </c>
      <c r="F91" s="21">
        <f t="shared" si="4"/>
        <v>2.73</v>
      </c>
    </row>
    <row r="92" spans="1:6" x14ac:dyDescent="0.2">
      <c r="A92" s="19">
        <v>26</v>
      </c>
      <c r="B92" s="181" t="s">
        <v>23</v>
      </c>
      <c r="C92" s="182"/>
      <c r="D92" s="14">
        <f t="shared" si="5"/>
        <v>169302</v>
      </c>
      <c r="E92" s="17">
        <f>IF(F3="1",SUMIF(Data!A:A,'54'!$A$2,Data!EX:EX),0)</f>
        <v>271461</v>
      </c>
      <c r="F92" s="21">
        <f t="shared" si="4"/>
        <v>1.6</v>
      </c>
    </row>
    <row r="93" spans="1:6" x14ac:dyDescent="0.2">
      <c r="A93" s="19">
        <v>28</v>
      </c>
      <c r="B93" s="181" t="s">
        <v>24</v>
      </c>
      <c r="C93" s="182"/>
      <c r="D93" s="14">
        <f t="shared" si="5"/>
        <v>0</v>
      </c>
      <c r="E93" s="17">
        <f>IF(F3="1",SUMIF(Data!A:A,'54'!$A$2,Data!EZ:EZ),0)</f>
        <v>0</v>
      </c>
      <c r="F93" s="21" t="str">
        <f t="shared" si="4"/>
        <v/>
      </c>
    </row>
    <row r="94" spans="1:6" ht="15.75" customHeight="1" thickBot="1" x14ac:dyDescent="0.25">
      <c r="A94" s="22">
        <v>29</v>
      </c>
      <c r="B94" s="183" t="s">
        <v>25</v>
      </c>
      <c r="C94" s="184"/>
      <c r="D94" s="23">
        <f t="shared" si="5"/>
        <v>0</v>
      </c>
      <c r="E94" s="24">
        <f>IF(F3="1",SUMIF(Data!A:A,'54'!$A$2,Data!FA:FA),0)</f>
        <v>0</v>
      </c>
      <c r="F94" s="25" t="str">
        <f t="shared" si="4"/>
        <v/>
      </c>
    </row>
    <row r="95" spans="1:6" x14ac:dyDescent="0.2">
      <c r="B95" s="30" t="s">
        <v>35</v>
      </c>
      <c r="C95" s="30"/>
      <c r="D95" s="59">
        <f>SUM(D67:D94)</f>
        <v>3801744</v>
      </c>
      <c r="E95" s="31">
        <f>SUM(E67:E94)</f>
        <v>12064534</v>
      </c>
      <c r="F95" s="32">
        <f t="shared" si="4"/>
        <v>3.17</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IF(F3="1",SUMIF(Data!A:A,'54'!$A$2,Data!AH:AH),0)</f>
        <v>3486842</v>
      </c>
      <c r="F98" s="20">
        <f>IF(OR(E98=0,E98=0),"",ROUND(E98/$D$105,2))</f>
        <v>0.92</v>
      </c>
    </row>
    <row r="99" spans="2:6" x14ac:dyDescent="0.2">
      <c r="B99" s="187" t="s">
        <v>31</v>
      </c>
      <c r="C99" s="188"/>
      <c r="D99" s="36"/>
      <c r="E99" s="17">
        <f>IF(F3="1",SUMIF(Data!A:A,'54'!$A$2,Data!AI:AI),0)</f>
        <v>1707116</v>
      </c>
      <c r="F99" s="21">
        <f t="shared" ref="F99:F104" si="6">IF(OR(E99=0,E99=0),"",ROUND(E99/$D$105,2))</f>
        <v>0.45</v>
      </c>
    </row>
    <row r="100" spans="2:6" x14ac:dyDescent="0.2">
      <c r="B100" s="187" t="s">
        <v>1078</v>
      </c>
      <c r="C100" s="188"/>
      <c r="D100" s="36"/>
      <c r="E100" s="17">
        <f>IF(F3="1",SUMIF(Data!A:A,'54'!$A$2,Data!AJ:AJ),0)</f>
        <v>462992</v>
      </c>
      <c r="F100" s="21">
        <f t="shared" si="6"/>
        <v>0.12</v>
      </c>
    </row>
    <row r="101" spans="2:6" x14ac:dyDescent="0.2">
      <c r="B101" s="187" t="s">
        <v>1079</v>
      </c>
      <c r="C101" s="188"/>
      <c r="D101" s="36"/>
      <c r="E101" s="17">
        <f>IF(F3="1",SUMIF(Data!A:A,'54'!$A$2,Data!AK:AK),0)</f>
        <v>609594</v>
      </c>
      <c r="F101" s="21">
        <f t="shared" si="6"/>
        <v>0.16</v>
      </c>
    </row>
    <row r="102" spans="2:6" x14ac:dyDescent="0.2">
      <c r="B102" s="187" t="s">
        <v>1080</v>
      </c>
      <c r="C102" s="188"/>
      <c r="D102" s="36"/>
      <c r="E102" s="17">
        <f>IF(F3="1",SUMIF(Data!A:A,'54'!$A$2,Data!AL:AL),0)</f>
        <v>0</v>
      </c>
      <c r="F102" s="21" t="str">
        <f t="shared" si="6"/>
        <v/>
      </c>
    </row>
    <row r="103" spans="2:6" x14ac:dyDescent="0.2">
      <c r="B103" s="189" t="s">
        <v>34</v>
      </c>
      <c r="C103" s="190"/>
      <c r="D103" s="36"/>
      <c r="E103" s="17">
        <f>IF(F3="1",SUMIF(Data!A:A,'54'!$A$2,Data!AM:AM),0)</f>
        <v>0</v>
      </c>
      <c r="F103" s="21" t="str">
        <f t="shared" si="6"/>
        <v/>
      </c>
    </row>
    <row r="104" spans="2:6" ht="15.75" customHeight="1" thickBot="1" x14ac:dyDescent="0.25">
      <c r="B104" s="179" t="s">
        <v>29</v>
      </c>
      <c r="C104" s="180"/>
      <c r="D104" s="37"/>
      <c r="E104" s="24">
        <f>IF(F3="1",SUMIF(Data!A:A,'54'!$A$2,Data!Q:Q),0)</f>
        <v>790310</v>
      </c>
      <c r="F104" s="25">
        <f t="shared" si="6"/>
        <v>0.21</v>
      </c>
    </row>
    <row r="105" spans="2:6" x14ac:dyDescent="0.2">
      <c r="B105" s="30" t="s">
        <v>35</v>
      </c>
      <c r="C105" s="30"/>
      <c r="D105" s="34">
        <f>D95</f>
        <v>3801744</v>
      </c>
      <c r="E105" s="31">
        <f>SUM(E98:E104)</f>
        <v>7056854</v>
      </c>
      <c r="F105" s="32">
        <f>IF($D$105=0,"",ROUND(E105/$D$105,2))</f>
        <v>1.86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12064534</v>
      </c>
      <c r="D109" s="15">
        <f>IF(F3="1",SUMIF(Data!$A:$A,$A$2,Data!HJ:HJ),0)</f>
        <v>0</v>
      </c>
      <c r="E109" s="15">
        <f>IF(F3="1",SUMIF(Data!$A:$A,$A$2,Data!IN:IN),0)</f>
        <v>0</v>
      </c>
      <c r="F109" s="47">
        <f>SUM(C109:E109)</f>
        <v>12064534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790310</v>
      </c>
      <c r="E117" s="52"/>
      <c r="F117" s="49">
        <f>SUM(C117:E117)</f>
        <v>790310</v>
      </c>
    </row>
    <row r="118" spans="1:6" x14ac:dyDescent="0.2">
      <c r="B118" s="13" t="s">
        <v>35</v>
      </c>
      <c r="C118" s="4">
        <f>SUM(C109:C116)</f>
        <v>12064534</v>
      </c>
      <c r="D118" s="4">
        <f>SUM(D109:D116)</f>
        <v>0</v>
      </c>
      <c r="E118" s="4">
        <f>SUM(E109:E116)</f>
        <v>0</v>
      </c>
      <c r="F118" s="4">
        <f>SUM(F109:F116)</f>
        <v>12064534</v>
      </c>
    </row>
    <row r="119" spans="1:6" ht="15" thickBot="1" x14ac:dyDescent="0.25"/>
    <row r="120" spans="1:6" ht="15" thickBot="1" x14ac:dyDescent="0.25">
      <c r="B120" s="55" t="s">
        <v>934</v>
      </c>
      <c r="C120" s="53"/>
      <c r="D120" s="53"/>
      <c r="E120" s="53">
        <f>IF(F3="1",SUMIF(Data!A:A,'54'!$A$2,Data!AM:AM),0)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1073</v>
      </c>
      <c r="B2" s="58" t="str">
        <f>VLOOKUP(A2,Data!A:G,7,0)</f>
        <v>Lamar Institute of Technology</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0</v>
      </c>
      <c r="E5" s="15">
        <f>E36+E67+IFERROR($E$105/$D$105*D5,0)</f>
        <v>0</v>
      </c>
      <c r="F5" s="20" t="str">
        <f>IF(OR(D5=0,E5=0),"",ROUND(E5/D5,2))</f>
        <v/>
      </c>
    </row>
    <row r="6" spans="1:6" x14ac:dyDescent="0.2">
      <c r="A6" s="19">
        <v>2</v>
      </c>
      <c r="B6" s="181" t="s">
        <v>1</v>
      </c>
      <c r="C6" s="182"/>
      <c r="D6" s="14">
        <f t="shared" ref="D6:D32" si="0">D37</f>
        <v>130448</v>
      </c>
      <c r="E6" s="17">
        <f t="shared" ref="E6:E32" si="1">E37+E68+IFERROR($E$105/$D$105*D6,0)</f>
        <v>1374070.6089773499</v>
      </c>
      <c r="F6" s="21">
        <f t="shared" ref="F6:F33" si="2">IF(OR(D6=0,E6=0),"",ROUND(E6/D6,2))</f>
        <v>10.53</v>
      </c>
    </row>
    <row r="7" spans="1:6" ht="14.25" customHeight="1" x14ac:dyDescent="0.2">
      <c r="A7" s="19">
        <v>3</v>
      </c>
      <c r="B7" s="181" t="s">
        <v>2</v>
      </c>
      <c r="C7" s="182"/>
      <c r="D7" s="14">
        <f t="shared" si="0"/>
        <v>132976</v>
      </c>
      <c r="E7" s="17">
        <f t="shared" si="1"/>
        <v>1400697.9003079548</v>
      </c>
      <c r="F7" s="21">
        <f t="shared" si="2"/>
        <v>10.53</v>
      </c>
    </row>
    <row r="8" spans="1:6" ht="14.25" customHeight="1" x14ac:dyDescent="0.2">
      <c r="A8" s="19">
        <v>4</v>
      </c>
      <c r="B8" s="181" t="s">
        <v>3</v>
      </c>
      <c r="C8" s="182"/>
      <c r="D8" s="14">
        <f t="shared" si="0"/>
        <v>153328</v>
      </c>
      <c r="E8" s="17">
        <f t="shared" si="1"/>
        <v>1615075.2836783938</v>
      </c>
      <c r="F8" s="21">
        <f t="shared" si="2"/>
        <v>10.53</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0</v>
      </c>
      <c r="E10" s="17">
        <f t="shared" si="1"/>
        <v>0</v>
      </c>
      <c r="F10" s="21" t="str">
        <f t="shared" si="2"/>
        <v/>
      </c>
    </row>
    <row r="11" spans="1:6" x14ac:dyDescent="0.2">
      <c r="A11" s="19">
        <v>7</v>
      </c>
      <c r="B11" s="181" t="s">
        <v>6</v>
      </c>
      <c r="C11" s="182"/>
      <c r="D11" s="14">
        <f t="shared" si="0"/>
        <v>68368</v>
      </c>
      <c r="E11" s="17">
        <f t="shared" si="1"/>
        <v>720151.03706123098</v>
      </c>
      <c r="F11" s="21">
        <f t="shared" si="2"/>
        <v>10.53</v>
      </c>
    </row>
    <row r="12" spans="1:6" x14ac:dyDescent="0.2">
      <c r="A12" s="19">
        <v>8</v>
      </c>
      <c r="B12" s="181" t="s">
        <v>7</v>
      </c>
      <c r="C12" s="182"/>
      <c r="D12" s="14">
        <f t="shared" si="0"/>
        <v>23776</v>
      </c>
      <c r="E12" s="17">
        <f t="shared" si="1"/>
        <v>250443.04378024559</v>
      </c>
      <c r="F12" s="21">
        <f t="shared" si="2"/>
        <v>10.53</v>
      </c>
    </row>
    <row r="13" spans="1:6" x14ac:dyDescent="0.2">
      <c r="A13" s="19">
        <v>9</v>
      </c>
      <c r="B13" s="181" t="s">
        <v>8</v>
      </c>
      <c r="C13" s="182"/>
      <c r="D13" s="14">
        <f t="shared" si="0"/>
        <v>20224</v>
      </c>
      <c r="E13" s="17">
        <f t="shared" si="1"/>
        <v>213029.33064483874</v>
      </c>
      <c r="F13" s="21">
        <f t="shared" si="2"/>
        <v>10.53</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187536</v>
      </c>
      <c r="E15" s="17">
        <f t="shared" si="1"/>
        <v>1975405.1245950595</v>
      </c>
      <c r="F15" s="21">
        <f t="shared" si="2"/>
        <v>10.53</v>
      </c>
    </row>
    <row r="16" spans="1:6" ht="14.25" customHeight="1" x14ac:dyDescent="0.2">
      <c r="A16" s="19">
        <v>12</v>
      </c>
      <c r="B16" s="181" t="s">
        <v>11</v>
      </c>
      <c r="C16" s="182"/>
      <c r="D16" s="14">
        <f t="shared" si="0"/>
        <v>48720</v>
      </c>
      <c r="E16" s="17">
        <f t="shared" si="1"/>
        <v>513190.4436815934</v>
      </c>
      <c r="F16" s="21">
        <f t="shared" si="2"/>
        <v>10.53</v>
      </c>
    </row>
    <row r="17" spans="1:6" x14ac:dyDescent="0.2">
      <c r="A17" s="19">
        <v>13</v>
      </c>
      <c r="B17" s="181" t="s">
        <v>12</v>
      </c>
      <c r="C17" s="182"/>
      <c r="D17" s="14">
        <f t="shared" si="0"/>
        <v>0</v>
      </c>
      <c r="E17" s="17">
        <f t="shared" si="1"/>
        <v>0</v>
      </c>
      <c r="F17" s="21" t="str">
        <f t="shared" si="2"/>
        <v/>
      </c>
    </row>
    <row r="18" spans="1:6" ht="14.25" customHeight="1" x14ac:dyDescent="0.2">
      <c r="A18" s="19">
        <v>14</v>
      </c>
      <c r="B18" s="181" t="s">
        <v>464</v>
      </c>
      <c r="C18" s="182"/>
      <c r="D18" s="14">
        <f t="shared" si="0"/>
        <v>0</v>
      </c>
      <c r="E18" s="17">
        <f t="shared" si="1"/>
        <v>0</v>
      </c>
      <c r="F18" s="21" t="str">
        <f t="shared" si="2"/>
        <v/>
      </c>
    </row>
    <row r="19" spans="1:6" x14ac:dyDescent="0.2">
      <c r="A19" s="19">
        <v>15</v>
      </c>
      <c r="B19" s="181" t="s">
        <v>13</v>
      </c>
      <c r="C19" s="182"/>
      <c r="D19" s="14">
        <f t="shared" si="0"/>
        <v>27728</v>
      </c>
      <c r="E19" s="17">
        <f t="shared" si="1"/>
        <v>292071.79668315314</v>
      </c>
      <c r="F19" s="21">
        <f t="shared" si="2"/>
        <v>10.53</v>
      </c>
    </row>
    <row r="20" spans="1:6" x14ac:dyDescent="0.2">
      <c r="A20" s="19">
        <v>16</v>
      </c>
      <c r="B20" s="181" t="s">
        <v>14</v>
      </c>
      <c r="C20" s="182"/>
      <c r="D20" s="14">
        <f t="shared" si="0"/>
        <v>150768</v>
      </c>
      <c r="E20" s="17">
        <f t="shared" si="1"/>
        <v>1588110.229166389</v>
      </c>
      <c r="F20" s="21">
        <f t="shared" si="2"/>
        <v>10.53</v>
      </c>
    </row>
    <row r="21" spans="1:6" x14ac:dyDescent="0.2">
      <c r="A21" s="19">
        <v>17</v>
      </c>
      <c r="B21" s="181" t="s">
        <v>15</v>
      </c>
      <c r="C21" s="182"/>
      <c r="D21" s="14">
        <f t="shared" si="0"/>
        <v>33760</v>
      </c>
      <c r="E21" s="17">
        <f t="shared" si="1"/>
        <v>355610.1563770647</v>
      </c>
      <c r="F21" s="21">
        <f t="shared" si="2"/>
        <v>10.53</v>
      </c>
    </row>
    <row r="22" spans="1:6" x14ac:dyDescent="0.2">
      <c r="A22" s="19">
        <v>18</v>
      </c>
      <c r="B22" s="181" t="s">
        <v>16</v>
      </c>
      <c r="C22" s="182"/>
      <c r="D22" s="14">
        <f t="shared" si="0"/>
        <v>0</v>
      </c>
      <c r="E22" s="17">
        <f t="shared" si="1"/>
        <v>0</v>
      </c>
      <c r="F22" s="21" t="str">
        <f t="shared" si="2"/>
        <v/>
      </c>
    </row>
    <row r="23" spans="1:6" x14ac:dyDescent="0.2">
      <c r="A23" s="19">
        <v>19</v>
      </c>
      <c r="B23" s="181" t="s">
        <v>17</v>
      </c>
      <c r="C23" s="182"/>
      <c r="D23" s="14">
        <f t="shared" si="0"/>
        <v>75360</v>
      </c>
      <c r="E23" s="17">
        <f t="shared" si="1"/>
        <v>793802.29219714436</v>
      </c>
      <c r="F23" s="21">
        <f t="shared" si="2"/>
        <v>10.53</v>
      </c>
    </row>
    <row r="24" spans="1:6" x14ac:dyDescent="0.2">
      <c r="A24" s="19">
        <v>20</v>
      </c>
      <c r="B24" s="181" t="s">
        <v>18</v>
      </c>
      <c r="C24" s="182"/>
      <c r="D24" s="14">
        <f t="shared" si="0"/>
        <v>13584</v>
      </c>
      <c r="E24" s="17">
        <f t="shared" si="1"/>
        <v>143086.47050432605</v>
      </c>
      <c r="F24" s="21">
        <f t="shared" si="2"/>
        <v>10.53</v>
      </c>
    </row>
    <row r="25" spans="1:6" ht="14.25" customHeight="1" x14ac:dyDescent="0.2">
      <c r="A25" s="19">
        <v>21</v>
      </c>
      <c r="B25" s="181" t="s">
        <v>461</v>
      </c>
      <c r="C25" s="182"/>
      <c r="D25" s="14">
        <f t="shared" si="0"/>
        <v>22752</v>
      </c>
      <c r="E25" s="17">
        <f t="shared" si="1"/>
        <v>239656.62197544362</v>
      </c>
      <c r="F25" s="21">
        <f t="shared" si="2"/>
        <v>10.53</v>
      </c>
    </row>
    <row r="26" spans="1:6" x14ac:dyDescent="0.2">
      <c r="A26" s="19">
        <v>22</v>
      </c>
      <c r="B26" s="181" t="s">
        <v>19</v>
      </c>
      <c r="C26" s="182"/>
      <c r="D26" s="14">
        <f t="shared" si="0"/>
        <v>1728</v>
      </c>
      <c r="E26" s="17">
        <f t="shared" si="1"/>
        <v>18202.211795603311</v>
      </c>
      <c r="F26" s="21">
        <f t="shared" si="2"/>
        <v>10.53</v>
      </c>
    </row>
    <row r="27" spans="1:6" x14ac:dyDescent="0.2">
      <c r="A27" s="19">
        <v>23</v>
      </c>
      <c r="B27" s="181" t="s">
        <v>20</v>
      </c>
      <c r="C27" s="182"/>
      <c r="D27" s="14">
        <f t="shared" si="0"/>
        <v>0</v>
      </c>
      <c r="E27" s="17">
        <f t="shared" si="1"/>
        <v>0</v>
      </c>
      <c r="F27" s="21" t="str">
        <f t="shared" si="2"/>
        <v/>
      </c>
    </row>
    <row r="28" spans="1:6" x14ac:dyDescent="0.2">
      <c r="A28" s="19">
        <v>24</v>
      </c>
      <c r="B28" s="181" t="s">
        <v>21</v>
      </c>
      <c r="C28" s="182"/>
      <c r="D28" s="14">
        <f t="shared" si="0"/>
        <v>44800</v>
      </c>
      <c r="E28" s="17">
        <f t="shared" si="1"/>
        <v>471900.45396008587</v>
      </c>
      <c r="F28" s="21">
        <f t="shared" si="2"/>
        <v>10.53</v>
      </c>
    </row>
    <row r="29" spans="1:6" x14ac:dyDescent="0.2">
      <c r="A29" s="19">
        <v>25</v>
      </c>
      <c r="B29" s="181" t="s">
        <v>22</v>
      </c>
      <c r="C29" s="182"/>
      <c r="D29" s="14">
        <f t="shared" si="0"/>
        <v>28656</v>
      </c>
      <c r="E29" s="17">
        <f t="shared" si="1"/>
        <v>301847.92894375493</v>
      </c>
      <c r="F29" s="21">
        <f t="shared" si="2"/>
        <v>10.53</v>
      </c>
    </row>
    <row r="30" spans="1:6" x14ac:dyDescent="0.2">
      <c r="A30" s="19">
        <v>26</v>
      </c>
      <c r="B30" s="181" t="s">
        <v>23</v>
      </c>
      <c r="C30" s="182"/>
      <c r="D30" s="14">
        <f t="shared" si="0"/>
        <v>35664</v>
      </c>
      <c r="E30" s="17">
        <f t="shared" si="1"/>
        <v>375665.06567036838</v>
      </c>
      <c r="F30" s="21">
        <f t="shared" si="2"/>
        <v>10.53</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1200176</v>
      </c>
      <c r="E33" s="31">
        <f>SUM(E5:E32)</f>
        <v>12642016.000000002</v>
      </c>
      <c r="F33" s="32">
        <f t="shared" si="2"/>
        <v>10.53</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IF(F3="1",SUMIF(Data!A:A,'55'!$A$2,Data!CU:CU),0)</f>
        <v>0</v>
      </c>
      <c r="E36" s="15">
        <f>IF(F3="1",SUMIF(Data!$A:$A,$A$2,Data!IO:IO),0)</f>
        <v>0</v>
      </c>
      <c r="F36" s="20" t="str">
        <f t="shared" ref="F36:F64" si="3">IF(OR(D36=0,E36=0),"",ROUND(E36/D36,2))</f>
        <v/>
      </c>
    </row>
    <row r="37" spans="1:6" x14ac:dyDescent="0.2">
      <c r="A37" s="19">
        <v>2</v>
      </c>
      <c r="B37" s="181" t="s">
        <v>1</v>
      </c>
      <c r="C37" s="182"/>
      <c r="D37" s="14">
        <f>IF(F3="1",SUMIF(Data!A:A,'55'!$A$2,Data!CV:CV),0)</f>
        <v>130448</v>
      </c>
      <c r="E37" s="17">
        <f>IF(F3="1",SUMIF(Data!$A:$A,$A$2,Data!IP:IP),0)</f>
        <v>429148</v>
      </c>
      <c r="F37" s="21">
        <f t="shared" si="3"/>
        <v>3.29</v>
      </c>
    </row>
    <row r="38" spans="1:6" ht="14.25" customHeight="1" x14ac:dyDescent="0.2">
      <c r="A38" s="19">
        <v>3</v>
      </c>
      <c r="B38" s="181" t="s">
        <v>2</v>
      </c>
      <c r="C38" s="182"/>
      <c r="D38" s="14">
        <f>IF(F3="1",SUMIF(Data!A:A,'55'!$A$2,Data!CW:CW),0)</f>
        <v>132976</v>
      </c>
      <c r="E38" s="17">
        <f>IF($F$3="1",SUMIF(Data!$A:$A,$A$2,Data!IQ:IQ),0)</f>
        <v>437464</v>
      </c>
      <c r="F38" s="21">
        <f t="shared" si="3"/>
        <v>3.29</v>
      </c>
    </row>
    <row r="39" spans="1:6" ht="14.25" customHeight="1" x14ac:dyDescent="0.2">
      <c r="A39" s="19">
        <v>4</v>
      </c>
      <c r="B39" s="181" t="s">
        <v>3</v>
      </c>
      <c r="C39" s="182"/>
      <c r="D39" s="14">
        <f>IF(F3="1",SUMIF(Data!A:A,'55'!$A$2,Data!CX:CX),0)</f>
        <v>153328</v>
      </c>
      <c r="E39" s="17">
        <f>IF($F$3="1",SUMIF(Data!$A:$A,$A$2,Data!IR:IR),0)</f>
        <v>504418</v>
      </c>
      <c r="F39" s="21">
        <f t="shared" si="3"/>
        <v>3.29</v>
      </c>
    </row>
    <row r="40" spans="1:6" x14ac:dyDescent="0.2">
      <c r="A40" s="19">
        <v>5</v>
      </c>
      <c r="B40" s="181" t="s">
        <v>4</v>
      </c>
      <c r="C40" s="182"/>
      <c r="D40" s="14">
        <f>IF(F3="1",SUMIF(Data!A:A,'55'!$A$2,Data!CY:CY),0)</f>
        <v>0</v>
      </c>
      <c r="E40" s="17">
        <f>IF($F$3="1",SUMIF(Data!$A:$A,$A$2,Data!IS:IS),0)</f>
        <v>0</v>
      </c>
      <c r="F40" s="21" t="str">
        <f t="shared" si="3"/>
        <v/>
      </c>
    </row>
    <row r="41" spans="1:6" x14ac:dyDescent="0.2">
      <c r="A41" s="19">
        <v>6</v>
      </c>
      <c r="B41" s="181" t="s">
        <v>5</v>
      </c>
      <c r="C41" s="182"/>
      <c r="D41" s="14">
        <f>IF(F3="1",SUMIF(Data!A:A,'55'!$A$2,Data!CZ:CZ),0)</f>
        <v>0</v>
      </c>
      <c r="E41" s="17">
        <f>IF($F$3="1",SUMIF(Data!$A:$A,$A$2,Data!IT:IT),0)</f>
        <v>0</v>
      </c>
      <c r="F41" s="21" t="str">
        <f t="shared" si="3"/>
        <v/>
      </c>
    </row>
    <row r="42" spans="1:6" x14ac:dyDescent="0.2">
      <c r="A42" s="19">
        <v>7</v>
      </c>
      <c r="B42" s="181" t="s">
        <v>6</v>
      </c>
      <c r="C42" s="182"/>
      <c r="D42" s="14">
        <f>IF(F3="1",SUMIF(Data!A:A,'55'!$A$2,Data!DA:DA),0)</f>
        <v>68368</v>
      </c>
      <c r="E42" s="17">
        <f>IF($F$3="1",SUMIF(Data!$A:$A,$A$2,Data!IU:IU),0)</f>
        <v>224916</v>
      </c>
      <c r="F42" s="21">
        <f t="shared" si="3"/>
        <v>3.29</v>
      </c>
    </row>
    <row r="43" spans="1:6" x14ac:dyDescent="0.2">
      <c r="A43" s="19">
        <v>8</v>
      </c>
      <c r="B43" s="181" t="s">
        <v>7</v>
      </c>
      <c r="C43" s="182"/>
      <c r="D43" s="14">
        <f>IF(F3="1",SUMIF(Data!A:A,'55'!$A$2,Data!DB:DB),0)</f>
        <v>23776</v>
      </c>
      <c r="E43" s="17">
        <f>IF($F$3="1",SUMIF(Data!$A:$A,$A$2,Data!IV:IV),0)</f>
        <v>78218</v>
      </c>
      <c r="F43" s="21">
        <f t="shared" si="3"/>
        <v>3.29</v>
      </c>
    </row>
    <row r="44" spans="1:6" x14ac:dyDescent="0.2">
      <c r="A44" s="19">
        <v>9</v>
      </c>
      <c r="B44" s="181" t="s">
        <v>8</v>
      </c>
      <c r="C44" s="182"/>
      <c r="D44" s="14">
        <f>IF(F3="1",SUMIF(Data!A:A,'55'!$A$2,Data!DC:DC),0)</f>
        <v>20224</v>
      </c>
      <c r="E44" s="17">
        <f>IF($F$3="1",SUMIF(Data!$A:$A,$A$2,Data!IW:IW),0)</f>
        <v>66533</v>
      </c>
      <c r="F44" s="21">
        <f t="shared" si="3"/>
        <v>3.29</v>
      </c>
    </row>
    <row r="45" spans="1:6" x14ac:dyDescent="0.2">
      <c r="A45" s="19">
        <v>10</v>
      </c>
      <c r="B45" s="181" t="s">
        <v>9</v>
      </c>
      <c r="C45" s="182"/>
      <c r="D45" s="14">
        <f>IF(F3="1",SUMIF(Data!A:A,'55'!$A$2,Data!DD:DD),0)</f>
        <v>0</v>
      </c>
      <c r="E45" s="17">
        <f>IF($F$3="1",SUMIF(Data!$A:$A,$A$2,Data!IX:IX),0)</f>
        <v>0</v>
      </c>
      <c r="F45" s="21" t="str">
        <f t="shared" si="3"/>
        <v/>
      </c>
    </row>
    <row r="46" spans="1:6" x14ac:dyDescent="0.2">
      <c r="A46" s="19">
        <v>11</v>
      </c>
      <c r="B46" s="181" t="s">
        <v>10</v>
      </c>
      <c r="C46" s="182"/>
      <c r="D46" s="14">
        <f>IF(F3="1",SUMIF(Data!A:A,'55'!$A$2,Data!DE:DE),0)</f>
        <v>187536</v>
      </c>
      <c r="E46" s="17">
        <f>IF($F$3="1",SUMIF(Data!$A:$A,$A$2,Data!IY:IY),0)</f>
        <v>616956</v>
      </c>
      <c r="F46" s="21">
        <f t="shared" si="3"/>
        <v>3.29</v>
      </c>
    </row>
    <row r="47" spans="1:6" ht="14.25" customHeight="1" x14ac:dyDescent="0.2">
      <c r="A47" s="19">
        <v>12</v>
      </c>
      <c r="B47" s="181" t="s">
        <v>11</v>
      </c>
      <c r="C47" s="182"/>
      <c r="D47" s="14">
        <f>IF(F3="1",SUMIF(Data!A:A,'55'!$A$2,Data!DF:DF),0)</f>
        <v>48720</v>
      </c>
      <c r="E47" s="17">
        <f>IF($F$3="1",SUMIF(Data!$A:$A,$A$2,Data!IZ:IZ),0)</f>
        <v>160279</v>
      </c>
      <c r="F47" s="21">
        <f t="shared" si="3"/>
        <v>3.29</v>
      </c>
    </row>
    <row r="48" spans="1:6" x14ac:dyDescent="0.2">
      <c r="A48" s="19">
        <v>13</v>
      </c>
      <c r="B48" s="181" t="s">
        <v>12</v>
      </c>
      <c r="C48" s="182"/>
      <c r="D48" s="14">
        <f>IF(F3="1",SUMIF(Data!A:A,'55'!$A$2,Data!DG:DG),0)</f>
        <v>0</v>
      </c>
      <c r="E48" s="17">
        <f>IF($F$3="1",SUMIF(Data!$A:$A,$A$2,Data!JA:JA),0)</f>
        <v>0</v>
      </c>
      <c r="F48" s="21" t="str">
        <f t="shared" si="3"/>
        <v/>
      </c>
    </row>
    <row r="49" spans="1:6" ht="14.25" customHeight="1" x14ac:dyDescent="0.2">
      <c r="A49" s="19">
        <v>14</v>
      </c>
      <c r="B49" s="181" t="s">
        <v>464</v>
      </c>
      <c r="C49" s="182"/>
      <c r="D49" s="14">
        <f>IF(F3="1",SUMIF(Data!A:A,'55'!$A$2,Data!DH:DH),0)</f>
        <v>0</v>
      </c>
      <c r="E49" s="17">
        <f>IF($F$3="1",SUMIF(Data!$A:$A,$A$2,Data!JB:JB),0)</f>
        <v>0</v>
      </c>
      <c r="F49" s="21" t="str">
        <f t="shared" si="3"/>
        <v/>
      </c>
    </row>
    <row r="50" spans="1:6" x14ac:dyDescent="0.2">
      <c r="A50" s="19">
        <v>15</v>
      </c>
      <c r="B50" s="181" t="s">
        <v>13</v>
      </c>
      <c r="C50" s="182"/>
      <c r="D50" s="14">
        <f>IF(F3="1",SUMIF(Data!A:A,'55'!$A$2,Data!DI:DI),0)</f>
        <v>27728</v>
      </c>
      <c r="E50" s="17">
        <f>IF($F$3="1",SUMIF(Data!$A:$A,$A$2,Data!JC:JC),0)</f>
        <v>91219</v>
      </c>
      <c r="F50" s="21">
        <f t="shared" si="3"/>
        <v>3.29</v>
      </c>
    </row>
    <row r="51" spans="1:6" x14ac:dyDescent="0.2">
      <c r="A51" s="19">
        <v>16</v>
      </c>
      <c r="B51" s="181" t="s">
        <v>14</v>
      </c>
      <c r="C51" s="182"/>
      <c r="D51" s="14">
        <f>IF(F3="1",SUMIF(Data!A:A,'55'!$A$2,Data!DJ:DJ),0)</f>
        <v>150768</v>
      </c>
      <c r="E51" s="17">
        <f>IF($F$3="1",SUMIF(Data!$A:$A,$A$2,Data!JD:JD),0)</f>
        <v>495997</v>
      </c>
      <c r="F51" s="21">
        <f t="shared" si="3"/>
        <v>3.29</v>
      </c>
    </row>
    <row r="52" spans="1:6" x14ac:dyDescent="0.2">
      <c r="A52" s="19">
        <v>17</v>
      </c>
      <c r="B52" s="181" t="s">
        <v>15</v>
      </c>
      <c r="C52" s="182"/>
      <c r="D52" s="14">
        <f>IF(F3="1",SUMIF(Data!A:A,'55'!$A$2,Data!DK:DK),0)</f>
        <v>33760</v>
      </c>
      <c r="E52" s="17">
        <f>IF($F$3="1",SUMIF(Data!$A:$A,$A$2,Data!JE:JE),0)</f>
        <v>111064</v>
      </c>
      <c r="F52" s="21">
        <f t="shared" si="3"/>
        <v>3.29</v>
      </c>
    </row>
    <row r="53" spans="1:6" x14ac:dyDescent="0.2">
      <c r="A53" s="19">
        <v>18</v>
      </c>
      <c r="B53" s="181" t="s">
        <v>16</v>
      </c>
      <c r="C53" s="182"/>
      <c r="D53" s="14">
        <f>IF(F3="1",SUMIF(Data!A:A,'55'!$A$2,Data!DL:DL),0)</f>
        <v>0</v>
      </c>
      <c r="E53" s="17">
        <f>IF($F$3="1",SUMIF(Data!$A:$A,$A$2,Data!JF:JF),0)</f>
        <v>0</v>
      </c>
      <c r="F53" s="21" t="str">
        <f t="shared" si="3"/>
        <v/>
      </c>
    </row>
    <row r="54" spans="1:6" x14ac:dyDescent="0.2">
      <c r="A54" s="19">
        <v>19</v>
      </c>
      <c r="B54" s="181" t="s">
        <v>17</v>
      </c>
      <c r="C54" s="182"/>
      <c r="D54" s="14">
        <f>IF(F3="1",SUMIF(Data!A:A,'55'!$A$2,Data!DM:DM),0)</f>
        <v>75360</v>
      </c>
      <c r="E54" s="17">
        <f>IF($F$3="1",SUMIF(Data!$A:$A,$A$2,Data!JG:JG),0)</f>
        <v>247919</v>
      </c>
      <c r="F54" s="21">
        <f t="shared" si="3"/>
        <v>3.29</v>
      </c>
    </row>
    <row r="55" spans="1:6" x14ac:dyDescent="0.2">
      <c r="A55" s="19">
        <v>20</v>
      </c>
      <c r="B55" s="181" t="s">
        <v>18</v>
      </c>
      <c r="C55" s="182"/>
      <c r="D55" s="14">
        <f>IF(F3="1",SUMIF(Data!A:A,'55'!$A$2,Data!DN:DN),0)</f>
        <v>13584</v>
      </c>
      <c r="E55" s="17">
        <f>IF($F$3="1",SUMIF(Data!$A:$A,$A$2,Data!JH:JH),0)</f>
        <v>44688</v>
      </c>
      <c r="F55" s="21">
        <f t="shared" si="3"/>
        <v>3.29</v>
      </c>
    </row>
    <row r="56" spans="1:6" ht="14.25" customHeight="1" x14ac:dyDescent="0.2">
      <c r="A56" s="19">
        <v>21</v>
      </c>
      <c r="B56" s="181" t="s">
        <v>461</v>
      </c>
      <c r="C56" s="182"/>
      <c r="D56" s="14">
        <f>IF(F3="1",SUMIF(Data!A:A,'55'!$A$2,Data!DO:DO),0)</f>
        <v>22752</v>
      </c>
      <c r="E56" s="17">
        <f>IF($F$3="1",SUMIF(Data!$A:$A,$A$2,Data!JI:JI),0)</f>
        <v>74849</v>
      </c>
      <c r="F56" s="21">
        <f t="shared" si="3"/>
        <v>3.29</v>
      </c>
    </row>
    <row r="57" spans="1:6" x14ac:dyDescent="0.2">
      <c r="A57" s="19">
        <v>22</v>
      </c>
      <c r="B57" s="181" t="s">
        <v>19</v>
      </c>
      <c r="C57" s="182"/>
      <c r="D57" s="14">
        <f>IF(F3="1",SUMIF(Data!A:A,'55'!$A$2,Data!DP:DP),0)</f>
        <v>1728</v>
      </c>
      <c r="E57" s="17">
        <f>IF($F$3="1",SUMIF(Data!$A:$A,$A$2,Data!JJ:JJ),0)</f>
        <v>5685</v>
      </c>
      <c r="F57" s="21">
        <f t="shared" si="3"/>
        <v>3.29</v>
      </c>
    </row>
    <row r="58" spans="1:6" x14ac:dyDescent="0.2">
      <c r="A58" s="19">
        <v>23</v>
      </c>
      <c r="B58" s="181" t="s">
        <v>20</v>
      </c>
      <c r="C58" s="182"/>
      <c r="D58" s="14">
        <f>IF(F3="1",SUMIF(Data!A:A,'55'!$A$2,Data!DQ:DQ),0)</f>
        <v>0</v>
      </c>
      <c r="E58" s="17">
        <f>IF($F$3="1",SUMIF(Data!$A:$A,$A$2,Data!JK:JK),0)</f>
        <v>0</v>
      </c>
      <c r="F58" s="21" t="str">
        <f t="shared" si="3"/>
        <v/>
      </c>
    </row>
    <row r="59" spans="1:6" x14ac:dyDescent="0.2">
      <c r="A59" s="19">
        <v>24</v>
      </c>
      <c r="B59" s="181" t="s">
        <v>21</v>
      </c>
      <c r="C59" s="182"/>
      <c r="D59" s="14">
        <f>IF(F3="1",SUMIF(Data!A:A,'55'!$A$2,Data!DR:DR),0)</f>
        <v>44800</v>
      </c>
      <c r="E59" s="17">
        <f>IF($F$3="1",SUMIF(Data!$A:$A,$A$2,Data!JL:JL),0)</f>
        <v>147384</v>
      </c>
      <c r="F59" s="21">
        <f t="shared" si="3"/>
        <v>3.29</v>
      </c>
    </row>
    <row r="60" spans="1:6" x14ac:dyDescent="0.2">
      <c r="A60" s="19">
        <v>25</v>
      </c>
      <c r="B60" s="181" t="s">
        <v>22</v>
      </c>
      <c r="C60" s="182"/>
      <c r="D60" s="14">
        <f>IF(F3="1",SUMIF(Data!A:A,'55'!$A$2,Data!DS:DS),0)</f>
        <v>28656</v>
      </c>
      <c r="E60" s="17">
        <f>IF($F$3="1",SUMIF(Data!$A:$A,$A$2,Data!JM:JM),0)</f>
        <v>94273</v>
      </c>
      <c r="F60" s="21">
        <f t="shared" si="3"/>
        <v>3.29</v>
      </c>
    </row>
    <row r="61" spans="1:6" x14ac:dyDescent="0.2">
      <c r="A61" s="19">
        <v>26</v>
      </c>
      <c r="B61" s="181" t="s">
        <v>23</v>
      </c>
      <c r="C61" s="182"/>
      <c r="D61" s="14">
        <f>IF(F3="1",SUMIF(Data!A:A,'55'!$A$2,Data!DT:DT),0)</f>
        <v>35664</v>
      </c>
      <c r="E61" s="17">
        <f>IF($F$3="1",SUMIF(Data!$A:$A,$A$2,Data!JN:JN),0)</f>
        <v>117327</v>
      </c>
      <c r="F61" s="21">
        <f t="shared" si="3"/>
        <v>3.29</v>
      </c>
    </row>
    <row r="62" spans="1:6" x14ac:dyDescent="0.2">
      <c r="A62" s="19">
        <v>28</v>
      </c>
      <c r="B62" s="181" t="s">
        <v>24</v>
      </c>
      <c r="C62" s="182"/>
      <c r="D62" s="14">
        <f>IF(F3="1",SUMIF(Data!A:A,'55'!$A$2,Data!DV:DV),0)</f>
        <v>0</v>
      </c>
      <c r="E62" s="17">
        <f>IF($F$3="1",SUMIF(Data!$A:$A,$A$2,Data!JP:JP),0)</f>
        <v>0</v>
      </c>
      <c r="F62" s="21" t="str">
        <f t="shared" si="3"/>
        <v/>
      </c>
    </row>
    <row r="63" spans="1:6" ht="15.75" customHeight="1" thickBot="1" x14ac:dyDescent="0.25">
      <c r="A63" s="22">
        <v>29</v>
      </c>
      <c r="B63" s="183" t="s">
        <v>25</v>
      </c>
      <c r="C63" s="184"/>
      <c r="D63" s="23">
        <f>IF(F3="1",SUMIF(Data!A:A,'55'!$A$2,Data!DW:DW),0)</f>
        <v>0</v>
      </c>
      <c r="E63" s="24">
        <f>IF($F$3="1",SUMIF(Data!$A:$A,$A$2,Data!JQ:JQ),0)</f>
        <v>0</v>
      </c>
      <c r="F63" s="25" t="str">
        <f t="shared" si="3"/>
        <v/>
      </c>
    </row>
    <row r="64" spans="1:6" x14ac:dyDescent="0.2">
      <c r="B64" s="30" t="s">
        <v>35</v>
      </c>
      <c r="C64" s="30"/>
      <c r="D64" s="59">
        <f>SUM(D36:D63)</f>
        <v>1200176</v>
      </c>
      <c r="E64" s="31">
        <f>SUM(E36:E63)</f>
        <v>3948337</v>
      </c>
      <c r="F64" s="32">
        <f t="shared" si="3"/>
        <v>3.29</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0</v>
      </c>
      <c r="E67" s="15">
        <f>IF(F3="1",SUMIF(Data!A:A,'55'!$A$2,Data!DY:DY),0)</f>
        <v>0</v>
      </c>
      <c r="F67" s="20" t="str">
        <f t="shared" ref="F67:F95" si="4">IF(OR(D67=0,E67=0),"",ROUND(E67/D67,2))</f>
        <v/>
      </c>
    </row>
    <row r="68" spans="1:6" x14ac:dyDescent="0.2">
      <c r="A68" s="19">
        <v>2</v>
      </c>
      <c r="B68" s="181" t="s">
        <v>1</v>
      </c>
      <c r="C68" s="182"/>
      <c r="D68" s="14">
        <f t="shared" ref="D68:D94" si="5">D37</f>
        <v>130448</v>
      </c>
      <c r="E68" s="17">
        <f>IF(F3="1",SUMIF(Data!A:A,'55'!$A$2,Data!DZ:DZ),0)</f>
        <v>456708</v>
      </c>
      <c r="F68" s="21">
        <f t="shared" si="4"/>
        <v>3.5</v>
      </c>
    </row>
    <row r="69" spans="1:6" ht="14.25" customHeight="1" x14ac:dyDescent="0.2">
      <c r="A69" s="19">
        <v>3</v>
      </c>
      <c r="B69" s="181" t="s">
        <v>2</v>
      </c>
      <c r="C69" s="182"/>
      <c r="D69" s="14">
        <f t="shared" si="5"/>
        <v>132976</v>
      </c>
      <c r="E69" s="17">
        <f>IF(F3="1",SUMIF(Data!A:A,'55'!$A$2,Data!EA:EA),0)</f>
        <v>465558</v>
      </c>
      <c r="F69" s="21">
        <f t="shared" si="4"/>
        <v>3.5</v>
      </c>
    </row>
    <row r="70" spans="1:6" ht="14.25" customHeight="1" x14ac:dyDescent="0.2">
      <c r="A70" s="19">
        <v>4</v>
      </c>
      <c r="B70" s="181" t="s">
        <v>3</v>
      </c>
      <c r="C70" s="182"/>
      <c r="D70" s="14">
        <f t="shared" si="5"/>
        <v>153328</v>
      </c>
      <c r="E70" s="17">
        <f>IF(F3="1",SUMIF(Data!A:A,'55'!$A$2,Data!EB:EB),0)</f>
        <v>536812</v>
      </c>
      <c r="F70" s="21">
        <f t="shared" si="4"/>
        <v>3.5</v>
      </c>
    </row>
    <row r="71" spans="1:6" x14ac:dyDescent="0.2">
      <c r="A71" s="19">
        <v>5</v>
      </c>
      <c r="B71" s="181" t="s">
        <v>4</v>
      </c>
      <c r="C71" s="182"/>
      <c r="D71" s="14">
        <f t="shared" si="5"/>
        <v>0</v>
      </c>
      <c r="E71" s="17">
        <f>IF(F3="1",SUMIF(Data!A:A,'55'!$A$2,Data!EC:EC),0)</f>
        <v>0</v>
      </c>
      <c r="F71" s="21" t="str">
        <f t="shared" si="4"/>
        <v/>
      </c>
    </row>
    <row r="72" spans="1:6" x14ac:dyDescent="0.2">
      <c r="A72" s="19">
        <v>6</v>
      </c>
      <c r="B72" s="181" t="s">
        <v>5</v>
      </c>
      <c r="C72" s="182"/>
      <c r="D72" s="14">
        <f t="shared" si="5"/>
        <v>0</v>
      </c>
      <c r="E72" s="17">
        <f>IF(F3="1",SUMIF(Data!A:A,'55'!$A$2,Data!ED:ED),0)</f>
        <v>0</v>
      </c>
      <c r="F72" s="21" t="str">
        <f t="shared" si="4"/>
        <v/>
      </c>
    </row>
    <row r="73" spans="1:6" x14ac:dyDescent="0.2">
      <c r="A73" s="19">
        <v>7</v>
      </c>
      <c r="B73" s="181" t="s">
        <v>6</v>
      </c>
      <c r="C73" s="182"/>
      <c r="D73" s="14">
        <f t="shared" si="5"/>
        <v>68368</v>
      </c>
      <c r="E73" s="17">
        <f>IF(F3="1",SUMIF(Data!A:A,'55'!$A$2,Data!EE:EE),0)</f>
        <v>239361</v>
      </c>
      <c r="F73" s="21">
        <f t="shared" si="4"/>
        <v>3.5</v>
      </c>
    </row>
    <row r="74" spans="1:6" x14ac:dyDescent="0.2">
      <c r="A74" s="19">
        <v>8</v>
      </c>
      <c r="B74" s="181" t="s">
        <v>7</v>
      </c>
      <c r="C74" s="182"/>
      <c r="D74" s="14">
        <f t="shared" si="5"/>
        <v>23776</v>
      </c>
      <c r="E74" s="17">
        <f>IF(F3="1",SUMIF(Data!A:A,'55'!$A$2,Data!EF:EF),0)</f>
        <v>83241</v>
      </c>
      <c r="F74" s="21">
        <f t="shared" si="4"/>
        <v>3.5</v>
      </c>
    </row>
    <row r="75" spans="1:6" x14ac:dyDescent="0.2">
      <c r="A75" s="19">
        <v>9</v>
      </c>
      <c r="B75" s="181" t="s">
        <v>8</v>
      </c>
      <c r="C75" s="182"/>
      <c r="D75" s="14">
        <f t="shared" si="5"/>
        <v>20224</v>
      </c>
      <c r="E75" s="17">
        <f>IF(F3="1",SUMIF(Data!A:A,'55'!$A$2,Data!EG:EG),0)</f>
        <v>70806</v>
      </c>
      <c r="F75" s="21">
        <f t="shared" si="4"/>
        <v>3.5</v>
      </c>
    </row>
    <row r="76" spans="1:6" x14ac:dyDescent="0.2">
      <c r="A76" s="19">
        <v>10</v>
      </c>
      <c r="B76" s="181" t="s">
        <v>9</v>
      </c>
      <c r="C76" s="182"/>
      <c r="D76" s="14">
        <f t="shared" si="5"/>
        <v>0</v>
      </c>
      <c r="E76" s="17">
        <f>IF(F3="1",SUMIF(Data!A:A,'55'!$A$2,Data!EH:EH),0)</f>
        <v>0</v>
      </c>
      <c r="F76" s="21" t="str">
        <f t="shared" si="4"/>
        <v/>
      </c>
    </row>
    <row r="77" spans="1:6" x14ac:dyDescent="0.2">
      <c r="A77" s="19">
        <v>11</v>
      </c>
      <c r="B77" s="181" t="s">
        <v>10</v>
      </c>
      <c r="C77" s="182"/>
      <c r="D77" s="14">
        <f t="shared" si="5"/>
        <v>187536</v>
      </c>
      <c r="E77" s="17">
        <f>IF(F3="1",SUMIF(Data!A:A,'55'!$A$2,Data!EI:EI),0)</f>
        <v>656577</v>
      </c>
      <c r="F77" s="21">
        <f t="shared" si="4"/>
        <v>3.5</v>
      </c>
    </row>
    <row r="78" spans="1:6" ht="14.25" customHeight="1" x14ac:dyDescent="0.2">
      <c r="A78" s="19">
        <v>12</v>
      </c>
      <c r="B78" s="181" t="s">
        <v>11</v>
      </c>
      <c r="C78" s="182"/>
      <c r="D78" s="14">
        <f t="shared" si="5"/>
        <v>48720</v>
      </c>
      <c r="E78" s="17">
        <f>IF(F3="1",SUMIF(Data!A:A,'55'!$A$2,Data!EJ:EJ),0)</f>
        <v>170572</v>
      </c>
      <c r="F78" s="21">
        <f t="shared" si="4"/>
        <v>3.5</v>
      </c>
    </row>
    <row r="79" spans="1:6" x14ac:dyDescent="0.2">
      <c r="A79" s="19">
        <v>13</v>
      </c>
      <c r="B79" s="181" t="s">
        <v>12</v>
      </c>
      <c r="C79" s="182"/>
      <c r="D79" s="14">
        <f t="shared" si="5"/>
        <v>0</v>
      </c>
      <c r="E79" s="17">
        <f>IF(F3="1",SUMIF(Data!A:A,'55'!$A$2,Data!EK:EK),0)</f>
        <v>0</v>
      </c>
      <c r="F79" s="21" t="str">
        <f t="shared" si="4"/>
        <v/>
      </c>
    </row>
    <row r="80" spans="1:6" ht="14.25" customHeight="1" x14ac:dyDescent="0.2">
      <c r="A80" s="19">
        <v>14</v>
      </c>
      <c r="B80" s="181" t="s">
        <v>464</v>
      </c>
      <c r="C80" s="182"/>
      <c r="D80" s="14">
        <f t="shared" si="5"/>
        <v>0</v>
      </c>
      <c r="E80" s="17">
        <f>IF(F3="1",SUMIF(Data!A:A,'55'!$A$2,Data!EL:EL),0)</f>
        <v>0</v>
      </c>
      <c r="F80" s="21" t="str">
        <f t="shared" si="4"/>
        <v/>
      </c>
    </row>
    <row r="81" spans="1:6" x14ac:dyDescent="0.2">
      <c r="A81" s="19">
        <v>15</v>
      </c>
      <c r="B81" s="181" t="s">
        <v>13</v>
      </c>
      <c r="C81" s="182"/>
      <c r="D81" s="14">
        <f t="shared" si="5"/>
        <v>27728</v>
      </c>
      <c r="E81" s="17">
        <f>IF(F3="1",SUMIF(Data!A:A,'55'!$A$2,Data!EM:EM),0)</f>
        <v>97078</v>
      </c>
      <c r="F81" s="21">
        <f t="shared" si="4"/>
        <v>3.5</v>
      </c>
    </row>
    <row r="82" spans="1:6" x14ac:dyDescent="0.2">
      <c r="A82" s="19">
        <v>16</v>
      </c>
      <c r="B82" s="181" t="s">
        <v>14</v>
      </c>
      <c r="C82" s="182"/>
      <c r="D82" s="14">
        <f t="shared" si="5"/>
        <v>150768</v>
      </c>
      <c r="E82" s="17">
        <f>IF(F3="1",SUMIF(Data!A:A,'55'!$A$2,Data!EN:EN),0)</f>
        <v>527849</v>
      </c>
      <c r="F82" s="21">
        <f t="shared" si="4"/>
        <v>3.5</v>
      </c>
    </row>
    <row r="83" spans="1:6" x14ac:dyDescent="0.2">
      <c r="A83" s="19">
        <v>17</v>
      </c>
      <c r="B83" s="181" t="s">
        <v>15</v>
      </c>
      <c r="C83" s="182"/>
      <c r="D83" s="14">
        <f t="shared" si="5"/>
        <v>33760</v>
      </c>
      <c r="E83" s="17">
        <f>IF(F3="1",SUMIF(Data!A:A,'55'!$A$2,Data!EO:EO),0)</f>
        <v>118196</v>
      </c>
      <c r="F83" s="21">
        <f t="shared" si="4"/>
        <v>3.5</v>
      </c>
    </row>
    <row r="84" spans="1:6" x14ac:dyDescent="0.2">
      <c r="A84" s="19">
        <v>18</v>
      </c>
      <c r="B84" s="181" t="s">
        <v>16</v>
      </c>
      <c r="C84" s="182"/>
      <c r="D84" s="14">
        <f t="shared" si="5"/>
        <v>0</v>
      </c>
      <c r="E84" s="17">
        <f>IF(F3="1",SUMIF(Data!A:A,'55'!$A$2,Data!EP:EP),0)</f>
        <v>0</v>
      </c>
      <c r="F84" s="21" t="str">
        <f t="shared" si="4"/>
        <v/>
      </c>
    </row>
    <row r="85" spans="1:6" x14ac:dyDescent="0.2">
      <c r="A85" s="19">
        <v>19</v>
      </c>
      <c r="B85" s="181" t="s">
        <v>17</v>
      </c>
      <c r="C85" s="182"/>
      <c r="D85" s="14">
        <f t="shared" si="5"/>
        <v>75360</v>
      </c>
      <c r="E85" s="17">
        <f>IF(F3="1",SUMIF(Data!A:A,'55'!$A$2,Data!EQ:EQ),0)</f>
        <v>263841</v>
      </c>
      <c r="F85" s="21">
        <f t="shared" si="4"/>
        <v>3.5</v>
      </c>
    </row>
    <row r="86" spans="1:6" x14ac:dyDescent="0.2">
      <c r="A86" s="19">
        <v>20</v>
      </c>
      <c r="B86" s="181" t="s">
        <v>18</v>
      </c>
      <c r="C86" s="182"/>
      <c r="D86" s="14">
        <f t="shared" si="5"/>
        <v>13584</v>
      </c>
      <c r="E86" s="17">
        <f>IF(F3="1",SUMIF(Data!A:A,'55'!$A$2,Data!ER:ER),0)</f>
        <v>47559</v>
      </c>
      <c r="F86" s="21">
        <f t="shared" si="4"/>
        <v>3.5</v>
      </c>
    </row>
    <row r="87" spans="1:6" ht="14.25" customHeight="1" x14ac:dyDescent="0.2">
      <c r="A87" s="19">
        <v>21</v>
      </c>
      <c r="B87" s="181" t="s">
        <v>461</v>
      </c>
      <c r="C87" s="182"/>
      <c r="D87" s="14">
        <f t="shared" si="5"/>
        <v>22752</v>
      </c>
      <c r="E87" s="17">
        <f>IF(F3="1",SUMIF(Data!A:A,'55'!$A$2,Data!ES:ES),0)</f>
        <v>79656</v>
      </c>
      <c r="F87" s="21">
        <f t="shared" si="4"/>
        <v>3.5</v>
      </c>
    </row>
    <row r="88" spans="1:6" x14ac:dyDescent="0.2">
      <c r="A88" s="19">
        <v>22</v>
      </c>
      <c r="B88" s="181" t="s">
        <v>19</v>
      </c>
      <c r="C88" s="182"/>
      <c r="D88" s="14">
        <f t="shared" si="5"/>
        <v>1728</v>
      </c>
      <c r="E88" s="17">
        <f>IF(F3="1",SUMIF(Data!A:A,'55'!$A$2,Data!ET:ET),0)</f>
        <v>6050</v>
      </c>
      <c r="F88" s="21">
        <f t="shared" si="4"/>
        <v>3.5</v>
      </c>
    </row>
    <row r="89" spans="1:6" x14ac:dyDescent="0.2">
      <c r="A89" s="19">
        <v>23</v>
      </c>
      <c r="B89" s="181" t="s">
        <v>20</v>
      </c>
      <c r="C89" s="182"/>
      <c r="D89" s="14">
        <f t="shared" si="5"/>
        <v>0</v>
      </c>
      <c r="E89" s="17">
        <f>IF(F3="1",SUMIF(Data!A:A,'55'!$A$2,Data!EU:EU),0)</f>
        <v>0</v>
      </c>
      <c r="F89" s="21" t="str">
        <f t="shared" si="4"/>
        <v/>
      </c>
    </row>
    <row r="90" spans="1:6" x14ac:dyDescent="0.2">
      <c r="A90" s="19">
        <v>24</v>
      </c>
      <c r="B90" s="181" t="s">
        <v>21</v>
      </c>
      <c r="C90" s="182"/>
      <c r="D90" s="14">
        <f t="shared" si="5"/>
        <v>44800</v>
      </c>
      <c r="E90" s="17">
        <f>IF(F3="1",SUMIF(Data!A:A,'55'!$A$2,Data!EV:EV),0)</f>
        <v>156848</v>
      </c>
      <c r="F90" s="21">
        <f t="shared" si="4"/>
        <v>3.5</v>
      </c>
    </row>
    <row r="91" spans="1:6" x14ac:dyDescent="0.2">
      <c r="A91" s="19">
        <v>25</v>
      </c>
      <c r="B91" s="181" t="s">
        <v>22</v>
      </c>
      <c r="C91" s="182"/>
      <c r="D91" s="14">
        <f t="shared" si="5"/>
        <v>28656</v>
      </c>
      <c r="E91" s="17">
        <f>IF(F3="1",SUMIF(Data!A:A,'55'!$A$2,Data!EW:EW),0)</f>
        <v>100327</v>
      </c>
      <c r="F91" s="21">
        <f t="shared" si="4"/>
        <v>3.5</v>
      </c>
    </row>
    <row r="92" spans="1:6" x14ac:dyDescent="0.2">
      <c r="A92" s="19">
        <v>26</v>
      </c>
      <c r="B92" s="181" t="s">
        <v>23</v>
      </c>
      <c r="C92" s="182"/>
      <c r="D92" s="14">
        <f t="shared" si="5"/>
        <v>35664</v>
      </c>
      <c r="E92" s="17">
        <f>IF(F3="1",SUMIF(Data!A:A,'55'!$A$2,Data!EX:EX),0)</f>
        <v>124862</v>
      </c>
      <c r="F92" s="21">
        <f t="shared" si="4"/>
        <v>3.5</v>
      </c>
    </row>
    <row r="93" spans="1:6" x14ac:dyDescent="0.2">
      <c r="A93" s="19">
        <v>28</v>
      </c>
      <c r="B93" s="181" t="s">
        <v>24</v>
      </c>
      <c r="C93" s="182"/>
      <c r="D93" s="14">
        <f t="shared" si="5"/>
        <v>0</v>
      </c>
      <c r="E93" s="17">
        <f>IF(F3="1",SUMIF(Data!A:A,'55'!$A$2,Data!EZ:EZ),0)</f>
        <v>0</v>
      </c>
      <c r="F93" s="21" t="str">
        <f t="shared" si="4"/>
        <v/>
      </c>
    </row>
    <row r="94" spans="1:6" ht="15.75" customHeight="1" thickBot="1" x14ac:dyDescent="0.25">
      <c r="A94" s="22">
        <v>29</v>
      </c>
      <c r="B94" s="183" t="s">
        <v>25</v>
      </c>
      <c r="C94" s="184"/>
      <c r="D94" s="23">
        <f t="shared" si="5"/>
        <v>0</v>
      </c>
      <c r="E94" s="24">
        <f>IF(F3="1",SUMIF(Data!A:A,'55'!$A$2,Data!FA:FA),0)</f>
        <v>0</v>
      </c>
      <c r="F94" s="25" t="str">
        <f t="shared" si="4"/>
        <v/>
      </c>
    </row>
    <row r="95" spans="1:6" x14ac:dyDescent="0.2">
      <c r="B95" s="30" t="s">
        <v>35</v>
      </c>
      <c r="C95" s="30"/>
      <c r="D95" s="59">
        <f>SUM(D67:D94)</f>
        <v>1200176</v>
      </c>
      <c r="E95" s="31">
        <f>SUM(E67:E94)</f>
        <v>4201901</v>
      </c>
      <c r="F95" s="32">
        <f t="shared" si="4"/>
        <v>3.5</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IF(F3="1",SUMIF(Data!A:A,'55'!$A$2,Data!AH:AH),0)</f>
        <v>1496429</v>
      </c>
      <c r="F98" s="20">
        <f>IF(OR(E98=0,E98=0),"",ROUND(E98/$D$105,2))</f>
        <v>1.25</v>
      </c>
    </row>
    <row r="99" spans="2:6" x14ac:dyDescent="0.2">
      <c r="B99" s="187" t="s">
        <v>31</v>
      </c>
      <c r="C99" s="188"/>
      <c r="D99" s="36"/>
      <c r="E99" s="17">
        <f>IF(F3="1",SUMIF(Data!A:A,'55'!$A$2,Data!AI:AI),0)</f>
        <v>966518</v>
      </c>
      <c r="F99" s="21">
        <f t="shared" ref="F99:F104" si="6">IF(OR(E99=0,E99=0),"",ROUND(E99/$D$105,2))</f>
        <v>0.81</v>
      </c>
    </row>
    <row r="100" spans="2:6" x14ac:dyDescent="0.2">
      <c r="B100" s="187" t="s">
        <v>1078</v>
      </c>
      <c r="C100" s="188"/>
      <c r="D100" s="36"/>
      <c r="E100" s="17">
        <f>IF(F3="1",SUMIF(Data!A:A,'55'!$A$2,Data!AJ:AJ),0)</f>
        <v>240000</v>
      </c>
      <c r="F100" s="21">
        <f t="shared" si="6"/>
        <v>0.2</v>
      </c>
    </row>
    <row r="101" spans="2:6" x14ac:dyDescent="0.2">
      <c r="B101" s="187" t="s">
        <v>1079</v>
      </c>
      <c r="C101" s="188"/>
      <c r="D101" s="36"/>
      <c r="E101" s="17">
        <f>IF(F3="1",SUMIF(Data!A:A,'55'!$A$2,Data!AK:AK),0)</f>
        <v>318806</v>
      </c>
      <c r="F101" s="21">
        <f t="shared" si="6"/>
        <v>0.27</v>
      </c>
    </row>
    <row r="102" spans="2:6" x14ac:dyDescent="0.2">
      <c r="B102" s="187" t="s">
        <v>1080</v>
      </c>
      <c r="C102" s="188"/>
      <c r="D102" s="36"/>
      <c r="E102" s="17">
        <f>IF(F3="1",SUMIF(Data!A:A,'55'!$A$2,Data!AL:AL),0)</f>
        <v>0</v>
      </c>
      <c r="F102" s="21" t="str">
        <f t="shared" si="6"/>
        <v/>
      </c>
    </row>
    <row r="103" spans="2:6" x14ac:dyDescent="0.2">
      <c r="B103" s="189" t="s">
        <v>34</v>
      </c>
      <c r="C103" s="190"/>
      <c r="D103" s="36"/>
      <c r="E103" s="17">
        <f>IF(F3="1",SUMIF(Data!A:A,'55'!$A$2,Data!AM:AM),0)</f>
        <v>0</v>
      </c>
      <c r="F103" s="21" t="str">
        <f t="shared" si="6"/>
        <v/>
      </c>
    </row>
    <row r="104" spans="2:6" ht="15.75" customHeight="1" thickBot="1" x14ac:dyDescent="0.25">
      <c r="B104" s="179" t="s">
        <v>29</v>
      </c>
      <c r="C104" s="180"/>
      <c r="D104" s="37"/>
      <c r="E104" s="24">
        <f>IF(F3="1",SUMIF(Data!A:A,'55'!$A$2,Data!Q:Q),0)</f>
        <v>1470025</v>
      </c>
      <c r="F104" s="25">
        <f t="shared" si="6"/>
        <v>1.22</v>
      </c>
    </row>
    <row r="105" spans="2:6" x14ac:dyDescent="0.2">
      <c r="B105" s="30" t="s">
        <v>35</v>
      </c>
      <c r="C105" s="30"/>
      <c r="D105" s="34">
        <f>D95</f>
        <v>1200176</v>
      </c>
      <c r="E105" s="31">
        <f>SUM(E98:E104)</f>
        <v>4491778</v>
      </c>
      <c r="F105" s="32">
        <f>IF($D$105=0,"",ROUND(E105/$D$105,2))</f>
        <v>3.74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4201901</v>
      </c>
      <c r="D109" s="15">
        <f>IF(F3="1",SUMIF(Data!$A:$A,$A$2,Data!HJ:HJ),0)</f>
        <v>0</v>
      </c>
      <c r="E109" s="15">
        <f>IF(F3="1",SUMIF(Data!$A:$A,$A$2,Data!IN:IN),0)</f>
        <v>0</v>
      </c>
      <c r="F109" s="47">
        <f>SUM(C109:E109)</f>
        <v>4201901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1470025</v>
      </c>
      <c r="E117" s="52"/>
      <c r="F117" s="49">
        <f>SUM(C117:E117)</f>
        <v>1470025</v>
      </c>
    </row>
    <row r="118" spans="1:6" x14ac:dyDescent="0.2">
      <c r="B118" s="13" t="s">
        <v>35</v>
      </c>
      <c r="C118" s="4">
        <f>SUM(C109:C116)</f>
        <v>4201901</v>
      </c>
      <c r="D118" s="4">
        <f>SUM(D109:D116)</f>
        <v>0</v>
      </c>
      <c r="E118" s="4">
        <f>SUM(E109:E116)</f>
        <v>0</v>
      </c>
      <c r="F118" s="4">
        <f>SUM(F109:F116)</f>
        <v>4201901</v>
      </c>
    </row>
    <row r="119" spans="1:6" ht="15" thickBot="1" x14ac:dyDescent="0.25"/>
    <row r="120" spans="1:6" ht="15" thickBot="1" x14ac:dyDescent="0.25">
      <c r="B120" s="55" t="s">
        <v>934</v>
      </c>
      <c r="C120" s="53"/>
      <c r="D120" s="53"/>
      <c r="E120" s="53">
        <f>IF(F3="1",SUMIF(Data!A:A,'55'!$A$2,Data!AM:AM),0)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2002</v>
      </c>
      <c r="B1" s="38"/>
      <c r="C1" s="38"/>
      <c r="D1" s="38"/>
      <c r="E1" s="38"/>
      <c r="F1" s="38"/>
    </row>
    <row r="2" spans="1:6" x14ac:dyDescent="0.2">
      <c r="A2" s="5" t="s">
        <v>450</v>
      </c>
      <c r="B2" s="58" t="str">
        <f>VLOOKUP(A2,Data!A:G,7,0)</f>
        <v>Lamar State College-Orange</v>
      </c>
      <c r="C2" s="58"/>
    </row>
    <row r="3" spans="1:6" ht="15" thickBot="1" x14ac:dyDescent="0.25">
      <c r="A3" s="3"/>
      <c r="F3" s="56" t="str">
        <f>IFERROR(VLOOKUP(A2,Data!A:C,3,0),"0")</f>
        <v>1</v>
      </c>
    </row>
    <row r="4" spans="1:6" ht="29.25" customHeight="1" x14ac:dyDescent="0.2">
      <c r="A4" s="26" t="s">
        <v>26</v>
      </c>
      <c r="B4" s="191" t="s">
        <v>465</v>
      </c>
      <c r="C4" s="192"/>
      <c r="D4" s="28" t="s">
        <v>27</v>
      </c>
      <c r="E4" s="28" t="s">
        <v>462</v>
      </c>
      <c r="F4" s="29" t="s">
        <v>463</v>
      </c>
    </row>
    <row r="5" spans="1:6" x14ac:dyDescent="0.2">
      <c r="A5" s="19">
        <v>1</v>
      </c>
      <c r="B5" s="181" t="s">
        <v>0</v>
      </c>
      <c r="C5" s="182"/>
      <c r="D5" s="14">
        <f>D36</f>
        <v>1808</v>
      </c>
      <c r="E5" s="15">
        <f>E36+E67+IFERROR($E$105/$D$105*D5,0)</f>
        <v>13640.852602587727</v>
      </c>
      <c r="F5" s="20">
        <f>IF(OR(D5=0,E5=0),"",ROUND(E5/D5,2))</f>
        <v>7.54</v>
      </c>
    </row>
    <row r="6" spans="1:6" x14ac:dyDescent="0.2">
      <c r="A6" s="19">
        <v>2</v>
      </c>
      <c r="B6" s="181" t="s">
        <v>1</v>
      </c>
      <c r="C6" s="182"/>
      <c r="D6" s="14">
        <f t="shared" ref="D6:D32" si="0">D37</f>
        <v>0</v>
      </c>
      <c r="E6" s="17">
        <f t="shared" ref="E6:E32" si="1">E37+E68+IFERROR($E$105/$D$105*D6,0)</f>
        <v>0</v>
      </c>
      <c r="F6" s="21" t="str">
        <f t="shared" ref="F6:F33" si="2">IF(OR(D6=0,E6=0),"",ROUND(E6/D6,2))</f>
        <v/>
      </c>
    </row>
    <row r="7" spans="1:6" ht="14.25" customHeight="1" x14ac:dyDescent="0.2">
      <c r="A7" s="19">
        <v>3</v>
      </c>
      <c r="B7" s="181" t="s">
        <v>2</v>
      </c>
      <c r="C7" s="182"/>
      <c r="D7" s="14">
        <f t="shared" si="0"/>
        <v>84832</v>
      </c>
      <c r="E7" s="17">
        <f t="shared" si="1"/>
        <v>640035.11945947027</v>
      </c>
      <c r="F7" s="21">
        <f t="shared" si="2"/>
        <v>7.54</v>
      </c>
    </row>
    <row r="8" spans="1:6" ht="14.25" customHeight="1" x14ac:dyDescent="0.2">
      <c r="A8" s="19">
        <v>4</v>
      </c>
      <c r="B8" s="181" t="s">
        <v>3</v>
      </c>
      <c r="C8" s="182"/>
      <c r="D8" s="14">
        <f t="shared" si="0"/>
        <v>76768</v>
      </c>
      <c r="E8" s="17">
        <f t="shared" si="1"/>
        <v>579194.75917890191</v>
      </c>
      <c r="F8" s="21">
        <f t="shared" si="2"/>
        <v>7.54</v>
      </c>
    </row>
    <row r="9" spans="1:6" x14ac:dyDescent="0.2">
      <c r="A9" s="19">
        <v>5</v>
      </c>
      <c r="B9" s="181" t="s">
        <v>4</v>
      </c>
      <c r="C9" s="182"/>
      <c r="D9" s="14">
        <f t="shared" si="0"/>
        <v>0</v>
      </c>
      <c r="E9" s="17">
        <f t="shared" si="1"/>
        <v>0</v>
      </c>
      <c r="F9" s="21" t="str">
        <f t="shared" si="2"/>
        <v/>
      </c>
    </row>
    <row r="10" spans="1:6" x14ac:dyDescent="0.2">
      <c r="A10" s="19">
        <v>6</v>
      </c>
      <c r="B10" s="181" t="s">
        <v>5</v>
      </c>
      <c r="C10" s="182"/>
      <c r="D10" s="14">
        <f t="shared" si="0"/>
        <v>656</v>
      </c>
      <c r="E10" s="17">
        <f t="shared" si="1"/>
        <v>4949.2297053636885</v>
      </c>
      <c r="F10" s="21">
        <f t="shared" si="2"/>
        <v>7.54</v>
      </c>
    </row>
    <row r="11" spans="1:6" x14ac:dyDescent="0.2">
      <c r="A11" s="19">
        <v>7</v>
      </c>
      <c r="B11" s="181" t="s">
        <v>6</v>
      </c>
      <c r="C11" s="182"/>
      <c r="D11" s="14">
        <f t="shared" si="0"/>
        <v>50576</v>
      </c>
      <c r="E11" s="17">
        <f t="shared" si="1"/>
        <v>381582.22191840538</v>
      </c>
      <c r="F11" s="21">
        <f t="shared" si="2"/>
        <v>7.54</v>
      </c>
    </row>
    <row r="12" spans="1:6" x14ac:dyDescent="0.2">
      <c r="A12" s="19">
        <v>8</v>
      </c>
      <c r="B12" s="181" t="s">
        <v>7</v>
      </c>
      <c r="C12" s="182"/>
      <c r="D12" s="14">
        <f t="shared" si="0"/>
        <v>0</v>
      </c>
      <c r="E12" s="17">
        <f t="shared" si="1"/>
        <v>0</v>
      </c>
      <c r="F12" s="21" t="str">
        <f t="shared" si="2"/>
        <v/>
      </c>
    </row>
    <row r="13" spans="1:6" x14ac:dyDescent="0.2">
      <c r="A13" s="19">
        <v>9</v>
      </c>
      <c r="B13" s="181" t="s">
        <v>8</v>
      </c>
      <c r="C13" s="182"/>
      <c r="D13" s="14">
        <f t="shared" si="0"/>
        <v>7872</v>
      </c>
      <c r="E13" s="17">
        <f t="shared" si="1"/>
        <v>59391.756464364269</v>
      </c>
      <c r="F13" s="21">
        <f t="shared" si="2"/>
        <v>7.54</v>
      </c>
    </row>
    <row r="14" spans="1:6" x14ac:dyDescent="0.2">
      <c r="A14" s="19">
        <v>10</v>
      </c>
      <c r="B14" s="181" t="s">
        <v>9</v>
      </c>
      <c r="C14" s="182"/>
      <c r="D14" s="14">
        <f t="shared" si="0"/>
        <v>0</v>
      </c>
      <c r="E14" s="17">
        <f t="shared" si="1"/>
        <v>0</v>
      </c>
      <c r="F14" s="21" t="str">
        <f t="shared" si="2"/>
        <v/>
      </c>
    </row>
    <row r="15" spans="1:6" x14ac:dyDescent="0.2">
      <c r="A15" s="19">
        <v>11</v>
      </c>
      <c r="B15" s="181" t="s">
        <v>10</v>
      </c>
      <c r="C15" s="182"/>
      <c r="D15" s="14">
        <f t="shared" si="0"/>
        <v>9440</v>
      </c>
      <c r="E15" s="17">
        <f t="shared" si="1"/>
        <v>71222.354296696984</v>
      </c>
      <c r="F15" s="21">
        <f t="shared" si="2"/>
        <v>7.54</v>
      </c>
    </row>
    <row r="16" spans="1:6" ht="14.25" customHeight="1" x14ac:dyDescent="0.2">
      <c r="A16" s="19">
        <v>12</v>
      </c>
      <c r="B16" s="181" t="s">
        <v>11</v>
      </c>
      <c r="C16" s="182"/>
      <c r="D16" s="14">
        <f t="shared" si="0"/>
        <v>110976</v>
      </c>
      <c r="E16" s="17">
        <f t="shared" si="1"/>
        <v>837285.00576591573</v>
      </c>
      <c r="F16" s="21">
        <f t="shared" si="2"/>
        <v>7.54</v>
      </c>
    </row>
    <row r="17" spans="1:6" x14ac:dyDescent="0.2">
      <c r="A17" s="19">
        <v>13</v>
      </c>
      <c r="B17" s="181" t="s">
        <v>12</v>
      </c>
      <c r="C17" s="182"/>
      <c r="D17" s="14">
        <f t="shared" si="0"/>
        <v>5232</v>
      </c>
      <c r="E17" s="17">
        <f t="shared" si="1"/>
        <v>39473.953991559174</v>
      </c>
      <c r="F17" s="21">
        <f t="shared" si="2"/>
        <v>7.54</v>
      </c>
    </row>
    <row r="18" spans="1:6" ht="14.25" customHeight="1" x14ac:dyDescent="0.2">
      <c r="A18" s="19">
        <v>14</v>
      </c>
      <c r="B18" s="181" t="s">
        <v>464</v>
      </c>
      <c r="C18" s="182"/>
      <c r="D18" s="14">
        <f t="shared" si="0"/>
        <v>63536</v>
      </c>
      <c r="E18" s="17">
        <f t="shared" si="1"/>
        <v>479362.97951217578</v>
      </c>
      <c r="F18" s="21">
        <f t="shared" si="2"/>
        <v>7.54</v>
      </c>
    </row>
    <row r="19" spans="1:6" x14ac:dyDescent="0.2">
      <c r="A19" s="19">
        <v>15</v>
      </c>
      <c r="B19" s="181" t="s">
        <v>13</v>
      </c>
      <c r="C19" s="182"/>
      <c r="D19" s="14">
        <f t="shared" si="0"/>
        <v>0</v>
      </c>
      <c r="E19" s="17">
        <f t="shared" si="1"/>
        <v>0</v>
      </c>
      <c r="F19" s="21" t="str">
        <f t="shared" si="2"/>
        <v/>
      </c>
    </row>
    <row r="20" spans="1:6" x14ac:dyDescent="0.2">
      <c r="A20" s="19">
        <v>16</v>
      </c>
      <c r="B20" s="181" t="s">
        <v>14</v>
      </c>
      <c r="C20" s="182"/>
      <c r="D20" s="14">
        <f t="shared" si="0"/>
        <v>55376</v>
      </c>
      <c r="E20" s="17">
        <f t="shared" si="1"/>
        <v>417797.31732350553</v>
      </c>
      <c r="F20" s="21">
        <f t="shared" si="2"/>
        <v>7.54</v>
      </c>
    </row>
    <row r="21" spans="1:6" x14ac:dyDescent="0.2">
      <c r="A21" s="19">
        <v>17</v>
      </c>
      <c r="B21" s="181" t="s">
        <v>15</v>
      </c>
      <c r="C21" s="182"/>
      <c r="D21" s="14">
        <f t="shared" si="0"/>
        <v>0</v>
      </c>
      <c r="E21" s="17">
        <f t="shared" si="1"/>
        <v>0</v>
      </c>
      <c r="F21" s="21" t="str">
        <f t="shared" si="2"/>
        <v/>
      </c>
    </row>
    <row r="22" spans="1:6" x14ac:dyDescent="0.2">
      <c r="A22" s="19">
        <v>18</v>
      </c>
      <c r="B22" s="181" t="s">
        <v>16</v>
      </c>
      <c r="C22" s="182"/>
      <c r="D22" s="14">
        <f t="shared" si="0"/>
        <v>127680</v>
      </c>
      <c r="E22" s="17">
        <f t="shared" si="1"/>
        <v>963312.53777566436</v>
      </c>
      <c r="F22" s="21">
        <f t="shared" si="2"/>
        <v>7.54</v>
      </c>
    </row>
    <row r="23" spans="1:6" x14ac:dyDescent="0.2">
      <c r="A23" s="19">
        <v>19</v>
      </c>
      <c r="B23" s="181" t="s">
        <v>17</v>
      </c>
      <c r="C23" s="182"/>
      <c r="D23" s="14">
        <f t="shared" si="0"/>
        <v>60656</v>
      </c>
      <c r="E23" s="17">
        <f t="shared" si="1"/>
        <v>457634.92226911569</v>
      </c>
      <c r="F23" s="21">
        <f t="shared" si="2"/>
        <v>7.54</v>
      </c>
    </row>
    <row r="24" spans="1:6" x14ac:dyDescent="0.2">
      <c r="A24" s="19">
        <v>20</v>
      </c>
      <c r="B24" s="181" t="s">
        <v>18</v>
      </c>
      <c r="C24" s="182"/>
      <c r="D24" s="14">
        <f t="shared" si="0"/>
        <v>0</v>
      </c>
      <c r="E24" s="17">
        <f t="shared" si="1"/>
        <v>0</v>
      </c>
      <c r="F24" s="21" t="str">
        <f t="shared" si="2"/>
        <v/>
      </c>
    </row>
    <row r="25" spans="1:6" ht="14.25" customHeight="1" x14ac:dyDescent="0.2">
      <c r="A25" s="19">
        <v>21</v>
      </c>
      <c r="B25" s="181" t="s">
        <v>461</v>
      </c>
      <c r="C25" s="182"/>
      <c r="D25" s="14">
        <f t="shared" si="0"/>
        <v>0</v>
      </c>
      <c r="E25" s="17">
        <f t="shared" si="1"/>
        <v>0</v>
      </c>
      <c r="F25" s="21" t="str">
        <f t="shared" si="2"/>
        <v/>
      </c>
    </row>
    <row r="26" spans="1:6" x14ac:dyDescent="0.2">
      <c r="A26" s="19">
        <v>22</v>
      </c>
      <c r="B26" s="181" t="s">
        <v>19</v>
      </c>
      <c r="C26" s="182"/>
      <c r="D26" s="14">
        <f t="shared" si="0"/>
        <v>0</v>
      </c>
      <c r="E26" s="17">
        <f t="shared" si="1"/>
        <v>0</v>
      </c>
      <c r="F26" s="21" t="str">
        <f t="shared" si="2"/>
        <v/>
      </c>
    </row>
    <row r="27" spans="1:6" x14ac:dyDescent="0.2">
      <c r="A27" s="19">
        <v>23</v>
      </c>
      <c r="B27" s="181" t="s">
        <v>20</v>
      </c>
      <c r="C27" s="182"/>
      <c r="D27" s="14">
        <f t="shared" si="0"/>
        <v>27696</v>
      </c>
      <c r="E27" s="17">
        <f t="shared" si="1"/>
        <v>208959.60048742793</v>
      </c>
      <c r="F27" s="21">
        <f t="shared" si="2"/>
        <v>7.54</v>
      </c>
    </row>
    <row r="28" spans="1:6" x14ac:dyDescent="0.2">
      <c r="A28" s="19">
        <v>24</v>
      </c>
      <c r="B28" s="181" t="s">
        <v>21</v>
      </c>
      <c r="C28" s="182"/>
      <c r="D28" s="14">
        <f t="shared" si="0"/>
        <v>12624</v>
      </c>
      <c r="E28" s="17">
        <f t="shared" si="1"/>
        <v>95245.200915413414</v>
      </c>
      <c r="F28" s="21">
        <f t="shared" si="2"/>
        <v>7.54</v>
      </c>
    </row>
    <row r="29" spans="1:6" x14ac:dyDescent="0.2">
      <c r="A29" s="19">
        <v>25</v>
      </c>
      <c r="B29" s="181" t="s">
        <v>22</v>
      </c>
      <c r="C29" s="182"/>
      <c r="D29" s="14">
        <f t="shared" si="0"/>
        <v>92640</v>
      </c>
      <c r="E29" s="17">
        <f t="shared" si="1"/>
        <v>698944.34131843317</v>
      </c>
      <c r="F29" s="21">
        <f t="shared" si="2"/>
        <v>7.54</v>
      </c>
    </row>
    <row r="30" spans="1:6" x14ac:dyDescent="0.2">
      <c r="A30" s="19">
        <v>26</v>
      </c>
      <c r="B30" s="181" t="s">
        <v>23</v>
      </c>
      <c r="C30" s="182"/>
      <c r="D30" s="14">
        <f t="shared" si="0"/>
        <v>19136</v>
      </c>
      <c r="E30" s="17">
        <f t="shared" si="1"/>
        <v>144374.84701499931</v>
      </c>
      <c r="F30" s="21">
        <f t="shared" si="2"/>
        <v>7.54</v>
      </c>
    </row>
    <row r="31" spans="1:6" x14ac:dyDescent="0.2">
      <c r="A31" s="19">
        <v>28</v>
      </c>
      <c r="B31" s="181" t="s">
        <v>24</v>
      </c>
      <c r="C31" s="182"/>
      <c r="D31" s="14">
        <f t="shared" si="0"/>
        <v>0</v>
      </c>
      <c r="E31" s="17">
        <f t="shared" si="1"/>
        <v>0</v>
      </c>
      <c r="F31" s="21" t="str">
        <f t="shared" si="2"/>
        <v/>
      </c>
    </row>
    <row r="32" spans="1:6" ht="15.75" customHeight="1" thickBot="1" x14ac:dyDescent="0.25">
      <c r="A32" s="22">
        <v>29</v>
      </c>
      <c r="B32" s="183" t="s">
        <v>25</v>
      </c>
      <c r="C32" s="184"/>
      <c r="D32" s="23">
        <f t="shared" si="0"/>
        <v>0</v>
      </c>
      <c r="E32" s="24">
        <f t="shared" si="1"/>
        <v>0</v>
      </c>
      <c r="F32" s="25" t="str">
        <f t="shared" si="2"/>
        <v/>
      </c>
    </row>
    <row r="33" spans="1:6" x14ac:dyDescent="0.2">
      <c r="B33" s="30" t="s">
        <v>35</v>
      </c>
      <c r="C33" s="30"/>
      <c r="D33" s="59">
        <f>SUM(D5:D32)</f>
        <v>807504</v>
      </c>
      <c r="E33" s="31">
        <f>SUM(E5:E32)</f>
        <v>6092406.9999999991</v>
      </c>
      <c r="F33" s="32">
        <f t="shared" si="2"/>
        <v>7.54</v>
      </c>
    </row>
    <row r="34" spans="1:6" ht="15" thickBot="1" x14ac:dyDescent="0.25">
      <c r="F34" s="66"/>
    </row>
    <row r="35" spans="1:6" ht="29.25" customHeight="1" x14ac:dyDescent="0.2">
      <c r="A35" s="26" t="s">
        <v>26</v>
      </c>
      <c r="B35" s="191" t="s">
        <v>466</v>
      </c>
      <c r="C35" s="192"/>
      <c r="D35" s="28" t="s">
        <v>27</v>
      </c>
      <c r="E35" s="28" t="s">
        <v>462</v>
      </c>
      <c r="F35" s="29" t="s">
        <v>463</v>
      </c>
    </row>
    <row r="36" spans="1:6" x14ac:dyDescent="0.2">
      <c r="A36" s="19">
        <v>1</v>
      </c>
      <c r="B36" s="181" t="s">
        <v>0</v>
      </c>
      <c r="C36" s="182"/>
      <c r="D36" s="14">
        <f>IF(F3="1",SUMIF(Data!A:A,'56'!$A$2,Data!CU:CU),0)</f>
        <v>1808</v>
      </c>
      <c r="E36" s="15">
        <f>IF(F3="1",SUMIF(Data!$A:$A,$A$2,Data!IO:IO),0)</f>
        <v>1133</v>
      </c>
      <c r="F36" s="20">
        <f t="shared" ref="F36:F64" si="3">IF(OR(D36=0,E36=0),"",ROUND(E36/D36,2))</f>
        <v>0.63</v>
      </c>
    </row>
    <row r="37" spans="1:6" x14ac:dyDescent="0.2">
      <c r="A37" s="19">
        <v>2</v>
      </c>
      <c r="B37" s="181" t="s">
        <v>1</v>
      </c>
      <c r="C37" s="182"/>
      <c r="D37" s="14">
        <f>IF(F3="1",SUMIF(Data!A:A,'56'!$A$2,Data!CV:CV),0)</f>
        <v>0</v>
      </c>
      <c r="E37" s="17">
        <f>IF(F3="1",SUMIF(Data!$A:$A,$A$2,Data!IP:IP),0)</f>
        <v>0</v>
      </c>
      <c r="F37" s="21" t="str">
        <f t="shared" si="3"/>
        <v/>
      </c>
    </row>
    <row r="38" spans="1:6" ht="14.25" customHeight="1" x14ac:dyDescent="0.2">
      <c r="A38" s="19">
        <v>3</v>
      </c>
      <c r="B38" s="181" t="s">
        <v>2</v>
      </c>
      <c r="C38" s="182"/>
      <c r="D38" s="14">
        <f>IF(F3="1",SUMIF(Data!A:A,'56'!$A$2,Data!CW:CW),0)</f>
        <v>84832</v>
      </c>
      <c r="E38" s="17">
        <f>IF($F$3="1",SUMIF(Data!$A:$A,$A$2,Data!IQ:IQ),0)</f>
        <v>53166</v>
      </c>
      <c r="F38" s="21">
        <f t="shared" si="3"/>
        <v>0.63</v>
      </c>
    </row>
    <row r="39" spans="1:6" ht="14.25" customHeight="1" x14ac:dyDescent="0.2">
      <c r="A39" s="19">
        <v>4</v>
      </c>
      <c r="B39" s="181" t="s">
        <v>3</v>
      </c>
      <c r="C39" s="182"/>
      <c r="D39" s="14">
        <f>IF(F3="1",SUMIF(Data!A:A,'56'!$A$2,Data!CX:CX),0)</f>
        <v>76768</v>
      </c>
      <c r="E39" s="17">
        <f>IF($F$3="1",SUMIF(Data!$A:$A,$A$2,Data!IR:IR),0)</f>
        <v>48112</v>
      </c>
      <c r="F39" s="21">
        <f t="shared" si="3"/>
        <v>0.63</v>
      </c>
    </row>
    <row r="40" spans="1:6" x14ac:dyDescent="0.2">
      <c r="A40" s="19">
        <v>5</v>
      </c>
      <c r="B40" s="181" t="s">
        <v>4</v>
      </c>
      <c r="C40" s="182"/>
      <c r="D40" s="14">
        <f>IF(F3="1",SUMIF(Data!A:A,'56'!$A$2,Data!CY:CY),0)</f>
        <v>0</v>
      </c>
      <c r="E40" s="17">
        <f>IF($F$3="1",SUMIF(Data!$A:$A,$A$2,Data!IS:IS),0)</f>
        <v>0</v>
      </c>
      <c r="F40" s="21" t="str">
        <f t="shared" si="3"/>
        <v/>
      </c>
    </row>
    <row r="41" spans="1:6" x14ac:dyDescent="0.2">
      <c r="A41" s="19">
        <v>6</v>
      </c>
      <c r="B41" s="181" t="s">
        <v>5</v>
      </c>
      <c r="C41" s="182"/>
      <c r="D41" s="14">
        <f>IF(F3="1",SUMIF(Data!A:A,'56'!$A$2,Data!CZ:CZ),0)</f>
        <v>656</v>
      </c>
      <c r="E41" s="17">
        <f>IF($F$3="1",SUMIF(Data!$A:$A,$A$2,Data!IT:IT),0)</f>
        <v>411</v>
      </c>
      <c r="F41" s="21">
        <f t="shared" si="3"/>
        <v>0.63</v>
      </c>
    </row>
    <row r="42" spans="1:6" x14ac:dyDescent="0.2">
      <c r="A42" s="19">
        <v>7</v>
      </c>
      <c r="B42" s="181" t="s">
        <v>6</v>
      </c>
      <c r="C42" s="182"/>
      <c r="D42" s="14">
        <f>IF(F3="1",SUMIF(Data!A:A,'56'!$A$2,Data!DA:DA),0)</f>
        <v>50576</v>
      </c>
      <c r="E42" s="17">
        <f>IF($F$3="1",SUMIF(Data!$A:$A,$A$2,Data!IU:IU),0)</f>
        <v>31696</v>
      </c>
      <c r="F42" s="21">
        <f t="shared" si="3"/>
        <v>0.63</v>
      </c>
    </row>
    <row r="43" spans="1:6" x14ac:dyDescent="0.2">
      <c r="A43" s="19">
        <v>8</v>
      </c>
      <c r="B43" s="181" t="s">
        <v>7</v>
      </c>
      <c r="C43" s="182"/>
      <c r="D43" s="14">
        <f>IF(F3="1",SUMIF(Data!A:A,'56'!$A$2,Data!DB:DB),0)</f>
        <v>0</v>
      </c>
      <c r="E43" s="17">
        <f>IF($F$3="1",SUMIF(Data!$A:$A,$A$2,Data!IV:IV),0)</f>
        <v>0</v>
      </c>
      <c r="F43" s="21" t="str">
        <f t="shared" si="3"/>
        <v/>
      </c>
    </row>
    <row r="44" spans="1:6" x14ac:dyDescent="0.2">
      <c r="A44" s="19">
        <v>9</v>
      </c>
      <c r="B44" s="181" t="s">
        <v>8</v>
      </c>
      <c r="C44" s="182"/>
      <c r="D44" s="14">
        <f>IF(F3="1",SUMIF(Data!A:A,'56'!$A$2,Data!DC:DC),0)</f>
        <v>7872</v>
      </c>
      <c r="E44" s="17">
        <f>IF($F$3="1",SUMIF(Data!$A:$A,$A$2,Data!IW:IW),0)</f>
        <v>4934</v>
      </c>
      <c r="F44" s="21">
        <f t="shared" si="3"/>
        <v>0.63</v>
      </c>
    </row>
    <row r="45" spans="1:6" x14ac:dyDescent="0.2">
      <c r="A45" s="19">
        <v>10</v>
      </c>
      <c r="B45" s="181" t="s">
        <v>9</v>
      </c>
      <c r="C45" s="182"/>
      <c r="D45" s="14">
        <f>IF(F3="1",SUMIF(Data!A:A,'56'!$A$2,Data!DD:DD),0)</f>
        <v>0</v>
      </c>
      <c r="E45" s="17">
        <f>IF($F$3="1",SUMIF(Data!$A:$A,$A$2,Data!IX:IX),0)</f>
        <v>0</v>
      </c>
      <c r="F45" s="21" t="str">
        <f t="shared" si="3"/>
        <v/>
      </c>
    </row>
    <row r="46" spans="1:6" x14ac:dyDescent="0.2">
      <c r="A46" s="19">
        <v>11</v>
      </c>
      <c r="B46" s="181" t="s">
        <v>10</v>
      </c>
      <c r="C46" s="182"/>
      <c r="D46" s="14">
        <f>IF(F3="1",SUMIF(Data!A:A,'56'!$A$2,Data!DE:DE),0)</f>
        <v>9440</v>
      </c>
      <c r="E46" s="17">
        <f>IF($F$3="1",SUMIF(Data!$A:$A,$A$2,Data!IY:IY),0)</f>
        <v>5916</v>
      </c>
      <c r="F46" s="21">
        <f t="shared" si="3"/>
        <v>0.63</v>
      </c>
    </row>
    <row r="47" spans="1:6" ht="14.25" customHeight="1" x14ac:dyDescent="0.2">
      <c r="A47" s="19">
        <v>12</v>
      </c>
      <c r="B47" s="181" t="s">
        <v>11</v>
      </c>
      <c r="C47" s="182"/>
      <c r="D47" s="14">
        <f>IF(F3="1",SUMIF(Data!A:A,'56'!$A$2,Data!DF:DF),0)</f>
        <v>110976</v>
      </c>
      <c r="E47" s="17">
        <f>IF($F$3="1",SUMIF(Data!$A:$A,$A$2,Data!IZ:IZ),0)</f>
        <v>69551</v>
      </c>
      <c r="F47" s="21">
        <f t="shared" si="3"/>
        <v>0.63</v>
      </c>
    </row>
    <row r="48" spans="1:6" x14ac:dyDescent="0.2">
      <c r="A48" s="19">
        <v>13</v>
      </c>
      <c r="B48" s="181" t="s">
        <v>12</v>
      </c>
      <c r="C48" s="182"/>
      <c r="D48" s="14">
        <f>IF(F3="1",SUMIF(Data!A:A,'56'!$A$2,Data!DG:DG),0)</f>
        <v>5232</v>
      </c>
      <c r="E48" s="17">
        <f>IF($F$3="1",SUMIF(Data!$A:$A,$A$2,Data!JA:JA),0)</f>
        <v>3279</v>
      </c>
      <c r="F48" s="21">
        <f t="shared" si="3"/>
        <v>0.63</v>
      </c>
    </row>
    <row r="49" spans="1:6" ht="14.25" customHeight="1" x14ac:dyDescent="0.2">
      <c r="A49" s="19">
        <v>14</v>
      </c>
      <c r="B49" s="181" t="s">
        <v>464</v>
      </c>
      <c r="C49" s="182"/>
      <c r="D49" s="14">
        <f>IF(F3="1",SUMIF(Data!A:A,'56'!$A$2,Data!DH:DH),0)</f>
        <v>63536</v>
      </c>
      <c r="E49" s="17">
        <f>IF($F$3="1",SUMIF(Data!$A:$A,$A$2,Data!JB:JB),0)</f>
        <v>39820</v>
      </c>
      <c r="F49" s="21">
        <f t="shared" si="3"/>
        <v>0.63</v>
      </c>
    </row>
    <row r="50" spans="1:6" x14ac:dyDescent="0.2">
      <c r="A50" s="19">
        <v>15</v>
      </c>
      <c r="B50" s="181" t="s">
        <v>13</v>
      </c>
      <c r="C50" s="182"/>
      <c r="D50" s="14">
        <f>IF(F3="1",SUMIF(Data!A:A,'56'!$A$2,Data!DI:DI),0)</f>
        <v>0</v>
      </c>
      <c r="E50" s="17">
        <f>IF($F$3="1",SUMIF(Data!$A:$A,$A$2,Data!JC:JC),0)</f>
        <v>0</v>
      </c>
      <c r="F50" s="21" t="str">
        <f t="shared" si="3"/>
        <v/>
      </c>
    </row>
    <row r="51" spans="1:6" x14ac:dyDescent="0.2">
      <c r="A51" s="19">
        <v>16</v>
      </c>
      <c r="B51" s="181" t="s">
        <v>14</v>
      </c>
      <c r="C51" s="182"/>
      <c r="D51" s="14">
        <f>IF(F3="1",SUMIF(Data!A:A,'56'!$A$2,Data!DJ:DJ),0)</f>
        <v>55376</v>
      </c>
      <c r="E51" s="17">
        <f>IF($F$3="1",SUMIF(Data!$A:$A,$A$2,Data!JD:JD),0)</f>
        <v>34705</v>
      </c>
      <c r="F51" s="21">
        <f t="shared" si="3"/>
        <v>0.63</v>
      </c>
    </row>
    <row r="52" spans="1:6" x14ac:dyDescent="0.2">
      <c r="A52" s="19">
        <v>17</v>
      </c>
      <c r="B52" s="181" t="s">
        <v>15</v>
      </c>
      <c r="C52" s="182"/>
      <c r="D52" s="14">
        <f>IF(F3="1",SUMIF(Data!A:A,'56'!$A$2,Data!DK:DK),0)</f>
        <v>0</v>
      </c>
      <c r="E52" s="17">
        <f>IF($F$3="1",SUMIF(Data!$A:$A,$A$2,Data!JE:JE),0)</f>
        <v>0</v>
      </c>
      <c r="F52" s="21" t="str">
        <f t="shared" si="3"/>
        <v/>
      </c>
    </row>
    <row r="53" spans="1:6" x14ac:dyDescent="0.2">
      <c r="A53" s="19">
        <v>18</v>
      </c>
      <c r="B53" s="181" t="s">
        <v>16</v>
      </c>
      <c r="C53" s="182"/>
      <c r="D53" s="14">
        <f>IF(F3="1",SUMIF(Data!A:A,'56'!$A$2,Data!DL:DL),0)</f>
        <v>127680</v>
      </c>
      <c r="E53" s="17">
        <f>IF($F$3="1",SUMIF(Data!$A:$A,$A$2,Data!JF:JF),0)</f>
        <v>80020</v>
      </c>
      <c r="F53" s="21">
        <f t="shared" si="3"/>
        <v>0.63</v>
      </c>
    </row>
    <row r="54" spans="1:6" x14ac:dyDescent="0.2">
      <c r="A54" s="19">
        <v>19</v>
      </c>
      <c r="B54" s="181" t="s">
        <v>17</v>
      </c>
      <c r="C54" s="182"/>
      <c r="D54" s="14">
        <f>IF(F3="1",SUMIF(Data!A:A,'56'!$A$2,Data!DM:DM),0)</f>
        <v>60656</v>
      </c>
      <c r="E54" s="17">
        <f>IF($F$3="1",SUMIF(Data!$A:$A,$A$2,Data!JG:JG),0)</f>
        <v>38014</v>
      </c>
      <c r="F54" s="21">
        <f t="shared" si="3"/>
        <v>0.63</v>
      </c>
    </row>
    <row r="55" spans="1:6" x14ac:dyDescent="0.2">
      <c r="A55" s="19">
        <v>20</v>
      </c>
      <c r="B55" s="181" t="s">
        <v>18</v>
      </c>
      <c r="C55" s="182"/>
      <c r="D55" s="14">
        <f>IF(F3="1",SUMIF(Data!A:A,'56'!$A$2,Data!DN:DN),0)</f>
        <v>0</v>
      </c>
      <c r="E55" s="17">
        <f>IF($F$3="1",SUMIF(Data!$A:$A,$A$2,Data!JH:JH),0)</f>
        <v>0</v>
      </c>
      <c r="F55" s="21" t="str">
        <f t="shared" si="3"/>
        <v/>
      </c>
    </row>
    <row r="56" spans="1:6" ht="14.25" customHeight="1" x14ac:dyDescent="0.2">
      <c r="A56" s="19">
        <v>21</v>
      </c>
      <c r="B56" s="181" t="s">
        <v>461</v>
      </c>
      <c r="C56" s="182"/>
      <c r="D56" s="14">
        <f>IF(F3="1",SUMIF(Data!A:A,'56'!$A$2,Data!DO:DO),0)</f>
        <v>0</v>
      </c>
      <c r="E56" s="17">
        <f>IF($F$3="1",SUMIF(Data!$A:$A,$A$2,Data!JI:JI),0)</f>
        <v>0</v>
      </c>
      <c r="F56" s="21" t="str">
        <f t="shared" si="3"/>
        <v/>
      </c>
    </row>
    <row r="57" spans="1:6" x14ac:dyDescent="0.2">
      <c r="A57" s="19">
        <v>22</v>
      </c>
      <c r="B57" s="181" t="s">
        <v>19</v>
      </c>
      <c r="C57" s="182"/>
      <c r="D57" s="14">
        <f>IF(F3="1",SUMIF(Data!A:A,'56'!$A$2,Data!DP:DP),0)</f>
        <v>0</v>
      </c>
      <c r="E57" s="17">
        <f>IF($F$3="1",SUMIF(Data!$A:$A,$A$2,Data!JJ:JJ),0)</f>
        <v>0</v>
      </c>
      <c r="F57" s="21" t="str">
        <f t="shared" si="3"/>
        <v/>
      </c>
    </row>
    <row r="58" spans="1:6" x14ac:dyDescent="0.2">
      <c r="A58" s="19">
        <v>23</v>
      </c>
      <c r="B58" s="181" t="s">
        <v>20</v>
      </c>
      <c r="C58" s="182"/>
      <c r="D58" s="14">
        <f>IF(F3="1",SUMIF(Data!A:A,'56'!$A$2,Data!DQ:DQ),0)</f>
        <v>27696</v>
      </c>
      <c r="E58" s="17">
        <f>IF($F$3="1",SUMIF(Data!$A:$A,$A$2,Data!JK:JK),0)</f>
        <v>17358</v>
      </c>
      <c r="F58" s="21">
        <f t="shared" si="3"/>
        <v>0.63</v>
      </c>
    </row>
    <row r="59" spans="1:6" x14ac:dyDescent="0.2">
      <c r="A59" s="19">
        <v>24</v>
      </c>
      <c r="B59" s="181" t="s">
        <v>21</v>
      </c>
      <c r="C59" s="182"/>
      <c r="D59" s="14">
        <f>IF(F3="1",SUMIF(Data!A:A,'56'!$A$2,Data!DR:DR),0)</f>
        <v>12624</v>
      </c>
      <c r="E59" s="17">
        <f>IF($F$3="1",SUMIF(Data!$A:$A,$A$2,Data!JL:JL),0)</f>
        <v>7912</v>
      </c>
      <c r="F59" s="21">
        <f t="shared" si="3"/>
        <v>0.63</v>
      </c>
    </row>
    <row r="60" spans="1:6" x14ac:dyDescent="0.2">
      <c r="A60" s="19">
        <v>25</v>
      </c>
      <c r="B60" s="181" t="s">
        <v>22</v>
      </c>
      <c r="C60" s="182"/>
      <c r="D60" s="14">
        <f>IF(F3="1",SUMIF(Data!A:A,'56'!$A$2,Data!DS:DS),0)</f>
        <v>92640</v>
      </c>
      <c r="E60" s="17">
        <f>IF($F$3="1",SUMIF(Data!$A:$A,$A$2,Data!JM:JM),0)</f>
        <v>58059</v>
      </c>
      <c r="F60" s="21">
        <f t="shared" si="3"/>
        <v>0.63</v>
      </c>
    </row>
    <row r="61" spans="1:6" x14ac:dyDescent="0.2">
      <c r="A61" s="19">
        <v>26</v>
      </c>
      <c r="B61" s="181" t="s">
        <v>23</v>
      </c>
      <c r="C61" s="182"/>
      <c r="D61" s="14">
        <f>IF(F3="1",SUMIF(Data!A:A,'56'!$A$2,Data!DT:DT),0)</f>
        <v>19136</v>
      </c>
      <c r="E61" s="17">
        <f>IF($F$3="1",SUMIF(Data!$A:$A,$A$2,Data!JN:JN),0)</f>
        <v>11993</v>
      </c>
      <c r="F61" s="21">
        <f t="shared" si="3"/>
        <v>0.63</v>
      </c>
    </row>
    <row r="62" spans="1:6" x14ac:dyDescent="0.2">
      <c r="A62" s="19">
        <v>28</v>
      </c>
      <c r="B62" s="181" t="s">
        <v>24</v>
      </c>
      <c r="C62" s="182"/>
      <c r="D62" s="14">
        <f>IF(F3="1",SUMIF(Data!A:A,'56'!$A$2,Data!DV:DV),0)</f>
        <v>0</v>
      </c>
      <c r="E62" s="17">
        <f>IF($F$3="1",SUMIF(Data!$A:$A,$A$2,Data!JP:JP),0)</f>
        <v>0</v>
      </c>
      <c r="F62" s="21" t="str">
        <f t="shared" si="3"/>
        <v/>
      </c>
    </row>
    <row r="63" spans="1:6" ht="15.75" customHeight="1" thickBot="1" x14ac:dyDescent="0.25">
      <c r="A63" s="22">
        <v>29</v>
      </c>
      <c r="B63" s="183" t="s">
        <v>25</v>
      </c>
      <c r="C63" s="184"/>
      <c r="D63" s="23">
        <f>IF(F3="1",SUMIF(Data!A:A,'56'!$A$2,Data!DW:DW),0)</f>
        <v>0</v>
      </c>
      <c r="E63" s="24">
        <f>IF($F$3="1",SUMIF(Data!$A:$A,$A$2,Data!JQ:JQ),0)</f>
        <v>0</v>
      </c>
      <c r="F63" s="25" t="str">
        <f t="shared" si="3"/>
        <v/>
      </c>
    </row>
    <row r="64" spans="1:6" x14ac:dyDescent="0.2">
      <c r="B64" s="30" t="s">
        <v>35</v>
      </c>
      <c r="C64" s="30"/>
      <c r="D64" s="59">
        <f>SUM(D36:D63)</f>
        <v>807504</v>
      </c>
      <c r="E64" s="31">
        <f>SUM(E36:E63)</f>
        <v>506079</v>
      </c>
      <c r="F64" s="32">
        <f t="shared" si="3"/>
        <v>0.63</v>
      </c>
    </row>
    <row r="65" spans="1:6" ht="15" thickBot="1" x14ac:dyDescent="0.25">
      <c r="F65" s="66"/>
    </row>
    <row r="66" spans="1:6" ht="29.25" customHeight="1" x14ac:dyDescent="0.2">
      <c r="A66" s="26" t="s">
        <v>26</v>
      </c>
      <c r="B66" s="191" t="s">
        <v>467</v>
      </c>
      <c r="C66" s="192"/>
      <c r="D66" s="28" t="s">
        <v>27</v>
      </c>
      <c r="E66" s="28" t="s">
        <v>462</v>
      </c>
      <c r="F66" s="29" t="s">
        <v>463</v>
      </c>
    </row>
    <row r="67" spans="1:6" x14ac:dyDescent="0.2">
      <c r="A67" s="19">
        <v>1</v>
      </c>
      <c r="B67" s="181" t="s">
        <v>0</v>
      </c>
      <c r="C67" s="182"/>
      <c r="D67" s="14">
        <f>D36</f>
        <v>1808</v>
      </c>
      <c r="E67" s="15">
        <f>IF(F3="1",SUMIF(Data!A:A,'56'!$A$2,Data!DY:DY),0)</f>
        <v>5741</v>
      </c>
      <c r="F67" s="20">
        <f t="shared" ref="F67:F95" si="4">IF(OR(D67=0,E67=0),"",ROUND(E67/D67,2))</f>
        <v>3.18</v>
      </c>
    </row>
    <row r="68" spans="1:6" x14ac:dyDescent="0.2">
      <c r="A68" s="19">
        <v>2</v>
      </c>
      <c r="B68" s="181" t="s">
        <v>1</v>
      </c>
      <c r="C68" s="182"/>
      <c r="D68" s="14">
        <f t="shared" ref="D68:D94" si="5">D37</f>
        <v>0</v>
      </c>
      <c r="E68" s="17">
        <f>IF(F3="1",SUMIF(Data!A:A,'56'!$A$2,Data!DZ:DZ),0)</f>
        <v>0</v>
      </c>
      <c r="F68" s="21" t="str">
        <f t="shared" si="4"/>
        <v/>
      </c>
    </row>
    <row r="69" spans="1:6" ht="14.25" customHeight="1" x14ac:dyDescent="0.2">
      <c r="A69" s="19">
        <v>3</v>
      </c>
      <c r="B69" s="181" t="s">
        <v>2</v>
      </c>
      <c r="C69" s="182"/>
      <c r="D69" s="14">
        <f t="shared" si="5"/>
        <v>84832</v>
      </c>
      <c r="E69" s="17">
        <f>IF(F3="1",SUMIF(Data!A:A,'56'!$A$2,Data!EA:EA),0)</f>
        <v>269366</v>
      </c>
      <c r="F69" s="21">
        <f t="shared" si="4"/>
        <v>3.18</v>
      </c>
    </row>
    <row r="70" spans="1:6" ht="14.25" customHeight="1" x14ac:dyDescent="0.2">
      <c r="A70" s="19">
        <v>4</v>
      </c>
      <c r="B70" s="181" t="s">
        <v>3</v>
      </c>
      <c r="C70" s="182"/>
      <c r="D70" s="14">
        <f t="shared" si="5"/>
        <v>76768</v>
      </c>
      <c r="E70" s="17">
        <f>IF(F3="1",SUMIF(Data!A:A,'56'!$A$2,Data!EB:EB),0)</f>
        <v>243761</v>
      </c>
      <c r="F70" s="21">
        <f t="shared" si="4"/>
        <v>3.18</v>
      </c>
    </row>
    <row r="71" spans="1:6" x14ac:dyDescent="0.2">
      <c r="A71" s="19">
        <v>5</v>
      </c>
      <c r="B71" s="181" t="s">
        <v>4</v>
      </c>
      <c r="C71" s="182"/>
      <c r="D71" s="14">
        <f t="shared" si="5"/>
        <v>0</v>
      </c>
      <c r="E71" s="17">
        <f>IF(F3="1",SUMIF(Data!A:A,'56'!$A$2,Data!EC:EC),0)</f>
        <v>0</v>
      </c>
      <c r="F71" s="21" t="str">
        <f t="shared" si="4"/>
        <v/>
      </c>
    </row>
    <row r="72" spans="1:6" x14ac:dyDescent="0.2">
      <c r="A72" s="19">
        <v>6</v>
      </c>
      <c r="B72" s="181" t="s">
        <v>5</v>
      </c>
      <c r="C72" s="182"/>
      <c r="D72" s="14">
        <f t="shared" si="5"/>
        <v>656</v>
      </c>
      <c r="E72" s="17">
        <f>IF(F3="1",SUMIF(Data!A:A,'56'!$A$2,Data!ED:ED),0)</f>
        <v>2083</v>
      </c>
      <c r="F72" s="21">
        <f t="shared" si="4"/>
        <v>3.18</v>
      </c>
    </row>
    <row r="73" spans="1:6" x14ac:dyDescent="0.2">
      <c r="A73" s="19">
        <v>7</v>
      </c>
      <c r="B73" s="181" t="s">
        <v>6</v>
      </c>
      <c r="C73" s="182"/>
      <c r="D73" s="14">
        <f t="shared" si="5"/>
        <v>50576</v>
      </c>
      <c r="E73" s="17">
        <f>IF(F3="1",SUMIF(Data!A:A,'56'!$A$2,Data!EE:EE),0)</f>
        <v>160594</v>
      </c>
      <c r="F73" s="21">
        <f t="shared" si="4"/>
        <v>3.18</v>
      </c>
    </row>
    <row r="74" spans="1:6" x14ac:dyDescent="0.2">
      <c r="A74" s="19">
        <v>8</v>
      </c>
      <c r="B74" s="181" t="s">
        <v>7</v>
      </c>
      <c r="C74" s="182"/>
      <c r="D74" s="14">
        <f t="shared" si="5"/>
        <v>0</v>
      </c>
      <c r="E74" s="17">
        <f>IF(F3="1",SUMIF(Data!A:A,'56'!$A$2,Data!EF:EF),0)</f>
        <v>0</v>
      </c>
      <c r="F74" s="21" t="str">
        <f t="shared" si="4"/>
        <v/>
      </c>
    </row>
    <row r="75" spans="1:6" x14ac:dyDescent="0.2">
      <c r="A75" s="19">
        <v>9</v>
      </c>
      <c r="B75" s="181" t="s">
        <v>8</v>
      </c>
      <c r="C75" s="182"/>
      <c r="D75" s="14">
        <f t="shared" si="5"/>
        <v>7872</v>
      </c>
      <c r="E75" s="17">
        <f>IF(F3="1",SUMIF(Data!A:A,'56'!$A$2,Data!EG:EG),0)</f>
        <v>24995</v>
      </c>
      <c r="F75" s="21">
        <f t="shared" si="4"/>
        <v>3.18</v>
      </c>
    </row>
    <row r="76" spans="1:6" x14ac:dyDescent="0.2">
      <c r="A76" s="19">
        <v>10</v>
      </c>
      <c r="B76" s="181" t="s">
        <v>9</v>
      </c>
      <c r="C76" s="182"/>
      <c r="D76" s="14">
        <f t="shared" si="5"/>
        <v>0</v>
      </c>
      <c r="E76" s="17">
        <f>IF(F3="1",SUMIF(Data!A:A,'56'!$A$2,Data!EH:EH),0)</f>
        <v>0</v>
      </c>
      <c r="F76" s="21" t="str">
        <f t="shared" si="4"/>
        <v/>
      </c>
    </row>
    <row r="77" spans="1:6" x14ac:dyDescent="0.2">
      <c r="A77" s="19">
        <v>11</v>
      </c>
      <c r="B77" s="181" t="s">
        <v>10</v>
      </c>
      <c r="C77" s="182"/>
      <c r="D77" s="14">
        <f t="shared" si="5"/>
        <v>9440</v>
      </c>
      <c r="E77" s="17">
        <f>IF(F3="1",SUMIF(Data!A:A,'56'!$A$2,Data!EI:EI),0)</f>
        <v>29975</v>
      </c>
      <c r="F77" s="21">
        <f t="shared" si="4"/>
        <v>3.18</v>
      </c>
    </row>
    <row r="78" spans="1:6" ht="14.25" customHeight="1" x14ac:dyDescent="0.2">
      <c r="A78" s="19">
        <v>12</v>
      </c>
      <c r="B78" s="181" t="s">
        <v>11</v>
      </c>
      <c r="C78" s="182"/>
      <c r="D78" s="14">
        <f t="shared" si="5"/>
        <v>110976</v>
      </c>
      <c r="E78" s="17">
        <f>IF(F3="1",SUMIF(Data!A:A,'56'!$A$2,Data!EJ:EJ),0)</f>
        <v>352381</v>
      </c>
      <c r="F78" s="21">
        <f t="shared" si="4"/>
        <v>3.18</v>
      </c>
    </row>
    <row r="79" spans="1:6" x14ac:dyDescent="0.2">
      <c r="A79" s="19">
        <v>13</v>
      </c>
      <c r="B79" s="181" t="s">
        <v>12</v>
      </c>
      <c r="C79" s="182"/>
      <c r="D79" s="14">
        <f t="shared" si="5"/>
        <v>5232</v>
      </c>
      <c r="E79" s="17">
        <f>IF(F3="1",SUMIF(Data!A:A,'56'!$A$2,Data!EK:EK),0)</f>
        <v>16613</v>
      </c>
      <c r="F79" s="21">
        <f t="shared" si="4"/>
        <v>3.18</v>
      </c>
    </row>
    <row r="80" spans="1:6" ht="14.25" customHeight="1" x14ac:dyDescent="0.2">
      <c r="A80" s="19">
        <v>14</v>
      </c>
      <c r="B80" s="181" t="s">
        <v>464</v>
      </c>
      <c r="C80" s="182"/>
      <c r="D80" s="14">
        <f t="shared" si="5"/>
        <v>63536</v>
      </c>
      <c r="E80" s="17">
        <f>IF(F3="1",SUMIF(Data!A:A,'56'!$A$2,Data!EL:EL),0)</f>
        <v>201745</v>
      </c>
      <c r="F80" s="21">
        <f t="shared" si="4"/>
        <v>3.18</v>
      </c>
    </row>
    <row r="81" spans="1:6" x14ac:dyDescent="0.2">
      <c r="A81" s="19">
        <v>15</v>
      </c>
      <c r="B81" s="181" t="s">
        <v>13</v>
      </c>
      <c r="C81" s="182"/>
      <c r="D81" s="14">
        <f t="shared" si="5"/>
        <v>0</v>
      </c>
      <c r="E81" s="17">
        <f>IF(F3="1",SUMIF(Data!A:A,'56'!$A$2,Data!EM:EM),0)</f>
        <v>0</v>
      </c>
      <c r="F81" s="21" t="str">
        <f t="shared" si="4"/>
        <v/>
      </c>
    </row>
    <row r="82" spans="1:6" x14ac:dyDescent="0.2">
      <c r="A82" s="19">
        <v>16</v>
      </c>
      <c r="B82" s="181" t="s">
        <v>14</v>
      </c>
      <c r="C82" s="182"/>
      <c r="D82" s="14">
        <f t="shared" si="5"/>
        <v>55376</v>
      </c>
      <c r="E82" s="17">
        <f>IF(F3="1",SUMIF(Data!A:A,'56'!$A$2,Data!EN:EN),0)</f>
        <v>175835</v>
      </c>
      <c r="F82" s="21">
        <f t="shared" si="4"/>
        <v>3.18</v>
      </c>
    </row>
    <row r="83" spans="1:6" x14ac:dyDescent="0.2">
      <c r="A83" s="19">
        <v>17</v>
      </c>
      <c r="B83" s="181" t="s">
        <v>15</v>
      </c>
      <c r="C83" s="182"/>
      <c r="D83" s="14">
        <f t="shared" si="5"/>
        <v>0</v>
      </c>
      <c r="E83" s="17">
        <f>IF(F3="1",SUMIF(Data!A:A,'56'!$A$2,Data!EO:EO),0)</f>
        <v>0</v>
      </c>
      <c r="F83" s="21" t="str">
        <f t="shared" si="4"/>
        <v/>
      </c>
    </row>
    <row r="84" spans="1:6" x14ac:dyDescent="0.2">
      <c r="A84" s="19">
        <v>18</v>
      </c>
      <c r="B84" s="181" t="s">
        <v>16</v>
      </c>
      <c r="C84" s="182"/>
      <c r="D84" s="14">
        <f t="shared" si="5"/>
        <v>127680</v>
      </c>
      <c r="E84" s="17">
        <f>IF(F3="1",SUMIF(Data!A:A,'56'!$A$2,Data!EP:EP),0)</f>
        <v>405421</v>
      </c>
      <c r="F84" s="21">
        <f t="shared" si="4"/>
        <v>3.18</v>
      </c>
    </row>
    <row r="85" spans="1:6" x14ac:dyDescent="0.2">
      <c r="A85" s="19">
        <v>19</v>
      </c>
      <c r="B85" s="181" t="s">
        <v>17</v>
      </c>
      <c r="C85" s="182"/>
      <c r="D85" s="14">
        <f t="shared" si="5"/>
        <v>60656</v>
      </c>
      <c r="E85" s="17">
        <f>IF(F3="1",SUMIF(Data!A:A,'56'!$A$2,Data!EQ:EQ),0)</f>
        <v>192602</v>
      </c>
      <c r="F85" s="21">
        <f t="shared" si="4"/>
        <v>3.18</v>
      </c>
    </row>
    <row r="86" spans="1:6" x14ac:dyDescent="0.2">
      <c r="A86" s="19">
        <v>20</v>
      </c>
      <c r="B86" s="181" t="s">
        <v>18</v>
      </c>
      <c r="C86" s="182"/>
      <c r="D86" s="14">
        <f t="shared" si="5"/>
        <v>0</v>
      </c>
      <c r="E86" s="17">
        <f>IF(F3="1",SUMIF(Data!A:A,'56'!$A$2,Data!ER:ER),0)</f>
        <v>0</v>
      </c>
      <c r="F86" s="21" t="str">
        <f t="shared" si="4"/>
        <v/>
      </c>
    </row>
    <row r="87" spans="1:6" ht="14.25" customHeight="1" x14ac:dyDescent="0.2">
      <c r="A87" s="19">
        <v>21</v>
      </c>
      <c r="B87" s="181" t="s">
        <v>461</v>
      </c>
      <c r="C87" s="182"/>
      <c r="D87" s="14">
        <f t="shared" si="5"/>
        <v>0</v>
      </c>
      <c r="E87" s="17">
        <f>IF(F3="1",SUMIF(Data!A:A,'56'!$A$2,Data!ES:ES),0)</f>
        <v>0</v>
      </c>
      <c r="F87" s="21" t="str">
        <f t="shared" si="4"/>
        <v/>
      </c>
    </row>
    <row r="88" spans="1:6" x14ac:dyDescent="0.2">
      <c r="A88" s="19">
        <v>22</v>
      </c>
      <c r="B88" s="181" t="s">
        <v>19</v>
      </c>
      <c r="C88" s="182"/>
      <c r="D88" s="14">
        <f t="shared" si="5"/>
        <v>0</v>
      </c>
      <c r="E88" s="17">
        <f>IF(F3="1",SUMIF(Data!A:A,'56'!$A$2,Data!ET:ET),0)</f>
        <v>0</v>
      </c>
      <c r="F88" s="21" t="str">
        <f t="shared" si="4"/>
        <v/>
      </c>
    </row>
    <row r="89" spans="1:6" x14ac:dyDescent="0.2">
      <c r="A89" s="19">
        <v>23</v>
      </c>
      <c r="B89" s="181" t="s">
        <v>20</v>
      </c>
      <c r="C89" s="182"/>
      <c r="D89" s="14">
        <f t="shared" si="5"/>
        <v>27696</v>
      </c>
      <c r="E89" s="17">
        <f>IF(F3="1",SUMIF(Data!A:A,'56'!$A$2,Data!EU:EU),0)</f>
        <v>87943</v>
      </c>
      <c r="F89" s="21">
        <f t="shared" si="4"/>
        <v>3.18</v>
      </c>
    </row>
    <row r="90" spans="1:6" x14ac:dyDescent="0.2">
      <c r="A90" s="19">
        <v>24</v>
      </c>
      <c r="B90" s="181" t="s">
        <v>21</v>
      </c>
      <c r="C90" s="182"/>
      <c r="D90" s="14">
        <f t="shared" si="5"/>
        <v>12624</v>
      </c>
      <c r="E90" s="17">
        <f>IF(F3="1",SUMIF(Data!A:A,'56'!$A$2,Data!EV:EV),0)</f>
        <v>40085</v>
      </c>
      <c r="F90" s="21">
        <f t="shared" si="4"/>
        <v>3.18</v>
      </c>
    </row>
    <row r="91" spans="1:6" x14ac:dyDescent="0.2">
      <c r="A91" s="19">
        <v>25</v>
      </c>
      <c r="B91" s="181" t="s">
        <v>22</v>
      </c>
      <c r="C91" s="182"/>
      <c r="D91" s="14">
        <f t="shared" si="5"/>
        <v>92640</v>
      </c>
      <c r="E91" s="17">
        <f>IF(F3="1",SUMIF(Data!A:A,'56'!$A$2,Data!EW:EW),0)</f>
        <v>294159</v>
      </c>
      <c r="F91" s="21">
        <f t="shared" si="4"/>
        <v>3.18</v>
      </c>
    </row>
    <row r="92" spans="1:6" x14ac:dyDescent="0.2">
      <c r="A92" s="19">
        <v>26</v>
      </c>
      <c r="B92" s="181" t="s">
        <v>23</v>
      </c>
      <c r="C92" s="182"/>
      <c r="D92" s="14">
        <f t="shared" si="5"/>
        <v>19136</v>
      </c>
      <c r="E92" s="17">
        <f>IF(F3="1",SUMIF(Data!A:A,'56'!$A$2,Data!EX:EX),0)</f>
        <v>60761</v>
      </c>
      <c r="F92" s="21">
        <f t="shared" si="4"/>
        <v>3.18</v>
      </c>
    </row>
    <row r="93" spans="1:6" x14ac:dyDescent="0.2">
      <c r="A93" s="19">
        <v>28</v>
      </c>
      <c r="B93" s="181" t="s">
        <v>24</v>
      </c>
      <c r="C93" s="182"/>
      <c r="D93" s="14">
        <f t="shared" si="5"/>
        <v>0</v>
      </c>
      <c r="E93" s="17">
        <f>IF(F3="1",SUMIF(Data!A:A,'56'!$A$2,Data!EZ:EZ),0)</f>
        <v>0</v>
      </c>
      <c r="F93" s="21" t="str">
        <f t="shared" si="4"/>
        <v/>
      </c>
    </row>
    <row r="94" spans="1:6" ht="15.75" customHeight="1" thickBot="1" x14ac:dyDescent="0.25">
      <c r="A94" s="22">
        <v>29</v>
      </c>
      <c r="B94" s="183" t="s">
        <v>25</v>
      </c>
      <c r="C94" s="184"/>
      <c r="D94" s="23">
        <f t="shared" si="5"/>
        <v>0</v>
      </c>
      <c r="E94" s="24">
        <f>IF(F3="1",SUMIF(Data!A:A,'56'!$A$2,Data!FA:FA),0)</f>
        <v>0</v>
      </c>
      <c r="F94" s="25" t="str">
        <f t="shared" si="4"/>
        <v/>
      </c>
    </row>
    <row r="95" spans="1:6" x14ac:dyDescent="0.2">
      <c r="B95" s="30" t="s">
        <v>35</v>
      </c>
      <c r="C95" s="30"/>
      <c r="D95" s="59">
        <f>SUM(D67:D94)</f>
        <v>807504</v>
      </c>
      <c r="E95" s="31">
        <f>SUM(E67:E94)</f>
        <v>2564060</v>
      </c>
      <c r="F95" s="32">
        <f t="shared" si="4"/>
        <v>3.18</v>
      </c>
    </row>
    <row r="96" spans="1:6" ht="15" thickBot="1" x14ac:dyDescent="0.25">
      <c r="F96" s="66"/>
    </row>
    <row r="97" spans="2:6" ht="29.25" customHeight="1" x14ac:dyDescent="0.2">
      <c r="B97" s="185" t="s">
        <v>468</v>
      </c>
      <c r="C97" s="186"/>
      <c r="D97" s="28" t="s">
        <v>27</v>
      </c>
      <c r="E97" s="33" t="s">
        <v>462</v>
      </c>
      <c r="F97" s="29" t="s">
        <v>463</v>
      </c>
    </row>
    <row r="98" spans="2:6" x14ac:dyDescent="0.2">
      <c r="B98" s="187" t="s">
        <v>30</v>
      </c>
      <c r="C98" s="188"/>
      <c r="D98" s="35"/>
      <c r="E98" s="15">
        <f>IF(F3="1",SUMIF(Data!A:A,'56'!$A$2,Data!AH:AH),0)</f>
        <v>1346832</v>
      </c>
      <c r="F98" s="20">
        <f>IF(OR(E98=0,E98=0),"",ROUND(E98/$D$105,2))</f>
        <v>1.67</v>
      </c>
    </row>
    <row r="99" spans="2:6" x14ac:dyDescent="0.2">
      <c r="B99" s="187" t="s">
        <v>31</v>
      </c>
      <c r="C99" s="188"/>
      <c r="D99" s="36"/>
      <c r="E99" s="17">
        <f>IF(F3="1",SUMIF(Data!A:A,'56'!$A$2,Data!AI:AI),0)</f>
        <v>531841</v>
      </c>
      <c r="F99" s="21">
        <f t="shared" ref="F99:F104" si="6">IF(OR(E99=0,E99=0),"",ROUND(E99/$D$105,2))</f>
        <v>0.66</v>
      </c>
    </row>
    <row r="100" spans="2:6" x14ac:dyDescent="0.2">
      <c r="B100" s="187" t="s">
        <v>1078</v>
      </c>
      <c r="C100" s="188"/>
      <c r="D100" s="36"/>
      <c r="E100" s="17">
        <f>IF(F3="1",SUMIF(Data!A:A,'56'!$A$2,Data!AJ:AJ),0)</f>
        <v>537886</v>
      </c>
      <c r="F100" s="21">
        <f t="shared" si="6"/>
        <v>0.67</v>
      </c>
    </row>
    <row r="101" spans="2:6" x14ac:dyDescent="0.2">
      <c r="B101" s="187" t="s">
        <v>1079</v>
      </c>
      <c r="C101" s="188"/>
      <c r="D101" s="36"/>
      <c r="E101" s="17">
        <f>IF(F3="1",SUMIF(Data!A:A,'56'!$A$2,Data!AK:AK),0)</f>
        <v>330971</v>
      </c>
      <c r="F101" s="21">
        <f t="shared" si="6"/>
        <v>0.41</v>
      </c>
    </row>
    <row r="102" spans="2:6" x14ac:dyDescent="0.2">
      <c r="B102" s="187" t="s">
        <v>1080</v>
      </c>
      <c r="C102" s="188"/>
      <c r="D102" s="36"/>
      <c r="E102" s="17">
        <f>IF(F3="1",SUMIF(Data!A:A,'56'!$A$2,Data!AL:AL),0)</f>
        <v>0</v>
      </c>
      <c r="F102" s="21" t="str">
        <f t="shared" si="6"/>
        <v/>
      </c>
    </row>
    <row r="103" spans="2:6" x14ac:dyDescent="0.2">
      <c r="B103" s="189" t="s">
        <v>34</v>
      </c>
      <c r="C103" s="190"/>
      <c r="D103" s="36"/>
      <c r="E103" s="17">
        <f>IF(F3="1",SUMIF(Data!A:A,'56'!$A$2,Data!AM:AM),0)</f>
        <v>0</v>
      </c>
      <c r="F103" s="21" t="str">
        <f t="shared" si="6"/>
        <v/>
      </c>
    </row>
    <row r="104" spans="2:6" ht="15.75" customHeight="1" thickBot="1" x14ac:dyDescent="0.25">
      <c r="B104" s="179" t="s">
        <v>29</v>
      </c>
      <c r="C104" s="180"/>
      <c r="D104" s="37"/>
      <c r="E104" s="24">
        <f>IF(F3="1",SUMIF(Data!A:A,'56'!$A$2,Data!Q:Q),0)</f>
        <v>274738</v>
      </c>
      <c r="F104" s="25">
        <f t="shared" si="6"/>
        <v>0.34</v>
      </c>
    </row>
    <row r="105" spans="2:6" x14ac:dyDescent="0.2">
      <c r="B105" s="30" t="s">
        <v>35</v>
      </c>
      <c r="C105" s="30"/>
      <c r="D105" s="34">
        <f>D95</f>
        <v>807504</v>
      </c>
      <c r="E105" s="31">
        <f>SUM(E98:E104)</f>
        <v>3022268</v>
      </c>
      <c r="F105" s="32">
        <f>IF($D$105=0,"",ROUND(E105/$D$105,2))</f>
        <v>3.74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2564060</v>
      </c>
      <c r="D109" s="15">
        <f>IF(F3="1",SUMIF(Data!$A:$A,$A$2,Data!HJ:HJ),0)</f>
        <v>0</v>
      </c>
      <c r="E109" s="15">
        <f>IF(F3="1",SUMIF(Data!$A:$A,$A$2,Data!IN:IN),0)</f>
        <v>0</v>
      </c>
      <c r="F109" s="47">
        <f>SUM(C109:E109)</f>
        <v>2564060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274738</v>
      </c>
      <c r="E117" s="52"/>
      <c r="F117" s="49">
        <f>SUM(C117:E117)</f>
        <v>274738</v>
      </c>
    </row>
    <row r="118" spans="1:6" x14ac:dyDescent="0.2">
      <c r="B118" s="13" t="s">
        <v>35</v>
      </c>
      <c r="C118" s="4">
        <f>SUM(C109:C116)</f>
        <v>2564060</v>
      </c>
      <c r="D118" s="4">
        <f>SUM(D109:D116)</f>
        <v>0</v>
      </c>
      <c r="E118" s="4">
        <f>SUM(E109:E116)</f>
        <v>0</v>
      </c>
      <c r="F118" s="4">
        <f>SUM(F109:F116)</f>
        <v>2564060</v>
      </c>
    </row>
    <row r="119" spans="1:6" ht="15" thickBot="1" x14ac:dyDescent="0.25"/>
    <row r="120" spans="1:6" ht="15" thickBot="1" x14ac:dyDescent="0.25">
      <c r="B120" s="55" t="s">
        <v>934</v>
      </c>
      <c r="C120" s="53"/>
      <c r="D120" s="53"/>
      <c r="E120" s="53">
        <f>IF(F3="1",SUMIF(Data!A:A,'56'!$A$2,Data!AM:AM),0)</f>
        <v>0</v>
      </c>
      <c r="F120" s="54">
        <f>SUM(C120:E120)</f>
        <v>0</v>
      </c>
    </row>
    <row r="122" spans="1:6" s="60" customFormat="1" ht="101.25" customHeight="1" x14ac:dyDescent="0.2">
      <c r="A122" s="193" t="s">
        <v>935</v>
      </c>
      <c r="B122" s="193"/>
      <c r="C122" s="193"/>
      <c r="D122" s="193"/>
      <c r="E122" s="193"/>
      <c r="F122" s="193"/>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 bestFit="1" customWidth="1"/>
    <col min="9" max="9" width="16.42578125" style="1" bestFit="1" customWidth="1"/>
    <col min="10" max="10" width="13.42578125" style="1" bestFit="1" customWidth="1"/>
    <col min="11" max="12" width="12.140625" style="1" bestFit="1" customWidth="1"/>
    <col min="13" max="13" width="12.42578125" style="1" bestFit="1" customWidth="1"/>
    <col min="14" max="14" width="12.140625" style="1" bestFit="1" customWidth="1"/>
    <col min="15" max="31" width="9.140625" style="1"/>
    <col min="32" max="32" width="17.85546875" style="1" bestFit="1" customWidth="1"/>
    <col min="33" max="35" width="9.140625" style="1"/>
    <col min="36" max="36" width="17.85546875" style="1" bestFit="1" customWidth="1"/>
    <col min="37" max="16384" width="9.140625" style="1"/>
  </cols>
  <sheetData>
    <row r="1" spans="1:7" s="6" customFormat="1" x14ac:dyDescent="0.2">
      <c r="A1" s="38" t="str">
        <f>Summary!A1</f>
        <v>Community and Technical Colleges, Report of Fundable Operating Expenses, Fiscal Year (FY) 2002</v>
      </c>
      <c r="B1" s="38"/>
      <c r="C1" s="38"/>
      <c r="D1" s="38"/>
      <c r="E1" s="38"/>
      <c r="F1" s="38"/>
      <c r="G1" s="57"/>
    </row>
    <row r="2" spans="1:7" s="6" customFormat="1" x14ac:dyDescent="0.2">
      <c r="A2" s="5" t="s">
        <v>448</v>
      </c>
      <c r="B2" s="58" t="str">
        <f>VLOOKUP(A2,Data!A:G,7,0)</f>
        <v>Lamar State College-Port Arthur</v>
      </c>
      <c r="C2" s="58"/>
      <c r="D2" s="57"/>
      <c r="E2" s="57"/>
      <c r="F2" s="57"/>
      <c r="G2" s="57"/>
    </row>
    <row r="3" spans="1:7" s="6" customFormat="1" ht="15" thickBot="1" x14ac:dyDescent="0.25">
      <c r="A3" s="3"/>
      <c r="B3" s="57"/>
      <c r="C3" s="57"/>
      <c r="D3" s="57"/>
      <c r="E3" s="57"/>
      <c r="F3" s="56" t="str">
        <f>IFERROR(VLOOKUP(A2,Data!A:C,3,0),"0")</f>
        <v>1</v>
      </c>
      <c r="G3" s="57"/>
    </row>
    <row r="4" spans="1:7" s="6" customFormat="1" ht="29.25" customHeight="1" x14ac:dyDescent="0.2">
      <c r="A4" s="26" t="s">
        <v>26</v>
      </c>
      <c r="B4" s="191" t="s">
        <v>465</v>
      </c>
      <c r="C4" s="192"/>
      <c r="D4" s="28" t="s">
        <v>27</v>
      </c>
      <c r="E4" s="28" t="s">
        <v>462</v>
      </c>
      <c r="F4" s="29" t="s">
        <v>463</v>
      </c>
      <c r="G4" s="57"/>
    </row>
    <row r="5" spans="1:7" s="6" customFormat="1" x14ac:dyDescent="0.2">
      <c r="A5" s="19">
        <v>1</v>
      </c>
      <c r="B5" s="181" t="s">
        <v>0</v>
      </c>
      <c r="C5" s="182"/>
      <c r="D5" s="14">
        <f>D36</f>
        <v>0</v>
      </c>
      <c r="E5" s="15">
        <f>E36+E67+IFERROR($E$105/$D$105*D5,0)</f>
        <v>0</v>
      </c>
      <c r="F5" s="20" t="str">
        <f>IF(OR(D5=0,E5=0),"",ROUND(E5/D5,2))</f>
        <v/>
      </c>
      <c r="G5" s="57"/>
    </row>
    <row r="6" spans="1:7" s="6" customFormat="1" x14ac:dyDescent="0.2">
      <c r="A6" s="19">
        <v>2</v>
      </c>
      <c r="B6" s="181" t="s">
        <v>1</v>
      </c>
      <c r="C6" s="182"/>
      <c r="D6" s="14">
        <f t="shared" ref="D6:D32" si="0">D37</f>
        <v>0</v>
      </c>
      <c r="E6" s="17">
        <f t="shared" ref="E6:E32" si="1">E37+E68+IFERROR($E$105/$D$105*D6,0)</f>
        <v>0</v>
      </c>
      <c r="F6" s="21" t="str">
        <f t="shared" ref="F6:F33" si="2">IF(OR(D6=0,E6=0),"",ROUND(E6/D6,2))</f>
        <v/>
      </c>
      <c r="G6" s="57"/>
    </row>
    <row r="7" spans="1:7" s="7" customFormat="1" ht="14.25" customHeight="1" x14ac:dyDescent="0.2">
      <c r="A7" s="19">
        <v>3</v>
      </c>
      <c r="B7" s="181" t="s">
        <v>2</v>
      </c>
      <c r="C7" s="182"/>
      <c r="D7" s="14">
        <f t="shared" si="0"/>
        <v>5119</v>
      </c>
      <c r="E7" s="17">
        <f t="shared" si="1"/>
        <v>1055402.2363794227</v>
      </c>
      <c r="F7" s="21">
        <f t="shared" si="2"/>
        <v>206.17</v>
      </c>
      <c r="G7" s="57"/>
    </row>
    <row r="8" spans="1:7" s="10" customFormat="1" ht="14.25" customHeight="1" x14ac:dyDescent="0.2">
      <c r="A8" s="19">
        <v>4</v>
      </c>
      <c r="B8" s="181" t="s">
        <v>3</v>
      </c>
      <c r="C8" s="182"/>
      <c r="D8" s="14">
        <f t="shared" si="0"/>
        <v>5873</v>
      </c>
      <c r="E8" s="17">
        <f t="shared" si="1"/>
        <v>1210855.3071413068</v>
      </c>
      <c r="F8" s="21">
        <f t="shared" si="2"/>
        <v>206.17</v>
      </c>
      <c r="G8" s="57"/>
    </row>
    <row r="9" spans="1:7" s="10" customFormat="1" x14ac:dyDescent="0.2">
      <c r="A9" s="19">
        <v>5</v>
      </c>
      <c r="B9" s="181" t="s">
        <v>4</v>
      </c>
      <c r="C9" s="182"/>
      <c r="D9" s="14">
        <f t="shared" si="0"/>
        <v>0</v>
      </c>
      <c r="E9" s="17">
        <f t="shared" si="1"/>
        <v>0</v>
      </c>
      <c r="F9" s="21" t="str">
        <f t="shared" si="2"/>
        <v/>
      </c>
      <c r="G9" s="57"/>
    </row>
    <row r="10" spans="1:7" s="10" customFormat="1" x14ac:dyDescent="0.2">
      <c r="A10" s="19">
        <v>6</v>
      </c>
      <c r="B10" s="181" t="s">
        <v>5</v>
      </c>
      <c r="C10" s="182"/>
      <c r="D10" s="14">
        <f t="shared" si="0"/>
        <v>18</v>
      </c>
      <c r="E10" s="17">
        <f t="shared" si="1"/>
        <v>3711.2934664640761</v>
      </c>
      <c r="F10" s="21">
        <f t="shared" si="2"/>
        <v>206.18</v>
      </c>
      <c r="G10" s="57"/>
    </row>
    <row r="11" spans="1:7" s="10" customFormat="1" x14ac:dyDescent="0.2">
      <c r="A11" s="19">
        <v>7</v>
      </c>
      <c r="B11" s="181" t="s">
        <v>6</v>
      </c>
      <c r="C11" s="182"/>
      <c r="D11" s="14">
        <f t="shared" si="0"/>
        <v>5178</v>
      </c>
      <c r="E11" s="17">
        <f t="shared" si="1"/>
        <v>1067568.7538528326</v>
      </c>
      <c r="F11" s="21">
        <f t="shared" si="2"/>
        <v>206.17</v>
      </c>
      <c r="G11" s="57"/>
    </row>
    <row r="12" spans="1:7" s="10" customFormat="1" x14ac:dyDescent="0.2">
      <c r="A12" s="19">
        <v>8</v>
      </c>
      <c r="B12" s="181" t="s">
        <v>7</v>
      </c>
      <c r="C12" s="182"/>
      <c r="D12" s="14">
        <f t="shared" si="0"/>
        <v>0</v>
      </c>
      <c r="E12" s="17">
        <f t="shared" si="1"/>
        <v>0</v>
      </c>
      <c r="F12" s="21" t="str">
        <f t="shared" si="2"/>
        <v/>
      </c>
      <c r="G12" s="57"/>
    </row>
    <row r="13" spans="1:7" s="10" customFormat="1" x14ac:dyDescent="0.2">
      <c r="A13" s="19">
        <v>9</v>
      </c>
      <c r="B13" s="181" t="s">
        <v>8</v>
      </c>
      <c r="C13" s="182"/>
      <c r="D13" s="14">
        <f t="shared" si="0"/>
        <v>2864</v>
      </c>
      <c r="E13" s="17">
        <f t="shared" si="1"/>
        <v>590480.91599739529</v>
      </c>
      <c r="F13" s="21">
        <f t="shared" si="2"/>
        <v>206.17</v>
      </c>
      <c r="G13" s="57"/>
    </row>
    <row r="14" spans="1:7" s="10" customFormat="1" x14ac:dyDescent="0.2">
      <c r="A14" s="19">
        <v>10</v>
      </c>
      <c r="B14" s="181" t="s">
        <v>9</v>
      </c>
      <c r="C14" s="182"/>
      <c r="D14" s="14">
        <f t="shared" si="0"/>
        <v>0</v>
      </c>
      <c r="E14" s="17">
        <f t="shared" si="1"/>
        <v>0</v>
      </c>
      <c r="F14" s="21" t="str">
        <f t="shared" si="2"/>
        <v/>
      </c>
      <c r="G14" s="57"/>
    </row>
    <row r="15" spans="1:7" s="10" customFormat="1" x14ac:dyDescent="0.2">
      <c r="A15" s="19">
        <v>11</v>
      </c>
      <c r="B15" s="181" t="s">
        <v>10</v>
      </c>
      <c r="C15" s="182"/>
      <c r="D15" s="14">
        <f t="shared" si="0"/>
        <v>905</v>
      </c>
      <c r="E15" s="17">
        <f t="shared" si="1"/>
        <v>186586.31039722162</v>
      </c>
      <c r="F15" s="21">
        <f t="shared" si="2"/>
        <v>206.17</v>
      </c>
      <c r="G15" s="57"/>
    </row>
    <row r="16" spans="1:7" s="10" customFormat="1" ht="14.25" customHeight="1" x14ac:dyDescent="0.2">
      <c r="A16" s="19">
        <v>12</v>
      </c>
      <c r="B16" s="181" t="s">
        <v>11</v>
      </c>
      <c r="C16" s="182"/>
      <c r="D16" s="14">
        <f t="shared" si="0"/>
        <v>8925</v>
      </c>
      <c r="E16" s="17">
        <f t="shared" si="1"/>
        <v>1840097.1771217713</v>
      </c>
      <c r="F16" s="21">
        <f t="shared" si="2"/>
        <v>206.17</v>
      </c>
      <c r="G16" s="57"/>
    </row>
    <row r="17" spans="1:7" s="10" customFormat="1" x14ac:dyDescent="0.2">
      <c r="A17" s="19">
        <v>13</v>
      </c>
      <c r="B17" s="181" t="s">
        <v>12</v>
      </c>
      <c r="C17" s="182"/>
      <c r="D17" s="14">
        <f t="shared" si="0"/>
        <v>156</v>
      </c>
      <c r="E17" s="17">
        <f t="shared" si="1"/>
        <v>32161.876709355329</v>
      </c>
      <c r="F17" s="21">
        <f t="shared" si="2"/>
        <v>206.17</v>
      </c>
      <c r="G17" s="57"/>
    </row>
    <row r="18" spans="1:7" s="10" customFormat="1" ht="14.25" customHeight="1" x14ac:dyDescent="0.2">
      <c r="A18" s="19">
        <v>14</v>
      </c>
      <c r="B18" s="181" t="s">
        <v>464</v>
      </c>
      <c r="C18" s="182"/>
      <c r="D18" s="14">
        <f t="shared" si="0"/>
        <v>0</v>
      </c>
      <c r="E18" s="17">
        <f t="shared" si="1"/>
        <v>0</v>
      </c>
      <c r="F18" s="21" t="str">
        <f t="shared" si="2"/>
        <v/>
      </c>
      <c r="G18" s="57"/>
    </row>
    <row r="19" spans="1:7" s="10" customFormat="1" x14ac:dyDescent="0.2">
      <c r="A19" s="19">
        <v>15</v>
      </c>
      <c r="B19" s="181" t="s">
        <v>13</v>
      </c>
      <c r="C19" s="182"/>
      <c r="D19" s="14">
        <f t="shared" si="0"/>
        <v>788</v>
      </c>
      <c r="E19" s="17">
        <f t="shared" si="1"/>
        <v>162465.40286520513</v>
      </c>
      <c r="F19" s="21">
        <f t="shared" si="2"/>
        <v>206.17</v>
      </c>
      <c r="G19" s="57"/>
    </row>
    <row r="20" spans="1:7" s="10" customFormat="1" x14ac:dyDescent="0.2">
      <c r="A20" s="19">
        <v>16</v>
      </c>
      <c r="B20" s="181" t="s">
        <v>14</v>
      </c>
      <c r="C20" s="182"/>
      <c r="D20" s="14">
        <f t="shared" si="0"/>
        <v>2770</v>
      </c>
      <c r="E20" s="17">
        <f t="shared" si="1"/>
        <v>571100.93900586059</v>
      </c>
      <c r="F20" s="21">
        <f t="shared" si="2"/>
        <v>206.17</v>
      </c>
      <c r="G20" s="57"/>
    </row>
    <row r="21" spans="1:7" s="10" customFormat="1" x14ac:dyDescent="0.2">
      <c r="A21" s="19">
        <v>17</v>
      </c>
      <c r="B21" s="181" t="s">
        <v>15</v>
      </c>
      <c r="C21" s="182"/>
      <c r="D21" s="14">
        <f t="shared" si="0"/>
        <v>0</v>
      </c>
      <c r="E21" s="17">
        <f t="shared" si="1"/>
        <v>0</v>
      </c>
      <c r="F21" s="21" t="str">
        <f t="shared" si="2"/>
        <v/>
      </c>
      <c r="G21" s="57"/>
    </row>
    <row r="22" spans="1:7" s="10" customFormat="1" x14ac:dyDescent="0.2">
      <c r="A22" s="19">
        <v>18</v>
      </c>
      <c r="B22" s="181" t="s">
        <v>16</v>
      </c>
      <c r="C22" s="182"/>
      <c r="D22" s="14">
        <f t="shared" si="0"/>
        <v>2562</v>
      </c>
      <c r="E22" s="17">
        <f t="shared" si="1"/>
        <v>528215.43672672019</v>
      </c>
      <c r="F22" s="21">
        <f t="shared" si="2"/>
        <v>206.17</v>
      </c>
      <c r="G22" s="57"/>
    </row>
    <row r="23" spans="1:7" s="10" customFormat="1" x14ac:dyDescent="0.2">
      <c r="A23" s="19">
        <v>19</v>
      </c>
      <c r="B23" s="181" t="s">
        <v>17</v>
      </c>
      <c r="C23" s="182"/>
      <c r="D23" s="14">
        <f t="shared" si="0"/>
        <v>7026</v>
      </c>
      <c r="E23" s="17">
        <f t="shared" si="1"/>
        <v>1448573.2164098113</v>
      </c>
      <c r="F23" s="21">
        <f t="shared" si="2"/>
        <v>206.17</v>
      </c>
      <c r="G23" s="57"/>
    </row>
    <row r="24" spans="1:7" s="10" customFormat="1" x14ac:dyDescent="0.2">
      <c r="A24" s="19">
        <v>20</v>
      </c>
      <c r="B24" s="181" t="s">
        <v>18</v>
      </c>
      <c r="C24" s="182"/>
      <c r="D24" s="14">
        <f t="shared" si="0"/>
        <v>1360</v>
      </c>
      <c r="E24" s="17">
        <f t="shared" si="1"/>
        <v>280396.28413284133</v>
      </c>
      <c r="F24" s="21">
        <f t="shared" si="2"/>
        <v>206.17</v>
      </c>
      <c r="G24" s="57"/>
    </row>
    <row r="25" spans="1:7" s="10" customFormat="1" ht="14.25" customHeight="1" x14ac:dyDescent="0.2">
      <c r="A25" s="19">
        <v>21</v>
      </c>
      <c r="B25" s="181" t="s">
        <v>461</v>
      </c>
      <c r="C25" s="182"/>
      <c r="D25" s="14">
        <f t="shared" si="0"/>
        <v>0</v>
      </c>
      <c r="E25" s="17">
        <f t="shared" si="1"/>
        <v>0</v>
      </c>
      <c r="F25" s="21" t="str">
        <f t="shared" si="2"/>
        <v/>
      </c>
      <c r="G25" s="57"/>
    </row>
    <row r="26" spans="1:7" s="10" customFormat="1" x14ac:dyDescent="0.2">
      <c r="A26" s="19">
        <v>22</v>
      </c>
      <c r="B26" s="181" t="s">
        <v>19</v>
      </c>
      <c r="C26" s="182"/>
      <c r="D26" s="14">
        <f t="shared" si="0"/>
        <v>0</v>
      </c>
      <c r="E26" s="17">
        <f t="shared" si="1"/>
        <v>0</v>
      </c>
      <c r="F26" s="21" t="str">
        <f t="shared" si="2"/>
        <v/>
      </c>
      <c r="G26" s="57"/>
    </row>
    <row r="27" spans="1:7" s="10" customFormat="1" x14ac:dyDescent="0.2">
      <c r="A27" s="19">
        <v>23</v>
      </c>
      <c r="B27" s="181" t="s">
        <v>20</v>
      </c>
      <c r="C27" s="182"/>
      <c r="D27" s="14">
        <f t="shared" si="0"/>
        <v>139</v>
      </c>
      <c r="E27" s="17">
        <f t="shared" si="1"/>
        <v>28656.710657694814</v>
      </c>
      <c r="F27" s="21">
        <f t="shared" si="2"/>
        <v>206.16</v>
      </c>
      <c r="G27" s="57"/>
    </row>
    <row r="28" spans="1:7" s="10" customFormat="1" x14ac:dyDescent="0.2">
      <c r="A28" s="19">
        <v>24</v>
      </c>
      <c r="B28" s="181" t="s">
        <v>21</v>
      </c>
      <c r="C28" s="182"/>
      <c r="D28" s="14">
        <f t="shared" si="0"/>
        <v>1260</v>
      </c>
      <c r="E28" s="17">
        <f t="shared" si="1"/>
        <v>259777.54265248537</v>
      </c>
      <c r="F28" s="21">
        <f t="shared" si="2"/>
        <v>206.17</v>
      </c>
      <c r="G28" s="57"/>
    </row>
    <row r="29" spans="1:7" s="10" customFormat="1" x14ac:dyDescent="0.2">
      <c r="A29" s="19">
        <v>25</v>
      </c>
      <c r="B29" s="181" t="s">
        <v>22</v>
      </c>
      <c r="C29" s="182"/>
      <c r="D29" s="14">
        <f t="shared" si="0"/>
        <v>8457</v>
      </c>
      <c r="E29" s="17">
        <f t="shared" si="1"/>
        <v>1743608.5469937052</v>
      </c>
      <c r="F29" s="21">
        <f t="shared" si="2"/>
        <v>206.17</v>
      </c>
      <c r="G29" s="57"/>
    </row>
    <row r="30" spans="1:7" s="10" customFormat="1" x14ac:dyDescent="0.2">
      <c r="A30" s="19">
        <v>26</v>
      </c>
      <c r="B30" s="181" t="s">
        <v>23</v>
      </c>
      <c r="C30" s="182"/>
      <c r="D30" s="14">
        <f t="shared" si="0"/>
        <v>1884</v>
      </c>
      <c r="E30" s="17">
        <f t="shared" si="1"/>
        <v>388430.04948990664</v>
      </c>
      <c r="F30" s="21">
        <f t="shared" si="2"/>
        <v>206.17</v>
      </c>
      <c r="G30" s="57"/>
    </row>
    <row r="31" spans="1:7" s="10" customFormat="1" x14ac:dyDescent="0.2">
      <c r="A31" s="19">
        <v>28</v>
      </c>
      <c r="B31" s="181" t="s">
        <v>24</v>
      </c>
      <c r="C31" s="182"/>
      <c r="D31" s="14">
        <f t="shared" si="0"/>
        <v>0</v>
      </c>
      <c r="E31" s="17">
        <f t="shared" si="1"/>
        <v>0</v>
      </c>
      <c r="F31" s="21" t="str">
        <f t="shared" si="2"/>
        <v/>
      </c>
      <c r="G31" s="57"/>
    </row>
    <row r="32" spans="1:7" s="10" customFormat="1" ht="15.75" customHeight="1" thickBot="1" x14ac:dyDescent="0.25">
      <c r="A32" s="22">
        <v>29</v>
      </c>
      <c r="B32" s="183" t="s">
        <v>25</v>
      </c>
      <c r="C32" s="184"/>
      <c r="D32" s="23">
        <f t="shared" si="0"/>
        <v>0</v>
      </c>
      <c r="E32" s="24">
        <f t="shared" si="1"/>
        <v>0</v>
      </c>
      <c r="F32" s="25" t="str">
        <f t="shared" si="2"/>
        <v/>
      </c>
      <c r="G32" s="57"/>
    </row>
    <row r="33" spans="1:7" s="10" customFormat="1" x14ac:dyDescent="0.2">
      <c r="B33" s="30" t="s">
        <v>35</v>
      </c>
      <c r="C33" s="30"/>
      <c r="D33" s="59">
        <f>SUM(D5:D32)</f>
        <v>55284</v>
      </c>
      <c r="E33" s="31">
        <f>SUM(E5:E32)</f>
        <v>11398088</v>
      </c>
      <c r="F33" s="32">
        <f t="shared" si="2"/>
        <v>206.17</v>
      </c>
      <c r="G33" s="57"/>
    </row>
    <row r="34" spans="1:7" s="10" customFormat="1" ht="15" thickBot="1" x14ac:dyDescent="0.25">
      <c r="A34" s="1"/>
      <c r="B34" s="57"/>
      <c r="C34" s="57"/>
      <c r="D34" s="57"/>
      <c r="E34" s="57"/>
      <c r="F34" s="66"/>
      <c r="G34" s="57"/>
    </row>
    <row r="35" spans="1:7" s="10" customFormat="1" ht="29.25" customHeight="1" x14ac:dyDescent="0.2">
      <c r="A35" s="26" t="s">
        <v>26</v>
      </c>
      <c r="B35" s="191" t="s">
        <v>466</v>
      </c>
      <c r="C35" s="192"/>
      <c r="D35" s="28" t="s">
        <v>27</v>
      </c>
      <c r="E35" s="28" t="s">
        <v>462</v>
      </c>
      <c r="F35" s="29" t="s">
        <v>463</v>
      </c>
      <c r="G35" s="57"/>
    </row>
    <row r="36" spans="1:7" s="10" customFormat="1" x14ac:dyDescent="0.2">
      <c r="A36" s="19">
        <v>1</v>
      </c>
      <c r="B36" s="181" t="s">
        <v>0</v>
      </c>
      <c r="C36" s="182"/>
      <c r="D36" s="14">
        <f>IF(F3="1",SUMIF(Data!A:A,'57'!$A$2,Data!CU:CU),0)</f>
        <v>0</v>
      </c>
      <c r="E36" s="15">
        <f>IF(F3="1",SUMIF(Data!$A:$A,$A$2,Data!IO:IO),0)</f>
        <v>0</v>
      </c>
      <c r="F36" s="20" t="str">
        <f t="shared" ref="F36:F64" si="3">IF(OR(D36=0,E36=0),"",ROUND(E36/D36,2))</f>
        <v/>
      </c>
      <c r="G36" s="57"/>
    </row>
    <row r="37" spans="1:7" s="10" customFormat="1" x14ac:dyDescent="0.2">
      <c r="A37" s="19">
        <v>2</v>
      </c>
      <c r="B37" s="181" t="s">
        <v>1</v>
      </c>
      <c r="C37" s="182"/>
      <c r="D37" s="14">
        <f>IF(F3="1",SUMIF(Data!A:A,'57'!$A$2,Data!CV:CV),0)</f>
        <v>0</v>
      </c>
      <c r="E37" s="17">
        <f>IF(F3="1",SUMIF(Data!$A:$A,$A$2,Data!IP:IP),0)</f>
        <v>0</v>
      </c>
      <c r="F37" s="21" t="str">
        <f t="shared" si="3"/>
        <v/>
      </c>
      <c r="G37" s="57"/>
    </row>
    <row r="38" spans="1:7" ht="14.25" customHeight="1" x14ac:dyDescent="0.2">
      <c r="A38" s="19">
        <v>3</v>
      </c>
      <c r="B38" s="181" t="s">
        <v>2</v>
      </c>
      <c r="C38" s="182"/>
      <c r="D38" s="14">
        <f>IF(F3="1",SUMIF(Data!A:A,'57'!$A$2,Data!CW:CW),0)</f>
        <v>5119</v>
      </c>
      <c r="E38" s="17">
        <f>IF($F$3="1",SUMIF(Data!$A:$A,$A$2,Data!IQ:IQ),0)</f>
        <v>214338</v>
      </c>
      <c r="F38" s="21">
        <f t="shared" si="3"/>
        <v>41.87</v>
      </c>
    </row>
    <row r="39" spans="1:7" s="10" customFormat="1" ht="14.25" customHeight="1" x14ac:dyDescent="0.2">
      <c r="A39" s="19">
        <v>4</v>
      </c>
      <c r="B39" s="181" t="s">
        <v>3</v>
      </c>
      <c r="C39" s="182"/>
      <c r="D39" s="14">
        <f>IF(F3="1",SUMIF(Data!A:A,'57'!$A$2,Data!CX:CX),0)</f>
        <v>5873</v>
      </c>
      <c r="E39" s="17">
        <f>IF($F$3="1",SUMIF(Data!$A:$A,$A$2,Data!IR:IR),0)</f>
        <v>245908</v>
      </c>
      <c r="F39" s="21">
        <f t="shared" si="3"/>
        <v>41.87</v>
      </c>
      <c r="G39" s="57"/>
    </row>
    <row r="40" spans="1:7" s="10" customFormat="1" x14ac:dyDescent="0.2">
      <c r="A40" s="19">
        <v>5</v>
      </c>
      <c r="B40" s="181" t="s">
        <v>4</v>
      </c>
      <c r="C40" s="182"/>
      <c r="D40" s="14">
        <f>IF(F3="1",SUMIF(Data!A:A,'57'!$A$2,Data!CY:CY),0)</f>
        <v>0</v>
      </c>
      <c r="E40" s="17">
        <f>IF($F$3="1",SUMIF(Data!$A:$A,$A$2,Data!IS:IS),0)</f>
        <v>0</v>
      </c>
      <c r="F40" s="21" t="str">
        <f t="shared" si="3"/>
        <v/>
      </c>
      <c r="G40" s="57"/>
    </row>
    <row r="41" spans="1:7" s="10" customFormat="1" x14ac:dyDescent="0.2">
      <c r="A41" s="19">
        <v>6</v>
      </c>
      <c r="B41" s="181" t="s">
        <v>5</v>
      </c>
      <c r="C41" s="182"/>
      <c r="D41" s="14">
        <f>IF(F3="1",SUMIF(Data!A:A,'57'!$A$2,Data!CZ:CZ),0)</f>
        <v>18</v>
      </c>
      <c r="E41" s="17">
        <f>IF($F$3="1",SUMIF(Data!$A:$A,$A$2,Data!IT:IT),0)</f>
        <v>754</v>
      </c>
      <c r="F41" s="21">
        <f t="shared" si="3"/>
        <v>41.89</v>
      </c>
      <c r="G41" s="57"/>
    </row>
    <row r="42" spans="1:7" s="10" customFormat="1" x14ac:dyDescent="0.2">
      <c r="A42" s="19">
        <v>7</v>
      </c>
      <c r="B42" s="181" t="s">
        <v>6</v>
      </c>
      <c r="C42" s="182"/>
      <c r="D42" s="14">
        <f>IF(F3="1",SUMIF(Data!A:A,'57'!$A$2,Data!DA:DA),0)</f>
        <v>5178</v>
      </c>
      <c r="E42" s="17">
        <f>IF($F$3="1",SUMIF(Data!$A:$A,$A$2,Data!IU:IU),0)</f>
        <v>216811</v>
      </c>
      <c r="F42" s="21">
        <f t="shared" si="3"/>
        <v>41.87</v>
      </c>
      <c r="G42" s="57"/>
    </row>
    <row r="43" spans="1:7" s="10" customFormat="1" x14ac:dyDescent="0.2">
      <c r="A43" s="19">
        <v>8</v>
      </c>
      <c r="B43" s="181" t="s">
        <v>7</v>
      </c>
      <c r="C43" s="182"/>
      <c r="D43" s="14">
        <f>IF(F3="1",SUMIF(Data!A:A,'57'!$A$2,Data!DB:DB),0)</f>
        <v>0</v>
      </c>
      <c r="E43" s="17">
        <f>IF($F$3="1",SUMIF(Data!$A:$A,$A$2,Data!IV:IV),0)</f>
        <v>0</v>
      </c>
      <c r="F43" s="21" t="str">
        <f t="shared" si="3"/>
        <v/>
      </c>
      <c r="G43" s="57"/>
    </row>
    <row r="44" spans="1:7" s="10" customFormat="1" x14ac:dyDescent="0.2">
      <c r="A44" s="19">
        <v>9</v>
      </c>
      <c r="B44" s="181" t="s">
        <v>8</v>
      </c>
      <c r="C44" s="182"/>
      <c r="D44" s="14">
        <f>IF(F3="1",SUMIF(Data!A:A,'57'!$A$2,Data!DC:DC),0)</f>
        <v>2864</v>
      </c>
      <c r="E44" s="17">
        <f>IF($F$3="1",SUMIF(Data!$A:$A,$A$2,Data!IW:IW),0)</f>
        <v>119919</v>
      </c>
      <c r="F44" s="21">
        <f t="shared" si="3"/>
        <v>41.87</v>
      </c>
      <c r="G44" s="57"/>
    </row>
    <row r="45" spans="1:7" s="10" customFormat="1" x14ac:dyDescent="0.2">
      <c r="A45" s="19">
        <v>10</v>
      </c>
      <c r="B45" s="181" t="s">
        <v>9</v>
      </c>
      <c r="C45" s="182"/>
      <c r="D45" s="14">
        <f>IF(F3="1",SUMIF(Data!A:A,'57'!$A$2,Data!DD:DD),0)</f>
        <v>0</v>
      </c>
      <c r="E45" s="17">
        <f>IF($F$3="1",SUMIF(Data!$A:$A,$A$2,Data!IX:IX),0)</f>
        <v>0</v>
      </c>
      <c r="F45" s="21" t="str">
        <f t="shared" si="3"/>
        <v/>
      </c>
      <c r="G45" s="57"/>
    </row>
    <row r="46" spans="1:7" s="10" customFormat="1" x14ac:dyDescent="0.2">
      <c r="A46" s="19">
        <v>11</v>
      </c>
      <c r="B46" s="181" t="s">
        <v>10</v>
      </c>
      <c r="C46" s="182"/>
      <c r="D46" s="14">
        <f>IF(F3="1",SUMIF(Data!A:A,'57'!$A$2,Data!DE:DE),0)</f>
        <v>905</v>
      </c>
      <c r="E46" s="17">
        <f>IF($F$3="1",SUMIF(Data!$A:$A,$A$2,Data!IY:IY),0)</f>
        <v>37893</v>
      </c>
      <c r="F46" s="21">
        <f t="shared" si="3"/>
        <v>41.87</v>
      </c>
      <c r="G46" s="57"/>
    </row>
    <row r="47" spans="1:7" s="10" customFormat="1" ht="14.25" customHeight="1" x14ac:dyDescent="0.2">
      <c r="A47" s="19">
        <v>12</v>
      </c>
      <c r="B47" s="181" t="s">
        <v>11</v>
      </c>
      <c r="C47" s="182"/>
      <c r="D47" s="14">
        <f>IF(F3="1",SUMIF(Data!A:A,'57'!$A$2,Data!DF:DF),0)</f>
        <v>8925</v>
      </c>
      <c r="E47" s="17">
        <f>IF($F$3="1",SUMIF(Data!$A:$A,$A$2,Data!IZ:IZ),0)</f>
        <v>373699</v>
      </c>
      <c r="F47" s="21">
        <f t="shared" si="3"/>
        <v>41.87</v>
      </c>
      <c r="G47" s="57"/>
    </row>
    <row r="48" spans="1:7" s="10" customFormat="1" x14ac:dyDescent="0.2">
      <c r="A48" s="19">
        <v>13</v>
      </c>
      <c r="B48" s="181" t="s">
        <v>12</v>
      </c>
      <c r="C48" s="182"/>
      <c r="D48" s="14">
        <f>IF(F3="1",SUMIF(Data!A:A,'57'!$A$2,Data!DG:DG),0)</f>
        <v>156</v>
      </c>
      <c r="E48" s="17">
        <f>IF($F$3="1",SUMIF(Data!$A:$A,$A$2,Data!JA:JA),0)</f>
        <v>6531</v>
      </c>
      <c r="F48" s="21">
        <f t="shared" si="3"/>
        <v>41.87</v>
      </c>
      <c r="G48" s="57"/>
    </row>
    <row r="49" spans="1:7" s="10" customFormat="1" ht="14.25" customHeight="1" x14ac:dyDescent="0.2">
      <c r="A49" s="19">
        <v>14</v>
      </c>
      <c r="B49" s="181" t="s">
        <v>464</v>
      </c>
      <c r="C49" s="182"/>
      <c r="D49" s="14">
        <f>IF(F3="1",SUMIF(Data!A:A,'57'!$A$2,Data!DH:DH),0)</f>
        <v>0</v>
      </c>
      <c r="E49" s="17">
        <f>IF($F$3="1",SUMIF(Data!$A:$A,$A$2,Data!JB:JB),0)</f>
        <v>0</v>
      </c>
      <c r="F49" s="21" t="str">
        <f t="shared" si="3"/>
        <v/>
      </c>
      <c r="G49" s="57"/>
    </row>
    <row r="50" spans="1:7" s="10" customFormat="1" x14ac:dyDescent="0.2">
      <c r="A50" s="19">
        <v>15</v>
      </c>
      <c r="B50" s="181" t="s">
        <v>13</v>
      </c>
      <c r="C50" s="182"/>
      <c r="D50" s="14">
        <f>IF(F3="1",SUMIF(Data!A:A,'57'!$A$2,Data!DI:DI),0)</f>
        <v>788</v>
      </c>
      <c r="E50" s="17">
        <f>IF($F$3="1",SUMIF(Data!$A:$A,$A$2,Data!JC:JC),0)</f>
        <v>32995</v>
      </c>
      <c r="F50" s="21">
        <f t="shared" si="3"/>
        <v>41.87</v>
      </c>
      <c r="G50" s="57"/>
    </row>
    <row r="51" spans="1:7" s="10" customFormat="1" x14ac:dyDescent="0.2">
      <c r="A51" s="19">
        <v>16</v>
      </c>
      <c r="B51" s="181" t="s">
        <v>14</v>
      </c>
      <c r="C51" s="182"/>
      <c r="D51" s="14">
        <f>IF(F3="1",SUMIF(Data!A:A,'57'!$A$2,Data!DJ:DJ),0)</f>
        <v>2770</v>
      </c>
      <c r="E51" s="17">
        <f>IF($F$3="1",SUMIF(Data!$A:$A,$A$2,Data!JD:JD),0)</f>
        <v>115983</v>
      </c>
      <c r="F51" s="21">
        <f t="shared" si="3"/>
        <v>41.87</v>
      </c>
      <c r="G51" s="57"/>
    </row>
    <row r="52" spans="1:7" s="10" customFormat="1" x14ac:dyDescent="0.2">
      <c r="A52" s="19">
        <v>17</v>
      </c>
      <c r="B52" s="181" t="s">
        <v>15</v>
      </c>
      <c r="C52" s="182"/>
      <c r="D52" s="14">
        <f>IF(F3="1",SUMIF(Data!A:A,'57'!$A$2,Data!DK:DK),0)</f>
        <v>0</v>
      </c>
      <c r="E52" s="17">
        <f>IF($F$3="1",SUMIF(Data!$A:$A,$A$2,Data!JE:JE),0)</f>
        <v>0</v>
      </c>
      <c r="F52" s="21" t="str">
        <f t="shared" si="3"/>
        <v/>
      </c>
      <c r="G52" s="57"/>
    </row>
    <row r="53" spans="1:7" s="10" customFormat="1" x14ac:dyDescent="0.2">
      <c r="A53" s="19">
        <v>18</v>
      </c>
      <c r="B53" s="181" t="s">
        <v>16</v>
      </c>
      <c r="C53" s="182"/>
      <c r="D53" s="14">
        <f>IF(F3="1",SUMIF(Data!A:A,'57'!$A$2,Data!DL:DL),0)</f>
        <v>2562</v>
      </c>
      <c r="E53" s="17">
        <f>IF($F$3="1",SUMIF(Data!$A:$A,$A$2,Data!JF:JF),0)</f>
        <v>107273</v>
      </c>
      <c r="F53" s="21">
        <f t="shared" si="3"/>
        <v>41.87</v>
      </c>
      <c r="G53" s="57"/>
    </row>
    <row r="54" spans="1:7" s="10" customFormat="1" x14ac:dyDescent="0.2">
      <c r="A54" s="19">
        <v>19</v>
      </c>
      <c r="B54" s="181" t="s">
        <v>17</v>
      </c>
      <c r="C54" s="182"/>
      <c r="D54" s="14">
        <f>IF(F3="1",SUMIF(Data!A:A,'57'!$A$2,Data!DM:DM),0)</f>
        <v>7026</v>
      </c>
      <c r="E54" s="17">
        <f>IF($F$3="1",SUMIF(Data!$A:$A,$A$2,Data!JG:JG),0)</f>
        <v>294185</v>
      </c>
      <c r="F54" s="21">
        <f t="shared" si="3"/>
        <v>41.87</v>
      </c>
      <c r="G54" s="57"/>
    </row>
    <row r="55" spans="1:7" s="10" customFormat="1" x14ac:dyDescent="0.2">
      <c r="A55" s="19">
        <v>20</v>
      </c>
      <c r="B55" s="181" t="s">
        <v>18</v>
      </c>
      <c r="C55" s="182"/>
      <c r="D55" s="14">
        <f>IF(F3="1",SUMIF(Data!A:A,'57'!$A$2,Data!DN:DN),0)</f>
        <v>1360</v>
      </c>
      <c r="E55" s="17">
        <f>IF($F$3="1",SUMIF(Data!$A:$A,$A$2,Data!JH:JH),0)</f>
        <v>56945</v>
      </c>
      <c r="F55" s="21">
        <f t="shared" si="3"/>
        <v>41.87</v>
      </c>
      <c r="G55" s="57"/>
    </row>
    <row r="56" spans="1:7" s="10" customFormat="1" ht="14.25" customHeight="1" x14ac:dyDescent="0.2">
      <c r="A56" s="19">
        <v>21</v>
      </c>
      <c r="B56" s="181" t="s">
        <v>461</v>
      </c>
      <c r="C56" s="182"/>
      <c r="D56" s="14">
        <f>IF(F3="1",SUMIF(Data!A:A,'57'!$A$2,Data!DO:DO),0)</f>
        <v>0</v>
      </c>
      <c r="E56" s="17">
        <f>IF($F$3="1",SUMIF(Data!$A:$A,$A$2,Data!JI:JI),0)</f>
        <v>0</v>
      </c>
      <c r="F56" s="21" t="str">
        <f t="shared" si="3"/>
        <v/>
      </c>
      <c r="G56" s="57"/>
    </row>
    <row r="57" spans="1:7" s="10" customFormat="1" x14ac:dyDescent="0.2">
      <c r="A57" s="19">
        <v>22</v>
      </c>
      <c r="B57" s="181" t="s">
        <v>19</v>
      </c>
      <c r="C57" s="182"/>
      <c r="D57" s="14">
        <f>IF(F3="1",SUMIF(Data!A:A,'57'!$A$2,Data!DP:DP),0)</f>
        <v>0</v>
      </c>
      <c r="E57" s="17">
        <f>IF($F$3="1",SUMIF(Data!$A:$A,$A$2,Data!JJ:JJ),0)</f>
        <v>0</v>
      </c>
      <c r="F57" s="21" t="str">
        <f t="shared" si="3"/>
        <v/>
      </c>
      <c r="G57" s="57"/>
    </row>
    <row r="58" spans="1:7" s="10" customFormat="1" x14ac:dyDescent="0.2">
      <c r="A58" s="19">
        <v>23</v>
      </c>
      <c r="B58" s="181" t="s">
        <v>20</v>
      </c>
      <c r="C58" s="182"/>
      <c r="D58" s="14">
        <f>IF(F3="1",SUMIF(Data!A:A,'57'!$A$2,Data!DQ:DQ),0)</f>
        <v>139</v>
      </c>
      <c r="E58" s="17">
        <f>IF($F$3="1",SUMIF(Data!$A:$A,$A$2,Data!JK:JK),0)</f>
        <v>5819</v>
      </c>
      <c r="F58" s="21">
        <f t="shared" si="3"/>
        <v>41.86</v>
      </c>
      <c r="G58" s="57"/>
    </row>
    <row r="59" spans="1:7" s="10" customFormat="1" x14ac:dyDescent="0.2">
      <c r="A59" s="19">
        <v>24</v>
      </c>
      <c r="B59" s="181" t="s">
        <v>21</v>
      </c>
      <c r="C59" s="182"/>
      <c r="D59" s="14">
        <f>IF(F3="1",SUMIF(Data!A:A,'57'!$A$2,Data!DR:DR),0)</f>
        <v>1260</v>
      </c>
      <c r="E59" s="17">
        <f>IF($F$3="1",SUMIF(Data!$A:$A,$A$2,Data!JL:JL),0)</f>
        <v>52757</v>
      </c>
      <c r="F59" s="21">
        <f t="shared" si="3"/>
        <v>41.87</v>
      </c>
      <c r="G59" s="57"/>
    </row>
    <row r="60" spans="1:7" s="10" customFormat="1" x14ac:dyDescent="0.2">
      <c r="A60" s="19">
        <v>25</v>
      </c>
      <c r="B60" s="181" t="s">
        <v>22</v>
      </c>
      <c r="C60" s="182"/>
      <c r="D60" s="14">
        <f>IF(F3="1",SUMIF(Data!A:A,'57'!$A$2,Data!DS:DS),0)</f>
        <v>8457</v>
      </c>
      <c r="E60" s="17">
        <f>IF($F$3="1",SUMIF(Data!$A:$A,$A$2,Data!JM:JM),0)</f>
        <v>354103</v>
      </c>
      <c r="F60" s="21">
        <f t="shared" si="3"/>
        <v>41.87</v>
      </c>
      <c r="G60" s="57"/>
    </row>
    <row r="61" spans="1:7" s="10" customFormat="1" x14ac:dyDescent="0.2">
      <c r="A61" s="19">
        <v>26</v>
      </c>
      <c r="B61" s="181" t="s">
        <v>23</v>
      </c>
      <c r="C61" s="182"/>
      <c r="D61" s="14">
        <f>IF(F3="1",SUMIF(Data!A:A,'57'!$A$2,Data!DT:DT),0)</f>
        <v>1884</v>
      </c>
      <c r="E61" s="17">
        <f>IF($F$3="1",SUMIF(Data!$A:$A,$A$2,Data!JN:JN),0)</f>
        <v>78884</v>
      </c>
      <c r="F61" s="21">
        <f t="shared" si="3"/>
        <v>41.87</v>
      </c>
      <c r="G61" s="57"/>
    </row>
    <row r="62" spans="1:7" s="10" customFormat="1" x14ac:dyDescent="0.2">
      <c r="A62" s="19">
        <v>28</v>
      </c>
      <c r="B62" s="181" t="s">
        <v>24</v>
      </c>
      <c r="C62" s="182"/>
      <c r="D62" s="14">
        <f>IF(F3="1",SUMIF(Data!A:A,'57'!$A$2,Data!DV:DV),0)</f>
        <v>0</v>
      </c>
      <c r="E62" s="17">
        <f>IF($F$3="1",SUMIF(Data!$A:$A,$A$2,Data!JP:JP),0)</f>
        <v>0</v>
      </c>
      <c r="F62" s="21" t="str">
        <f t="shared" si="3"/>
        <v/>
      </c>
      <c r="G62" s="57"/>
    </row>
    <row r="63" spans="1:7" s="10" customFormat="1" ht="15.75" customHeight="1" thickBot="1" x14ac:dyDescent="0.25">
      <c r="A63" s="22">
        <v>29</v>
      </c>
      <c r="B63" s="183" t="s">
        <v>25</v>
      </c>
      <c r="C63" s="184"/>
      <c r="D63" s="23">
        <f>IF(F3="1",SUMIF(Data!A:A,'57'!$A$2,Data!DW:DW),0)</f>
        <v>0</v>
      </c>
      <c r="E63" s="24">
        <f>IF($F$3="1",SUMIF(Data!$A:$A,$A$2,Data!JQ:JQ),0)</f>
        <v>0</v>
      </c>
      <c r="F63" s="25" t="str">
        <f t="shared" si="3"/>
        <v/>
      </c>
      <c r="G63" s="57"/>
    </row>
    <row r="64" spans="1:7" s="10" customFormat="1" x14ac:dyDescent="0.2">
      <c r="B64" s="30" t="s">
        <v>35</v>
      </c>
      <c r="C64" s="30"/>
      <c r="D64" s="59">
        <f>SUM(D36:D63)</f>
        <v>55284</v>
      </c>
      <c r="E64" s="31">
        <f>SUM(E36:E63)</f>
        <v>2314797</v>
      </c>
      <c r="F64" s="32">
        <f t="shared" si="3"/>
        <v>41.87</v>
      </c>
      <c r="G64" s="57"/>
    </row>
    <row r="65" spans="1:7" s="10" customFormat="1" ht="15" thickBot="1" x14ac:dyDescent="0.25">
      <c r="B65" s="57"/>
      <c r="C65" s="57"/>
      <c r="D65" s="57"/>
      <c r="E65" s="57"/>
      <c r="F65" s="66"/>
      <c r="G65" s="57"/>
    </row>
    <row r="66" spans="1:7" s="10" customFormat="1" ht="29.25" customHeight="1" x14ac:dyDescent="0.2">
      <c r="A66" s="26" t="s">
        <v>26</v>
      </c>
      <c r="B66" s="191" t="s">
        <v>467</v>
      </c>
      <c r="C66" s="192"/>
      <c r="D66" s="28" t="s">
        <v>27</v>
      </c>
      <c r="E66" s="28" t="s">
        <v>462</v>
      </c>
      <c r="F66" s="29" t="s">
        <v>463</v>
      </c>
      <c r="G66" s="57"/>
    </row>
    <row r="67" spans="1:7" s="10" customFormat="1" x14ac:dyDescent="0.2">
      <c r="A67" s="19">
        <v>1</v>
      </c>
      <c r="B67" s="181" t="s">
        <v>0</v>
      </c>
      <c r="C67" s="182"/>
      <c r="D67" s="14">
        <f>D36</f>
        <v>0</v>
      </c>
      <c r="E67" s="15">
        <f>IF(F3="1",SUMIF(Data!A:A,'57'!$A$2,Data!DY:DY),0)</f>
        <v>0</v>
      </c>
      <c r="F67" s="20" t="str">
        <f t="shared" ref="F67:F95" si="4">IF(OR(D67=0,E67=0),"",ROUND(E67/D67,2))</f>
        <v/>
      </c>
      <c r="G67" s="57"/>
    </row>
    <row r="68" spans="1:7" s="10" customFormat="1" x14ac:dyDescent="0.2">
      <c r="A68" s="19">
        <v>2</v>
      </c>
      <c r="B68" s="181" t="s">
        <v>1</v>
      </c>
      <c r="C68" s="182"/>
      <c r="D68" s="14">
        <f t="shared" ref="D68:D94" si="5">D37</f>
        <v>0</v>
      </c>
      <c r="E68" s="17">
        <f>IF(F3="1",SUMIF(Data!A:A,'57'!$A$2,Data!DZ:DZ),0)</f>
        <v>0</v>
      </c>
      <c r="F68" s="21" t="str">
        <f t="shared" si="4"/>
        <v/>
      </c>
      <c r="G68" s="57"/>
    </row>
    <row r="69" spans="1:7" s="10" customFormat="1" ht="14.25" customHeight="1" x14ac:dyDescent="0.2">
      <c r="A69" s="19">
        <v>3</v>
      </c>
      <c r="B69" s="181" t="s">
        <v>2</v>
      </c>
      <c r="C69" s="182"/>
      <c r="D69" s="14">
        <f t="shared" si="5"/>
        <v>5119</v>
      </c>
      <c r="E69" s="17">
        <f>IF(F3="1",SUMIF(Data!A:A,'57'!$A$2,Data!EA:EA),0)</f>
        <v>405297</v>
      </c>
      <c r="F69" s="21">
        <f t="shared" si="4"/>
        <v>79.180000000000007</v>
      </c>
      <c r="G69" s="57"/>
    </row>
    <row r="70" spans="1:7" ht="14.25" customHeight="1" x14ac:dyDescent="0.2">
      <c r="A70" s="19">
        <v>4</v>
      </c>
      <c r="B70" s="181" t="s">
        <v>3</v>
      </c>
      <c r="C70" s="182"/>
      <c r="D70" s="14">
        <f t="shared" si="5"/>
        <v>5873</v>
      </c>
      <c r="E70" s="17">
        <f>IF(F3="1",SUMIF(Data!A:A,'57'!$A$2,Data!EB:EB),0)</f>
        <v>464994</v>
      </c>
      <c r="F70" s="21">
        <f t="shared" si="4"/>
        <v>79.17</v>
      </c>
    </row>
    <row r="71" spans="1:7" x14ac:dyDescent="0.2">
      <c r="A71" s="19">
        <v>5</v>
      </c>
      <c r="B71" s="181" t="s">
        <v>4</v>
      </c>
      <c r="C71" s="182"/>
      <c r="D71" s="14">
        <f t="shared" si="5"/>
        <v>0</v>
      </c>
      <c r="E71" s="17">
        <f>IF(F3="1",SUMIF(Data!A:A,'57'!$A$2,Data!EC:EC),0)</f>
        <v>0</v>
      </c>
      <c r="F71" s="21" t="str">
        <f t="shared" si="4"/>
        <v/>
      </c>
    </row>
    <row r="72" spans="1:7" x14ac:dyDescent="0.2">
      <c r="A72" s="19">
        <v>6</v>
      </c>
      <c r="B72" s="181" t="s">
        <v>5</v>
      </c>
      <c r="C72" s="182"/>
      <c r="D72" s="14">
        <f t="shared" si="5"/>
        <v>18</v>
      </c>
      <c r="E72" s="17">
        <f>IF(F3="1",SUMIF(Data!A:A,'57'!$A$2,Data!ED:ED),0)</f>
        <v>1425</v>
      </c>
      <c r="F72" s="21">
        <f t="shared" si="4"/>
        <v>79.17</v>
      </c>
    </row>
    <row r="73" spans="1:7" x14ac:dyDescent="0.2">
      <c r="A73" s="19">
        <v>7</v>
      </c>
      <c r="B73" s="181" t="s">
        <v>6</v>
      </c>
      <c r="C73" s="182"/>
      <c r="D73" s="14">
        <f t="shared" si="5"/>
        <v>5178</v>
      </c>
      <c r="E73" s="17">
        <f>IF(F3="1",SUMIF(Data!A:A,'57'!$A$2,Data!EE:EE),0)</f>
        <v>409968</v>
      </c>
      <c r="F73" s="21">
        <f t="shared" si="4"/>
        <v>79.17</v>
      </c>
    </row>
    <row r="74" spans="1:7" x14ac:dyDescent="0.2">
      <c r="A74" s="19">
        <v>8</v>
      </c>
      <c r="B74" s="181" t="s">
        <v>7</v>
      </c>
      <c r="C74" s="182"/>
      <c r="D74" s="14">
        <f t="shared" si="5"/>
        <v>0</v>
      </c>
      <c r="E74" s="17">
        <f>IF(F3="1",SUMIF(Data!A:A,'57'!$A$2,Data!EF:EF),0)</f>
        <v>0</v>
      </c>
      <c r="F74" s="21" t="str">
        <f t="shared" si="4"/>
        <v/>
      </c>
    </row>
    <row r="75" spans="1:7" x14ac:dyDescent="0.2">
      <c r="A75" s="19">
        <v>9</v>
      </c>
      <c r="B75" s="181" t="s">
        <v>8</v>
      </c>
      <c r="C75" s="182"/>
      <c r="D75" s="14">
        <f t="shared" si="5"/>
        <v>2864</v>
      </c>
      <c r="E75" s="17">
        <f>IF(F3="1",SUMIF(Data!A:A,'57'!$A$2,Data!EG:EG),0)</f>
        <v>226757</v>
      </c>
      <c r="F75" s="21">
        <f t="shared" si="4"/>
        <v>79.17</v>
      </c>
    </row>
    <row r="76" spans="1:7" x14ac:dyDescent="0.2">
      <c r="A76" s="19">
        <v>10</v>
      </c>
      <c r="B76" s="181" t="s">
        <v>9</v>
      </c>
      <c r="C76" s="182"/>
      <c r="D76" s="14">
        <f t="shared" si="5"/>
        <v>0</v>
      </c>
      <c r="E76" s="17">
        <f>IF(F3="1",SUMIF(Data!A:A,'57'!$A$2,Data!EH:EH),0)</f>
        <v>0</v>
      </c>
      <c r="F76" s="21" t="str">
        <f t="shared" si="4"/>
        <v/>
      </c>
    </row>
    <row r="77" spans="1:7" x14ac:dyDescent="0.2">
      <c r="A77" s="19">
        <v>11</v>
      </c>
      <c r="B77" s="181" t="s">
        <v>10</v>
      </c>
      <c r="C77" s="182"/>
      <c r="D77" s="14">
        <f t="shared" si="5"/>
        <v>905</v>
      </c>
      <c r="E77" s="17">
        <f>IF(F3="1",SUMIF(Data!A:A,'57'!$A$2,Data!EI:EI),0)</f>
        <v>71653</v>
      </c>
      <c r="F77" s="21">
        <f t="shared" si="4"/>
        <v>79.17</v>
      </c>
    </row>
    <row r="78" spans="1:7" ht="14.25" customHeight="1" x14ac:dyDescent="0.2">
      <c r="A78" s="19">
        <v>12</v>
      </c>
      <c r="B78" s="181" t="s">
        <v>11</v>
      </c>
      <c r="C78" s="182"/>
      <c r="D78" s="14">
        <f t="shared" si="5"/>
        <v>8925</v>
      </c>
      <c r="E78" s="17">
        <f>IF(F3="1",SUMIF(Data!A:A,'57'!$A$2,Data!EJ:EJ),0)</f>
        <v>706636</v>
      </c>
      <c r="F78" s="21">
        <f t="shared" si="4"/>
        <v>79.17</v>
      </c>
    </row>
    <row r="79" spans="1:7" x14ac:dyDescent="0.2">
      <c r="A79" s="19">
        <v>13</v>
      </c>
      <c r="B79" s="181" t="s">
        <v>12</v>
      </c>
      <c r="C79" s="182"/>
      <c r="D79" s="14">
        <f t="shared" si="5"/>
        <v>156</v>
      </c>
      <c r="E79" s="17">
        <f>IF(F3="1",SUMIF(Data!A:A,'57'!$A$2,Data!EK:EK),0)</f>
        <v>12351</v>
      </c>
      <c r="F79" s="21">
        <f t="shared" si="4"/>
        <v>79.17</v>
      </c>
    </row>
    <row r="80" spans="1:7" ht="14.25" customHeight="1" x14ac:dyDescent="0.2">
      <c r="A80" s="19">
        <v>14</v>
      </c>
      <c r="B80" s="181" t="s">
        <v>464</v>
      </c>
      <c r="C80" s="182"/>
      <c r="D80" s="14">
        <f t="shared" si="5"/>
        <v>0</v>
      </c>
      <c r="E80" s="17">
        <f>IF(F3="1",SUMIF(Data!A:A,'57'!$A$2,Data!EL:EL),0)</f>
        <v>0</v>
      </c>
      <c r="F80" s="21" t="str">
        <f t="shared" si="4"/>
        <v/>
      </c>
    </row>
    <row r="81" spans="1:6" x14ac:dyDescent="0.2">
      <c r="A81" s="19">
        <v>15</v>
      </c>
      <c r="B81" s="181" t="s">
        <v>13</v>
      </c>
      <c r="C81" s="182"/>
      <c r="D81" s="14">
        <f t="shared" si="5"/>
        <v>788</v>
      </c>
      <c r="E81" s="17">
        <f>IF(F3="1",SUMIF(Data!A:A,'57'!$A$2,Data!EM:EM),0)</f>
        <v>62390</v>
      </c>
      <c r="F81" s="21">
        <f t="shared" si="4"/>
        <v>79.180000000000007</v>
      </c>
    </row>
    <row r="82" spans="1:6" x14ac:dyDescent="0.2">
      <c r="A82" s="19">
        <v>16</v>
      </c>
      <c r="B82" s="181" t="s">
        <v>14</v>
      </c>
      <c r="C82" s="182"/>
      <c r="D82" s="14">
        <f t="shared" si="5"/>
        <v>2770</v>
      </c>
      <c r="E82" s="17">
        <f>IF(F3="1",SUMIF(Data!A:A,'57'!$A$2,Data!EN:EN),0)</f>
        <v>219315</v>
      </c>
      <c r="F82" s="21">
        <f t="shared" si="4"/>
        <v>79.180000000000007</v>
      </c>
    </row>
    <row r="83" spans="1:6" x14ac:dyDescent="0.2">
      <c r="A83" s="19">
        <v>17</v>
      </c>
      <c r="B83" s="181" t="s">
        <v>15</v>
      </c>
      <c r="C83" s="182"/>
      <c r="D83" s="14">
        <f t="shared" si="5"/>
        <v>0</v>
      </c>
      <c r="E83" s="17">
        <f>IF(F3="1",SUMIF(Data!A:A,'57'!$A$2,Data!EO:EO),0)</f>
        <v>0</v>
      </c>
      <c r="F83" s="21" t="str">
        <f t="shared" si="4"/>
        <v/>
      </c>
    </row>
    <row r="84" spans="1:6" x14ac:dyDescent="0.2">
      <c r="A84" s="19">
        <v>18</v>
      </c>
      <c r="B84" s="181" t="s">
        <v>16</v>
      </c>
      <c r="C84" s="182"/>
      <c r="D84" s="14">
        <f t="shared" si="5"/>
        <v>2562</v>
      </c>
      <c r="E84" s="17">
        <f>IF(F3="1",SUMIF(Data!A:A,'57'!$A$2,Data!EP:EP),0)</f>
        <v>202846</v>
      </c>
      <c r="F84" s="21">
        <f t="shared" si="4"/>
        <v>79.17</v>
      </c>
    </row>
    <row r="85" spans="1:6" x14ac:dyDescent="0.2">
      <c r="A85" s="19">
        <v>19</v>
      </c>
      <c r="B85" s="181" t="s">
        <v>17</v>
      </c>
      <c r="C85" s="182"/>
      <c r="D85" s="14">
        <f t="shared" si="5"/>
        <v>7026</v>
      </c>
      <c r="E85" s="17">
        <f>IF(F3="1",SUMIF(Data!A:A,'57'!$A$2,Data!EQ:EQ),0)</f>
        <v>556283</v>
      </c>
      <c r="F85" s="21">
        <f t="shared" si="4"/>
        <v>79.17</v>
      </c>
    </row>
    <row r="86" spans="1:6" x14ac:dyDescent="0.2">
      <c r="A86" s="19">
        <v>20</v>
      </c>
      <c r="B86" s="181" t="s">
        <v>18</v>
      </c>
      <c r="C86" s="182"/>
      <c r="D86" s="14">
        <f t="shared" si="5"/>
        <v>1360</v>
      </c>
      <c r="E86" s="17">
        <f>IF(F3="1",SUMIF(Data!A:A,'57'!$A$2,Data!ER:ER),0)</f>
        <v>107678</v>
      </c>
      <c r="F86" s="21">
        <f t="shared" si="4"/>
        <v>79.180000000000007</v>
      </c>
    </row>
    <row r="87" spans="1:6" ht="14.25" customHeight="1" x14ac:dyDescent="0.2">
      <c r="A87" s="19">
        <v>21</v>
      </c>
      <c r="B87" s="181" t="s">
        <v>461</v>
      </c>
      <c r="C87" s="182"/>
      <c r="D87" s="14">
        <f t="shared" si="5"/>
        <v>0</v>
      </c>
      <c r="E87" s="17">
        <f>IF(F3="1",SUMIF(Data!A:A,'57'!$A$2,Data!ES:ES),0)</f>
        <v>0</v>
      </c>
      <c r="F87" s="21" t="str">
        <f t="shared" si="4"/>
        <v/>
      </c>
    </row>
    <row r="88" spans="1:6" x14ac:dyDescent="0.2">
      <c r="A88" s="19">
        <v>22</v>
      </c>
      <c r="B88" s="181" t="s">
        <v>19</v>
      </c>
      <c r="C88" s="182"/>
      <c r="D88" s="14">
        <f t="shared" si="5"/>
        <v>0</v>
      </c>
      <c r="E88" s="17">
        <f>IF(F3="1",SUMIF(Data!A:A,'57'!$A$2,Data!ET:ET),0)</f>
        <v>0</v>
      </c>
      <c r="F88" s="21" t="str">
        <f t="shared" si="4"/>
        <v/>
      </c>
    </row>
    <row r="89" spans="1:6" x14ac:dyDescent="0.2">
      <c r="A89" s="19">
        <v>23</v>
      </c>
      <c r="B89" s="181" t="s">
        <v>20</v>
      </c>
      <c r="C89" s="182"/>
      <c r="D89" s="14">
        <f t="shared" si="5"/>
        <v>139</v>
      </c>
      <c r="E89" s="17">
        <f>IF(F3="1",SUMIF(Data!A:A,'57'!$A$2,Data!EU:EU),0)</f>
        <v>11005</v>
      </c>
      <c r="F89" s="21">
        <f t="shared" si="4"/>
        <v>79.17</v>
      </c>
    </row>
    <row r="90" spans="1:6" x14ac:dyDescent="0.2">
      <c r="A90" s="19">
        <v>24</v>
      </c>
      <c r="B90" s="181" t="s">
        <v>21</v>
      </c>
      <c r="C90" s="182"/>
      <c r="D90" s="14">
        <f t="shared" si="5"/>
        <v>1260</v>
      </c>
      <c r="E90" s="17">
        <f>IF(F3="1",SUMIF(Data!A:A,'57'!$A$2,Data!EV:EV),0)</f>
        <v>99760</v>
      </c>
      <c r="F90" s="21">
        <f t="shared" si="4"/>
        <v>79.17</v>
      </c>
    </row>
    <row r="91" spans="1:6" x14ac:dyDescent="0.2">
      <c r="A91" s="19">
        <v>25</v>
      </c>
      <c r="B91" s="181" t="s">
        <v>22</v>
      </c>
      <c r="C91" s="182"/>
      <c r="D91" s="14">
        <f t="shared" si="5"/>
        <v>8457</v>
      </c>
      <c r="E91" s="17">
        <f>IF(F3="1",SUMIF(Data!A:A,'57'!$A$2,Data!EW:EW),0)</f>
        <v>669583</v>
      </c>
      <c r="F91" s="21">
        <f t="shared" si="4"/>
        <v>79.180000000000007</v>
      </c>
    </row>
    <row r="92" spans="1:6" x14ac:dyDescent="0.2">
      <c r="A92" s="19">
        <v>26</v>
      </c>
      <c r="B92" s="181" t="s">
        <v>23</v>
      </c>
      <c r="C92" s="182"/>
      <c r="D92" s="14">
        <f t="shared" si="5"/>
        <v>1884</v>
      </c>
      <c r="E92" s="17">
        <f>IF(F3="1",SUMIF(Data!A:A,'57'!$A$2,Data!EX:EX),0)</f>
        <v>149166</v>
      </c>
      <c r="F92" s="21">
        <f t="shared" si="4"/>
        <v>79.180000000000007</v>
      </c>
    </row>
    <row r="93" spans="1:6" x14ac:dyDescent="0.2">
      <c r="A93" s="19">
        <v>28</v>
      </c>
      <c r="B93" s="181" t="s">
        <v>24</v>
      </c>
      <c r="C93" s="182"/>
      <c r="D93" s="14">
        <f t="shared" si="5"/>
        <v>0</v>
      </c>
      <c r="E93" s="17">
        <f>IF(F3="1",SUMIF(Data!A:A,'57'!$A$2,Data!EZ:EZ),0)</f>
        <v>0</v>
      </c>
      <c r="F93" s="21" t="str">
        <f t="shared" si="4"/>
        <v/>
      </c>
    </row>
    <row r="94" spans="1:6" ht="15.75" customHeight="1" thickBot="1" x14ac:dyDescent="0.25">
      <c r="A94" s="22">
        <v>29</v>
      </c>
      <c r="B94" s="183" t="s">
        <v>25</v>
      </c>
      <c r="C94" s="184"/>
      <c r="D94" s="23">
        <f t="shared" si="5"/>
        <v>0</v>
      </c>
      <c r="E94" s="24">
        <f>IF(F3="1",SUMIF(Data!A:A,'57'!$A$2,Data!FA:FA),0)</f>
        <v>0</v>
      </c>
      <c r="F94" s="25" t="str">
        <f t="shared" si="4"/>
        <v/>
      </c>
    </row>
    <row r="95" spans="1:6" x14ac:dyDescent="0.2">
      <c r="B95" s="30" t="s">
        <v>35</v>
      </c>
      <c r="C95" s="30"/>
      <c r="D95" s="59">
        <f>SUM(D67:D94)</f>
        <v>55284</v>
      </c>
      <c r="E95" s="31">
        <f>SUM(E67:E94)</f>
        <v>4377107</v>
      </c>
      <c r="F95" s="32">
        <f t="shared" si="4"/>
        <v>79.17</v>
      </c>
    </row>
    <row r="96" spans="1:6" ht="15" thickBot="1" x14ac:dyDescent="0.25">
      <c r="F96" s="66"/>
    </row>
    <row r="97" spans="2:7" ht="29.25" customHeight="1" x14ac:dyDescent="0.2">
      <c r="B97" s="185" t="s">
        <v>468</v>
      </c>
      <c r="C97" s="186"/>
      <c r="D97" s="28" t="s">
        <v>27</v>
      </c>
      <c r="E97" s="33" t="s">
        <v>462</v>
      </c>
      <c r="F97" s="29" t="s">
        <v>463</v>
      </c>
    </row>
    <row r="98" spans="2:7" x14ac:dyDescent="0.2">
      <c r="B98" s="187" t="s">
        <v>30</v>
      </c>
      <c r="C98" s="188"/>
      <c r="D98" s="35"/>
      <c r="E98" s="15">
        <f>IF(F3="1",SUMIF(Data!A:A,'57'!$A$2,Data!AH:AH),0)</f>
        <v>2508791</v>
      </c>
      <c r="F98" s="20">
        <f>IF(OR(E98=0,E98=0),"",ROUND(E98/$D$105,2))</f>
        <v>45.38</v>
      </c>
    </row>
    <row r="99" spans="2:7" x14ac:dyDescent="0.2">
      <c r="B99" s="187" t="s">
        <v>31</v>
      </c>
      <c r="C99" s="188"/>
      <c r="D99" s="36"/>
      <c r="E99" s="17">
        <f>IF(F3="1",SUMIF(Data!A:A,'57'!$A$2,Data!AI:AI),0)</f>
        <v>839725</v>
      </c>
      <c r="F99" s="21">
        <f t="shared" ref="F99:F104" si="6">IF(OR(E99=0,E99=0),"",ROUND(E99/$D$105,2))</f>
        <v>15.19</v>
      </c>
    </row>
    <row r="100" spans="2:7" x14ac:dyDescent="0.2">
      <c r="B100" s="187" t="s">
        <v>1078</v>
      </c>
      <c r="C100" s="188"/>
      <c r="D100" s="36"/>
      <c r="E100" s="17">
        <f>IF(F3="1",SUMIF(Data!A:A,'57'!$A$2,Data!AJ:AJ),0)</f>
        <v>448394</v>
      </c>
      <c r="F100" s="21">
        <f t="shared" si="6"/>
        <v>8.11</v>
      </c>
    </row>
    <row r="101" spans="2:7" x14ac:dyDescent="0.2">
      <c r="B101" s="187" t="s">
        <v>1079</v>
      </c>
      <c r="C101" s="188"/>
      <c r="D101" s="36"/>
      <c r="E101" s="17">
        <f>IF(F3="1",SUMIF(Data!A:A,'57'!$A$2,Data!AK:AK),0)</f>
        <v>217688</v>
      </c>
      <c r="F101" s="21">
        <f t="shared" si="6"/>
        <v>3.94</v>
      </c>
    </row>
    <row r="102" spans="2:7" x14ac:dyDescent="0.2">
      <c r="B102" s="187" t="s">
        <v>1080</v>
      </c>
      <c r="C102" s="188"/>
      <c r="D102" s="36"/>
      <c r="E102" s="17">
        <f>IF(F3="1",SUMIF(Data!A:A,'57'!$A$2,Data!AL:AL),0)</f>
        <v>0</v>
      </c>
      <c r="F102" s="21" t="str">
        <f t="shared" si="6"/>
        <v/>
      </c>
    </row>
    <row r="103" spans="2:7" x14ac:dyDescent="0.2">
      <c r="B103" s="189" t="s">
        <v>34</v>
      </c>
      <c r="C103" s="190"/>
      <c r="D103" s="36"/>
      <c r="E103" s="17">
        <f>IF(F3="1",SUMIF(Data!A:A,'57'!$A$2,Data!AM:AM),0)</f>
        <v>0</v>
      </c>
      <c r="F103" s="21" t="str">
        <f t="shared" si="6"/>
        <v/>
      </c>
    </row>
    <row r="104" spans="2:7" ht="15.75" customHeight="1" thickBot="1" x14ac:dyDescent="0.25">
      <c r="B104" s="179" t="s">
        <v>29</v>
      </c>
      <c r="C104" s="180"/>
      <c r="D104" s="37"/>
      <c r="E104" s="24">
        <f>IF(F3="1",SUMIF(Data!A:A,'57'!$A$2,Data!Q:Q),0)</f>
        <v>691586</v>
      </c>
      <c r="F104" s="25">
        <f t="shared" si="6"/>
        <v>12.51</v>
      </c>
    </row>
    <row r="105" spans="2:7" x14ac:dyDescent="0.2">
      <c r="B105" s="30" t="s">
        <v>35</v>
      </c>
      <c r="C105" s="30"/>
      <c r="D105" s="34">
        <f>D95</f>
        <v>55284</v>
      </c>
      <c r="E105" s="31">
        <f>SUM(E98:E104)</f>
        <v>4706184</v>
      </c>
      <c r="F105" s="32">
        <f>IF($D$105=0,"",ROUND(E105/$D$105,2))</f>
        <v>85.13</v>
      </c>
    </row>
    <row r="107" spans="2:7" ht="15" thickBot="1" x14ac:dyDescent="0.25">
      <c r="B107" s="58" t="s">
        <v>932</v>
      </c>
    </row>
    <row r="108" spans="2:7" ht="28.5" x14ac:dyDescent="0.2">
      <c r="B108" s="45" t="s">
        <v>926</v>
      </c>
      <c r="C108" s="27" t="s">
        <v>930</v>
      </c>
      <c r="D108" s="27" t="s">
        <v>29</v>
      </c>
      <c r="E108" s="27" t="s">
        <v>931</v>
      </c>
      <c r="F108" s="46" t="s">
        <v>35</v>
      </c>
    </row>
    <row r="109" spans="2:7" x14ac:dyDescent="0.2">
      <c r="B109" s="42" t="s">
        <v>927</v>
      </c>
      <c r="C109" s="15">
        <f>E95+IF(F3="1",SUMIF(Data!$A:$A,$A$2,Data!GF:GF),0)</f>
        <v>4377107</v>
      </c>
      <c r="D109" s="15">
        <f>IF(F3="1",SUMIF(Data!$A:$A,$A$2,Data!HJ:HJ),0)</f>
        <v>0</v>
      </c>
      <c r="E109" s="15">
        <f>IF(F3="1",SUMIF(Data!$A:$A,$A$2,Data!IN:IN),0)</f>
        <v>0</v>
      </c>
      <c r="F109" s="47">
        <f>SUM(C109:E109)</f>
        <v>4377107</v>
      </c>
    </row>
    <row r="110" spans="2:7" s="10" customFormat="1" x14ac:dyDescent="0.2">
      <c r="B110" s="42" t="s">
        <v>28</v>
      </c>
      <c r="C110" s="50">
        <f>IF(F3="1",SUMIF(Data!A:A,$A$2,Data!W:W),0)</f>
        <v>0</v>
      </c>
      <c r="D110" s="51"/>
      <c r="E110" s="50">
        <f>IF(F3="1",SUMIF(Data!A:A,$A$2,Data!W:W),0)</f>
        <v>0</v>
      </c>
      <c r="F110" s="48">
        <f t="shared" ref="F110:F116" si="7">SUM(C110:E110)</f>
        <v>0</v>
      </c>
      <c r="G110" s="57"/>
    </row>
    <row r="111" spans="2:7" x14ac:dyDescent="0.2">
      <c r="B111" s="42" t="s">
        <v>928</v>
      </c>
      <c r="C111" s="50">
        <f>IF(F3="1",SUMIF(Data!A:A,$A$2,Data!AS:AS),0)</f>
        <v>0</v>
      </c>
      <c r="D111" s="51"/>
      <c r="E111" s="50">
        <f>IF(F3="1",SUMIF(Data!A:A,$A$2,Data!AX:AX),0)</f>
        <v>0</v>
      </c>
      <c r="F111" s="48">
        <f t="shared" si="7"/>
        <v>0</v>
      </c>
    </row>
    <row r="112" spans="2:7" x14ac:dyDescent="0.2">
      <c r="B112" s="42" t="s">
        <v>32</v>
      </c>
      <c r="C112" s="50">
        <f>IF(F3="1",SUMIF(Data!A:A,$A$2,Data!V:V),0)</f>
        <v>0</v>
      </c>
      <c r="D112" s="51"/>
      <c r="E112" s="50">
        <f>IF(F3="1",SUMIF(Data!A:A,$A$2,Data!AC:AC),0)</f>
        <v>0</v>
      </c>
      <c r="F112" s="48">
        <f t="shared" si="7"/>
        <v>0</v>
      </c>
    </row>
    <row r="113" spans="1:7" x14ac:dyDescent="0.2">
      <c r="B113" s="42" t="s">
        <v>31</v>
      </c>
      <c r="C113" s="50">
        <f>IF(F3="1",SUMIF(Data!A:A,$A$2,Data!U:U),0)</f>
        <v>0</v>
      </c>
      <c r="D113" s="51"/>
      <c r="E113" s="50">
        <f>IF(F3="1",SUMIF(Data!A:A,$A$2,Data!AB:AB),0)</f>
        <v>0</v>
      </c>
      <c r="F113" s="48">
        <f t="shared" si="7"/>
        <v>0</v>
      </c>
    </row>
    <row r="114" spans="1:7" x14ac:dyDescent="0.2">
      <c r="B114" s="42" t="s">
        <v>1009</v>
      </c>
      <c r="C114" s="50">
        <f>IF(F3="1",SUMIF(Data!A:A,$A$2,Data!T:T),0)</f>
        <v>0</v>
      </c>
      <c r="D114" s="51"/>
      <c r="E114" s="50">
        <f>IF(F3="1",SUMIF(Data!A:A,$A$2,Data!AA:AA),0)</f>
        <v>0</v>
      </c>
      <c r="F114" s="48">
        <f t="shared" si="7"/>
        <v>0</v>
      </c>
    </row>
    <row r="115" spans="1:7" x14ac:dyDescent="0.2">
      <c r="B115" s="42" t="s">
        <v>929</v>
      </c>
      <c r="C115" s="50">
        <f>IF(F3="1",SUMIF(Data!A:A,$A$2,Data!BI:BI),0)</f>
        <v>0</v>
      </c>
      <c r="D115" s="50">
        <f>IF(F3="1",SUMIF(Data!A:A,$A$2,Data!BL:BL),0)</f>
        <v>0</v>
      </c>
      <c r="E115" s="50">
        <f>IF(F3="1",SUMIF(Data!A:A,$A$2,Data!BU:BU),0)</f>
        <v>0</v>
      </c>
      <c r="F115" s="48">
        <f t="shared" si="7"/>
        <v>0</v>
      </c>
    </row>
    <row r="116" spans="1:7" s="10" customFormat="1" x14ac:dyDescent="0.2">
      <c r="B116" s="42" t="s">
        <v>33</v>
      </c>
      <c r="C116" s="50">
        <f>IF(F3="1",SUMIF(Data!A:A,$A$2,Data!X:X),0)</f>
        <v>0</v>
      </c>
      <c r="D116" s="50"/>
      <c r="E116" s="50">
        <f>E102</f>
        <v>0</v>
      </c>
      <c r="F116" s="48">
        <f t="shared" si="7"/>
        <v>0</v>
      </c>
      <c r="G116" s="57"/>
    </row>
    <row r="117" spans="1:7" s="10" customFormat="1" ht="15" thickBot="1" x14ac:dyDescent="0.25">
      <c r="B117" s="43" t="s">
        <v>933</v>
      </c>
      <c r="C117" s="52"/>
      <c r="D117" s="52">
        <f>IF(F3="1",SUMIF(Data!A:A,$A$2,Data!Q:Q),0)</f>
        <v>691586</v>
      </c>
      <c r="E117" s="52"/>
      <c r="F117" s="49">
        <f>SUM(C117:E117)</f>
        <v>691586</v>
      </c>
      <c r="G117" s="57"/>
    </row>
    <row r="118" spans="1:7" x14ac:dyDescent="0.2">
      <c r="B118" s="13" t="s">
        <v>35</v>
      </c>
      <c r="C118" s="4">
        <f>SUM(C109:C116)</f>
        <v>4377107</v>
      </c>
      <c r="D118" s="4">
        <f>SUM(D109:D116)</f>
        <v>0</v>
      </c>
      <c r="E118" s="4">
        <f>SUM(E109:E116)</f>
        <v>0</v>
      </c>
      <c r="F118" s="4">
        <f>SUM(F109:F116)</f>
        <v>4377107</v>
      </c>
    </row>
    <row r="119" spans="1:7" ht="15" thickBot="1" x14ac:dyDescent="0.25"/>
    <row r="120" spans="1:7" s="10" customFormat="1" ht="15" thickBot="1" x14ac:dyDescent="0.25">
      <c r="B120" s="55" t="s">
        <v>934</v>
      </c>
      <c r="C120" s="53"/>
      <c r="D120" s="53"/>
      <c r="E120" s="53">
        <f>IF(F3="1",SUMIF(Data!A:A,'57'!$A$2,Data!AM:AM),0)</f>
        <v>0</v>
      </c>
      <c r="F120" s="54">
        <f>SUM(C120:E120)</f>
        <v>0</v>
      </c>
      <c r="G120" s="57"/>
    </row>
    <row r="122" spans="1:7" s="60" customFormat="1" ht="101.25" customHeight="1" x14ac:dyDescent="0.2">
      <c r="A122" s="193" t="s">
        <v>935</v>
      </c>
      <c r="B122" s="193"/>
      <c r="C122" s="193"/>
      <c r="D122" s="193"/>
      <c r="E122" s="193"/>
      <c r="F122" s="193"/>
    </row>
  </sheetData>
  <mergeCells count="96">
    <mergeCell ref="B10:C10"/>
    <mergeCell ref="B4:C4"/>
    <mergeCell ref="B5:C5"/>
    <mergeCell ref="B6:C6"/>
    <mergeCell ref="B7:C7"/>
    <mergeCell ref="B8:C8"/>
    <mergeCell ref="B9:C9"/>
    <mergeCell ref="B22:C22"/>
    <mergeCell ref="B11:C11"/>
    <mergeCell ref="B12:C12"/>
    <mergeCell ref="B13:C13"/>
    <mergeCell ref="B14:C14"/>
    <mergeCell ref="B15:C15"/>
    <mergeCell ref="B16:C16"/>
    <mergeCell ref="B17:C17"/>
    <mergeCell ref="B18:C18"/>
    <mergeCell ref="B19:C19"/>
    <mergeCell ref="B20:C20"/>
    <mergeCell ref="B21:C21"/>
    <mergeCell ref="B36:C36"/>
    <mergeCell ref="B23:C23"/>
    <mergeCell ref="B24:C24"/>
    <mergeCell ref="B25:C25"/>
    <mergeCell ref="B26:C26"/>
    <mergeCell ref="B27:C27"/>
    <mergeCell ref="B28:C28"/>
    <mergeCell ref="B29:C29"/>
    <mergeCell ref="B30:C30"/>
    <mergeCell ref="B31:C31"/>
    <mergeCell ref="B32:C32"/>
    <mergeCell ref="B35:C35"/>
    <mergeCell ref="B48:C48"/>
    <mergeCell ref="B37:C37"/>
    <mergeCell ref="B38:C38"/>
    <mergeCell ref="B39:C39"/>
    <mergeCell ref="B40:C40"/>
    <mergeCell ref="B41:C41"/>
    <mergeCell ref="B42:C42"/>
    <mergeCell ref="B43:C43"/>
    <mergeCell ref="B44:C44"/>
    <mergeCell ref="B45:C45"/>
    <mergeCell ref="B46:C46"/>
    <mergeCell ref="B47:C47"/>
    <mergeCell ref="B60:C60"/>
    <mergeCell ref="B61:C61"/>
    <mergeCell ref="B62:C62"/>
    <mergeCell ref="B66:C66"/>
    <mergeCell ref="B73:C73"/>
    <mergeCell ref="B86:C86"/>
    <mergeCell ref="B85:C85"/>
    <mergeCell ref="B84:C84"/>
    <mergeCell ref="B49:C49"/>
    <mergeCell ref="B50:C50"/>
    <mergeCell ref="B51:C51"/>
    <mergeCell ref="B52:C52"/>
    <mergeCell ref="B53:C53"/>
    <mergeCell ref="B54:C54"/>
    <mergeCell ref="B82:C82"/>
    <mergeCell ref="B55:C55"/>
    <mergeCell ref="B56:C56"/>
    <mergeCell ref="B57:C57"/>
    <mergeCell ref="B58:C58"/>
    <mergeCell ref="B67:C67"/>
    <mergeCell ref="B59:C59"/>
    <mergeCell ref="B102:C102"/>
    <mergeCell ref="B103:C103"/>
    <mergeCell ref="B69:C69"/>
    <mergeCell ref="B68:C68"/>
    <mergeCell ref="B99:C99"/>
    <mergeCell ref="B83:C83"/>
    <mergeCell ref="B94:C94"/>
    <mergeCell ref="B97:C97"/>
    <mergeCell ref="B98:C98"/>
    <mergeCell ref="B93:C93"/>
    <mergeCell ref="B92:C92"/>
    <mergeCell ref="B91:C91"/>
    <mergeCell ref="B90:C90"/>
    <mergeCell ref="B89:C89"/>
    <mergeCell ref="B88:C88"/>
    <mergeCell ref="B87:C87"/>
    <mergeCell ref="B104:C104"/>
    <mergeCell ref="B63:C63"/>
    <mergeCell ref="A122:F122"/>
    <mergeCell ref="B100:C100"/>
    <mergeCell ref="B101:C101"/>
    <mergeCell ref="B72:C72"/>
    <mergeCell ref="B71:C71"/>
    <mergeCell ref="B70:C70"/>
    <mergeCell ref="B81:C81"/>
    <mergeCell ref="B80:C80"/>
    <mergeCell ref="B79:C79"/>
    <mergeCell ref="B78:C78"/>
    <mergeCell ref="B77:C77"/>
    <mergeCell ref="B76:C76"/>
    <mergeCell ref="B75:C75"/>
    <mergeCell ref="B74:C74"/>
  </mergeCells>
  <pageMargins left="0.25" right="0.25" top="0.75" bottom="0.75" header="0.3" footer="0.3"/>
  <pageSetup orientation="landscape" r:id="rId1"/>
  <rowBreaks count="2" manualBreakCount="2">
    <brk id="64" max="16383" man="1"/>
    <brk id="95"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125"/>
  <sheetViews>
    <sheetView showGridLines="0" zoomScale="70" zoomScaleNormal="70" workbookViewId="0">
      <pane xSplit="1" ySplit="4" topLeftCell="C5" activePane="bottomRight" state="frozen"/>
      <selection pane="topRight"/>
      <selection pane="bottomLeft"/>
      <selection pane="bottomRight"/>
    </sheetView>
  </sheetViews>
  <sheetFormatPr defaultColWidth="27.7109375" defaultRowHeight="15" outlineLevelCol="1" x14ac:dyDescent="0.25"/>
  <cols>
    <col min="1" max="1" width="17.28515625" bestFit="1" customWidth="1"/>
    <col min="2" max="2" width="27.7109375" hidden="1" customWidth="1" outlineLevel="1"/>
    <col min="3" max="3" width="27.7109375" customWidth="1" outlineLevel="1"/>
    <col min="4" max="4" width="27.7109375" hidden="1" customWidth="1" outlineLevel="1"/>
    <col min="5" max="5" width="18.140625" hidden="1" customWidth="1" outlineLevel="1"/>
    <col min="6" max="6" width="27.7109375" hidden="1" customWidth="1" outlineLevel="1"/>
    <col min="7" max="7" width="27.7109375" customWidth="1" outlineLevel="1"/>
    <col min="8" max="11" width="27.7109375" hidden="1" customWidth="1" outlineLevel="1"/>
    <col min="12" max="12" width="17.7109375" hidden="1" customWidth="1" outlineLevel="1" collapsed="1"/>
    <col min="13" max="13" width="16.85546875" hidden="1" customWidth="1" outlineLevel="1"/>
    <col min="14" max="14" width="16.85546875" hidden="1" customWidth="1" outlineLevel="1" collapsed="1"/>
    <col min="15" max="15" width="18.42578125" hidden="1" customWidth="1"/>
    <col min="16" max="16" width="15" hidden="1" customWidth="1"/>
    <col min="17" max="17" width="27.7109375" customWidth="1" outlineLevel="1"/>
    <col min="18" max="18" width="17.140625" hidden="1" customWidth="1" outlineLevel="1"/>
    <col min="19" max="19" width="18.28515625" hidden="1" customWidth="1"/>
    <col min="20" max="25" width="27.7109375" hidden="1" customWidth="1" outlineLevel="1"/>
    <col min="26" max="26" width="27.7109375" hidden="1" customWidth="1" collapsed="1"/>
    <col min="27" max="32" width="27.7109375" hidden="1" customWidth="1" outlineLevel="1"/>
    <col min="33" max="33" width="27.7109375" hidden="1" customWidth="1" collapsed="1"/>
    <col min="34" max="39" width="27.7109375" customWidth="1" outlineLevel="1"/>
    <col min="40" max="40" width="27.7109375" customWidth="1"/>
    <col min="41" max="44" width="27.7109375" hidden="1" customWidth="1" outlineLevel="1"/>
    <col min="45" max="45" width="27.7109375" hidden="1" customWidth="1" collapsed="1"/>
    <col min="46" max="49" width="27.7109375" hidden="1" customWidth="1" outlineLevel="1"/>
    <col min="50" max="50" width="27.7109375" hidden="1" customWidth="1" collapsed="1"/>
    <col min="51" max="54" width="27.7109375" hidden="1" customWidth="1" outlineLevel="1"/>
    <col min="55" max="55" width="27.7109375" hidden="1" customWidth="1" collapsed="1"/>
    <col min="56" max="56" width="27.7109375" hidden="1" customWidth="1" outlineLevel="1"/>
    <col min="57" max="57" width="28.7109375" hidden="1" customWidth="1" outlineLevel="1"/>
    <col min="58" max="60" width="27.7109375" hidden="1" customWidth="1" outlineLevel="1"/>
    <col min="61" max="61" width="27.7109375" hidden="1" customWidth="1" collapsed="1"/>
    <col min="62" max="66" width="27.7109375" hidden="1" customWidth="1" outlineLevel="1"/>
    <col min="67" max="67" width="27.7109375" hidden="1" customWidth="1" collapsed="1"/>
    <col min="68" max="72" width="27.7109375" hidden="1" customWidth="1" outlineLevel="1"/>
    <col min="73" max="73" width="27.7109375" hidden="1" customWidth="1" collapsed="1"/>
    <col min="74" max="78" width="27.7109375" hidden="1" customWidth="1" outlineLevel="1"/>
    <col min="79" max="79" width="27.7109375" hidden="1" customWidth="1" collapsed="1"/>
    <col min="80" max="94" width="27.7109375" hidden="1" customWidth="1" outlineLevel="1"/>
    <col min="95" max="95" width="27.7109375" hidden="1" customWidth="1" collapsed="1"/>
    <col min="96" max="96" width="27.7109375" hidden="1" customWidth="1" outlineLevel="1"/>
    <col min="97" max="97" width="27.7109375" hidden="1" customWidth="1" collapsed="1"/>
    <col min="98" max="98" width="27.7109375" hidden="1" customWidth="1"/>
    <col min="99" max="127" width="27.7109375" customWidth="1" outlineLevel="1"/>
    <col min="128" max="128" width="35.42578125" bestFit="1" customWidth="1"/>
    <col min="129" max="129" width="35.42578125" bestFit="1" customWidth="1" outlineLevel="1"/>
    <col min="130" max="130" width="38.140625" bestFit="1" customWidth="1" outlineLevel="1"/>
    <col min="131" max="132" width="38.7109375" bestFit="1" customWidth="1" outlineLevel="1"/>
    <col min="133" max="134" width="35.42578125" bestFit="1" customWidth="1" outlineLevel="1"/>
    <col min="135" max="135" width="37.28515625" bestFit="1" customWidth="1" outlineLevel="1"/>
    <col min="136" max="136" width="38.140625" bestFit="1" customWidth="1" outlineLevel="1"/>
    <col min="137" max="137" width="39.140625" bestFit="1" customWidth="1" outlineLevel="1"/>
    <col min="138" max="138" width="35.42578125" bestFit="1" customWidth="1" outlineLevel="1"/>
    <col min="139" max="139" width="38.140625" bestFit="1" customWidth="1" outlineLevel="1"/>
    <col min="140" max="140" width="38.85546875" bestFit="1" customWidth="1" outlineLevel="1"/>
    <col min="141" max="141" width="37.42578125" bestFit="1" customWidth="1" outlineLevel="1"/>
    <col min="142" max="142" width="35.85546875" bestFit="1" customWidth="1" outlineLevel="1"/>
    <col min="143" max="143" width="38.7109375" bestFit="1" customWidth="1" outlineLevel="1"/>
    <col min="144" max="144" width="37.140625" bestFit="1" customWidth="1" outlineLevel="1"/>
    <col min="145" max="147" width="35.42578125" bestFit="1" customWidth="1" outlineLevel="1"/>
    <col min="148" max="148" width="39.140625" bestFit="1" customWidth="1" outlineLevel="1"/>
    <col min="149" max="149" width="39.5703125" bestFit="1" customWidth="1" outlineLevel="1"/>
    <col min="150" max="150" width="38.85546875" bestFit="1" customWidth="1" outlineLevel="1"/>
    <col min="151" max="154" width="35.42578125" bestFit="1" customWidth="1" outlineLevel="1"/>
    <col min="155" max="155" width="16.28515625" bestFit="1" customWidth="1" outlineLevel="1"/>
    <col min="156" max="157" width="35.42578125" bestFit="1" customWidth="1" outlineLevel="1"/>
    <col min="158" max="158" width="35.42578125" bestFit="1" customWidth="1"/>
    <col min="159" max="159" width="38.7109375" bestFit="1" customWidth="1" outlineLevel="1"/>
    <col min="160" max="160" width="38.140625" bestFit="1" customWidth="1" outlineLevel="1"/>
    <col min="161" max="161" width="37.140625" bestFit="1" customWidth="1" outlineLevel="1"/>
    <col min="162" max="162" width="39.140625" bestFit="1" customWidth="1" outlineLevel="1"/>
    <col min="163" max="163" width="39.28515625" bestFit="1" customWidth="1" outlineLevel="1"/>
    <col min="164" max="165" width="37.28515625" bestFit="1" customWidth="1" outlineLevel="1"/>
    <col min="166" max="166" width="36.28515625" bestFit="1" customWidth="1" outlineLevel="1"/>
    <col min="167" max="167" width="39.140625" bestFit="1" customWidth="1" outlineLevel="1"/>
    <col min="168" max="168" width="35.42578125" bestFit="1" customWidth="1" outlineLevel="1"/>
    <col min="169" max="169" width="36.28515625" bestFit="1" customWidth="1" outlineLevel="1"/>
    <col min="170" max="170" width="37.28515625" bestFit="1" customWidth="1" outlineLevel="1"/>
    <col min="171" max="171" width="35.7109375" bestFit="1" customWidth="1" outlineLevel="1"/>
    <col min="172" max="172" width="35.85546875" bestFit="1" customWidth="1" outlineLevel="1"/>
    <col min="173" max="173" width="38.7109375" bestFit="1" customWidth="1" outlineLevel="1"/>
    <col min="174" max="174" width="35.42578125" bestFit="1" customWidth="1" outlineLevel="1"/>
    <col min="175" max="175" width="36" bestFit="1" customWidth="1" outlineLevel="1"/>
    <col min="176" max="177" width="35.42578125" bestFit="1" customWidth="1" outlineLevel="1"/>
    <col min="178" max="178" width="39.140625" bestFit="1" customWidth="1" outlineLevel="1"/>
    <col min="179" max="179" width="39.5703125" bestFit="1" customWidth="1" outlineLevel="1"/>
    <col min="180" max="180" width="38.85546875" bestFit="1" customWidth="1" outlineLevel="1"/>
    <col min="181" max="181" width="38.7109375" bestFit="1" customWidth="1" outlineLevel="1"/>
    <col min="182" max="184" width="35.42578125" bestFit="1" customWidth="1" outlineLevel="1"/>
    <col min="185" max="185" width="16.28515625" bestFit="1" customWidth="1" outlineLevel="1"/>
    <col min="186" max="186" width="35.42578125" bestFit="1" customWidth="1" outlineLevel="1"/>
    <col min="187" max="187" width="36.28515625" bestFit="1" customWidth="1" outlineLevel="1"/>
    <col min="188" max="188" width="35.42578125" bestFit="1" customWidth="1"/>
    <col min="189" max="189" width="35.42578125" bestFit="1" customWidth="1" outlineLevel="1"/>
    <col min="190" max="190" width="38.140625" bestFit="1" customWidth="1" outlineLevel="1"/>
    <col min="191" max="191" width="36.28515625" bestFit="1" customWidth="1" outlineLevel="1"/>
    <col min="192" max="192" width="38.7109375" bestFit="1" customWidth="1" outlineLevel="1"/>
    <col min="193" max="194" width="35.42578125" bestFit="1" customWidth="1" outlineLevel="1"/>
    <col min="195" max="195" width="37.28515625" bestFit="1" customWidth="1" outlineLevel="1"/>
    <col min="196" max="196" width="35.7109375" bestFit="1" customWidth="1" outlineLevel="1"/>
    <col min="197" max="197" width="39.140625" bestFit="1" customWidth="1" outlineLevel="1"/>
    <col min="198" max="198" width="35.42578125" bestFit="1" customWidth="1" outlineLevel="1"/>
    <col min="199" max="199" width="35.7109375" bestFit="1" customWidth="1" outlineLevel="1"/>
    <col min="200" max="200" width="36.28515625" bestFit="1" customWidth="1" outlineLevel="1"/>
    <col min="201" max="201" width="35.42578125" bestFit="1" customWidth="1" outlineLevel="1"/>
    <col min="202" max="202" width="35.85546875" bestFit="1" customWidth="1" outlineLevel="1"/>
    <col min="203" max="203" width="38.7109375" bestFit="1" customWidth="1" outlineLevel="1"/>
    <col min="204" max="207" width="35.42578125" bestFit="1" customWidth="1" outlineLevel="1"/>
    <col min="208" max="208" width="39.140625" bestFit="1" customWidth="1" outlineLevel="1"/>
    <col min="209" max="209" width="39.5703125" bestFit="1" customWidth="1" outlineLevel="1"/>
    <col min="210" max="210" width="38.85546875" bestFit="1" customWidth="1" outlineLevel="1"/>
    <col min="211" max="211" width="37.85546875" bestFit="1" customWidth="1" outlineLevel="1"/>
    <col min="212" max="214" width="35.42578125" bestFit="1" customWidth="1" outlineLevel="1"/>
    <col min="215" max="215" width="17.28515625" bestFit="1" customWidth="1" outlineLevel="1"/>
    <col min="216" max="216" width="39.28515625" bestFit="1" customWidth="1" outlineLevel="1"/>
    <col min="217" max="217" width="35.42578125" bestFit="1" customWidth="1" outlineLevel="1"/>
    <col min="218" max="218" width="35.42578125" bestFit="1" customWidth="1"/>
    <col min="219" max="220" width="38.140625" bestFit="1" customWidth="1" outlineLevel="1"/>
    <col min="221" max="221" width="38.85546875" bestFit="1" customWidth="1" outlineLevel="1"/>
    <col min="222" max="223" width="38.7109375" bestFit="1" customWidth="1" outlineLevel="1"/>
    <col min="224" max="224" width="35.42578125" bestFit="1" customWidth="1" outlineLevel="1"/>
    <col min="225" max="225" width="37.28515625" bestFit="1" customWidth="1" outlineLevel="1"/>
    <col min="226" max="226" width="38.28515625" bestFit="1" customWidth="1" outlineLevel="1"/>
    <col min="227" max="228" width="39.140625" bestFit="1" customWidth="1" outlineLevel="1"/>
    <col min="229" max="229" width="38.28515625" bestFit="1" customWidth="1" outlineLevel="1"/>
    <col min="230" max="230" width="37.28515625" bestFit="1" customWidth="1" outlineLevel="1"/>
    <col min="231" max="231" width="37.7109375" bestFit="1" customWidth="1" outlineLevel="1"/>
    <col min="232" max="232" width="35.85546875" bestFit="1" customWidth="1" outlineLevel="1"/>
    <col min="233" max="233" width="38.7109375" bestFit="1" customWidth="1" outlineLevel="1"/>
    <col min="234" max="237" width="35.42578125" bestFit="1" customWidth="1" outlineLevel="1"/>
    <col min="238" max="238" width="39.140625" bestFit="1" customWidth="1" outlineLevel="1"/>
    <col min="239" max="239" width="39.5703125" bestFit="1" customWidth="1" outlineLevel="1"/>
    <col min="240" max="240" width="38.85546875" bestFit="1" customWidth="1" outlineLevel="1"/>
    <col min="241" max="241" width="38.7109375" bestFit="1" customWidth="1" outlineLevel="1"/>
    <col min="242" max="244" width="35.42578125" bestFit="1" customWidth="1" outlineLevel="1"/>
    <col min="245" max="245" width="18.7109375" bestFit="1" customWidth="1" outlineLevel="1"/>
    <col min="246" max="247" width="35.42578125" bestFit="1" customWidth="1" outlineLevel="1"/>
    <col min="248" max="248" width="35.42578125" bestFit="1" customWidth="1"/>
    <col min="249" max="249" width="36.85546875" bestFit="1" customWidth="1" outlineLevel="1"/>
    <col min="250" max="277" width="27.7109375" customWidth="1" outlineLevel="1"/>
    <col min="279" max="307" width="27.7109375" hidden="1" customWidth="1" outlineLevel="1"/>
    <col min="308" max="308" width="0" hidden="1" customWidth="1" collapsed="1"/>
    <col min="309" max="314" width="0" hidden="1" customWidth="1"/>
  </cols>
  <sheetData>
    <row r="1" spans="1:314" s="40" customFormat="1" ht="120" x14ac:dyDescent="0.25">
      <c r="A1" s="40" t="s">
        <v>716</v>
      </c>
      <c r="B1" s="40" t="s">
        <v>903</v>
      </c>
      <c r="C1" s="40" t="s">
        <v>904</v>
      </c>
      <c r="D1" s="40" t="s">
        <v>905</v>
      </c>
      <c r="E1" s="40" t="s">
        <v>906</v>
      </c>
      <c r="F1" s="40" t="s">
        <v>907</v>
      </c>
      <c r="G1" s="40" t="s">
        <v>908</v>
      </c>
      <c r="H1" s="40" t="s">
        <v>909</v>
      </c>
      <c r="I1" s="40" t="s">
        <v>910</v>
      </c>
      <c r="J1" s="40" t="s">
        <v>911</v>
      </c>
      <c r="K1" s="40" t="s">
        <v>912</v>
      </c>
      <c r="L1" s="40" t="s">
        <v>469</v>
      </c>
      <c r="M1" s="40" t="s">
        <v>469</v>
      </c>
      <c r="N1" s="40" t="s">
        <v>469</v>
      </c>
      <c r="O1" s="40" t="s">
        <v>715</v>
      </c>
      <c r="P1" s="40" t="s">
        <v>469</v>
      </c>
      <c r="Q1" s="40" t="s">
        <v>901</v>
      </c>
      <c r="R1" s="40" t="s">
        <v>469</v>
      </c>
      <c r="S1" s="40" t="s">
        <v>469</v>
      </c>
      <c r="T1" s="40" t="s">
        <v>470</v>
      </c>
      <c r="U1" s="40" t="s">
        <v>471</v>
      </c>
      <c r="V1" s="40" t="s">
        <v>472</v>
      </c>
      <c r="W1" s="40" t="s">
        <v>478</v>
      </c>
      <c r="X1" s="40" t="s">
        <v>473</v>
      </c>
      <c r="Y1" s="40" t="s">
        <v>469</v>
      </c>
      <c r="Z1" s="40" t="s">
        <v>474</v>
      </c>
      <c r="AA1" s="40" t="s">
        <v>475</v>
      </c>
      <c r="AB1" s="40" t="s">
        <v>476</v>
      </c>
      <c r="AC1" s="40" t="s">
        <v>477</v>
      </c>
      <c r="AD1" s="40" t="s">
        <v>478</v>
      </c>
      <c r="AE1" s="40" t="s">
        <v>479</v>
      </c>
      <c r="AF1" s="40" t="s">
        <v>480</v>
      </c>
      <c r="AG1" s="40" t="s">
        <v>481</v>
      </c>
      <c r="AH1" s="40" t="s">
        <v>898</v>
      </c>
      <c r="AI1" s="40" t="s">
        <v>899</v>
      </c>
      <c r="AJ1" s="40" t="s">
        <v>1075</v>
      </c>
      <c r="AK1" s="40" t="s">
        <v>1076</v>
      </c>
      <c r="AL1" s="40" t="s">
        <v>1077</v>
      </c>
      <c r="AM1" s="40" t="s">
        <v>900</v>
      </c>
      <c r="AN1" s="40" t="s">
        <v>902</v>
      </c>
      <c r="AO1" s="40" t="s">
        <v>483</v>
      </c>
      <c r="AP1" s="40" t="s">
        <v>482</v>
      </c>
      <c r="AQ1" s="40" t="s">
        <v>484</v>
      </c>
      <c r="AR1" s="40" t="s">
        <v>469</v>
      </c>
      <c r="AS1" s="40" t="s">
        <v>485</v>
      </c>
      <c r="AT1" s="40" t="s">
        <v>486</v>
      </c>
      <c r="AU1" s="40" t="s">
        <v>487</v>
      </c>
      <c r="AV1" s="40" t="s">
        <v>488</v>
      </c>
      <c r="AW1" s="40" t="s">
        <v>489</v>
      </c>
      <c r="AX1" s="40" t="s">
        <v>490</v>
      </c>
      <c r="AY1" s="40" t="s">
        <v>491</v>
      </c>
      <c r="AZ1" s="40" t="s">
        <v>492</v>
      </c>
      <c r="BA1" s="40" t="s">
        <v>493</v>
      </c>
      <c r="BB1" s="40" t="s">
        <v>494</v>
      </c>
      <c r="BC1" s="40" t="s">
        <v>495</v>
      </c>
      <c r="BD1" s="40" t="s">
        <v>496</v>
      </c>
      <c r="BE1" s="40" t="s">
        <v>497</v>
      </c>
      <c r="BF1" s="40" t="s">
        <v>469</v>
      </c>
      <c r="BG1" s="40" t="s">
        <v>469</v>
      </c>
      <c r="BH1" s="40" t="s">
        <v>469</v>
      </c>
      <c r="BI1" s="40" t="s">
        <v>498</v>
      </c>
      <c r="BJ1" s="40" t="s">
        <v>469</v>
      </c>
      <c r="BK1" s="40" t="s">
        <v>469</v>
      </c>
      <c r="BL1" s="40" t="s">
        <v>499</v>
      </c>
      <c r="BM1" s="40" t="s">
        <v>469</v>
      </c>
      <c r="BN1" s="40" t="s">
        <v>469</v>
      </c>
      <c r="BO1" s="40" t="s">
        <v>499</v>
      </c>
      <c r="BP1" s="40" t="s">
        <v>500</v>
      </c>
      <c r="BQ1" s="40" t="s">
        <v>501</v>
      </c>
      <c r="BR1" s="40" t="s">
        <v>469</v>
      </c>
      <c r="BS1" s="40" t="s">
        <v>469</v>
      </c>
      <c r="BT1" s="40" t="s">
        <v>502</v>
      </c>
      <c r="BU1" s="40" t="s">
        <v>503</v>
      </c>
      <c r="BV1" s="40" t="s">
        <v>504</v>
      </c>
      <c r="BW1" s="40" t="s">
        <v>505</v>
      </c>
      <c r="BX1" s="40" t="s">
        <v>506</v>
      </c>
      <c r="BY1" s="40" t="s">
        <v>469</v>
      </c>
      <c r="BZ1" s="40" t="s">
        <v>507</v>
      </c>
      <c r="CA1" s="40" t="s">
        <v>508</v>
      </c>
      <c r="CB1" s="40" t="s">
        <v>469</v>
      </c>
      <c r="CC1" s="40" t="s">
        <v>469</v>
      </c>
      <c r="CD1" s="40" t="s">
        <v>469</v>
      </c>
      <c r="CE1" s="40" t="s">
        <v>469</v>
      </c>
      <c r="CF1" s="40" t="s">
        <v>469</v>
      </c>
      <c r="CG1" s="40" t="s">
        <v>469</v>
      </c>
      <c r="CH1" s="40" t="s">
        <v>469</v>
      </c>
      <c r="CI1" s="40" t="s">
        <v>469</v>
      </c>
      <c r="CJ1" s="40" t="s">
        <v>469</v>
      </c>
      <c r="CK1" s="40" t="s">
        <v>469</v>
      </c>
      <c r="CL1" s="40" t="s">
        <v>469</v>
      </c>
      <c r="CM1" s="40" t="s">
        <v>469</v>
      </c>
      <c r="CN1" s="40" t="s">
        <v>469</v>
      </c>
      <c r="CO1" s="40" t="s">
        <v>469</v>
      </c>
      <c r="CP1" s="40" t="s">
        <v>469</v>
      </c>
      <c r="CQ1" s="40" t="s">
        <v>469</v>
      </c>
      <c r="CR1" s="40" t="s">
        <v>913</v>
      </c>
      <c r="CS1" s="40" t="s">
        <v>509</v>
      </c>
      <c r="CT1" s="40" t="s">
        <v>469</v>
      </c>
      <c r="CU1" s="40" t="s">
        <v>510</v>
      </c>
      <c r="CV1" s="40" t="s">
        <v>511</v>
      </c>
      <c r="CW1" s="40" t="s">
        <v>512</v>
      </c>
      <c r="CX1" s="40" t="s">
        <v>513</v>
      </c>
      <c r="CY1" s="40" t="s">
        <v>514</v>
      </c>
      <c r="CZ1" s="40" t="s">
        <v>515</v>
      </c>
      <c r="DA1" s="40" t="s">
        <v>516</v>
      </c>
      <c r="DB1" s="40" t="s">
        <v>517</v>
      </c>
      <c r="DC1" s="40" t="s">
        <v>518</v>
      </c>
      <c r="DD1" s="40" t="s">
        <v>519</v>
      </c>
      <c r="DE1" s="40" t="s">
        <v>520</v>
      </c>
      <c r="DF1" s="40" t="s">
        <v>521</v>
      </c>
      <c r="DG1" s="40" t="s">
        <v>522</v>
      </c>
      <c r="DH1" s="40" t="s">
        <v>523</v>
      </c>
      <c r="DI1" s="40" t="s">
        <v>524</v>
      </c>
      <c r="DJ1" s="40" t="s">
        <v>525</v>
      </c>
      <c r="DK1" s="40" t="s">
        <v>526</v>
      </c>
      <c r="DL1" s="40" t="s">
        <v>527</v>
      </c>
      <c r="DM1" s="40" t="s">
        <v>528</v>
      </c>
      <c r="DN1" s="40" t="s">
        <v>529</v>
      </c>
      <c r="DO1" s="40" t="s">
        <v>530</v>
      </c>
      <c r="DP1" s="40" t="s">
        <v>531</v>
      </c>
      <c r="DQ1" s="40" t="s">
        <v>532</v>
      </c>
      <c r="DR1" s="40" t="s">
        <v>533</v>
      </c>
      <c r="DS1" s="40" t="s">
        <v>534</v>
      </c>
      <c r="DT1" s="40" t="s">
        <v>535</v>
      </c>
      <c r="DU1" s="40" t="s">
        <v>469</v>
      </c>
      <c r="DV1" s="40" t="s">
        <v>536</v>
      </c>
      <c r="DW1" s="40" t="s">
        <v>537</v>
      </c>
      <c r="DX1" s="40" t="s">
        <v>538</v>
      </c>
      <c r="DY1" s="40" t="s">
        <v>539</v>
      </c>
      <c r="DZ1" s="40" t="s">
        <v>540</v>
      </c>
      <c r="EA1" s="40" t="s">
        <v>541</v>
      </c>
      <c r="EB1" s="40" t="s">
        <v>542</v>
      </c>
      <c r="EC1" s="40" t="s">
        <v>543</v>
      </c>
      <c r="ED1" s="40" t="s">
        <v>544</v>
      </c>
      <c r="EE1" s="40" t="s">
        <v>545</v>
      </c>
      <c r="EF1" s="40" t="s">
        <v>546</v>
      </c>
      <c r="EG1" s="40" t="s">
        <v>547</v>
      </c>
      <c r="EH1" s="40" t="s">
        <v>548</v>
      </c>
      <c r="EI1" s="40" t="s">
        <v>549</v>
      </c>
      <c r="EJ1" s="40" t="s">
        <v>550</v>
      </c>
      <c r="EK1" s="40" t="s">
        <v>551</v>
      </c>
      <c r="EL1" s="40" t="s">
        <v>552</v>
      </c>
      <c r="EM1" s="40" t="s">
        <v>553</v>
      </c>
      <c r="EN1" s="40" t="s">
        <v>554</v>
      </c>
      <c r="EO1" s="40" t="s">
        <v>555</v>
      </c>
      <c r="EP1" s="40" t="s">
        <v>556</v>
      </c>
      <c r="EQ1" s="40" t="s">
        <v>557</v>
      </c>
      <c r="ER1" s="40" t="s">
        <v>558</v>
      </c>
      <c r="ES1" s="40" t="s">
        <v>559</v>
      </c>
      <c r="ET1" s="40" t="s">
        <v>560</v>
      </c>
      <c r="EU1" s="40" t="s">
        <v>561</v>
      </c>
      <c r="EV1" s="40" t="s">
        <v>562</v>
      </c>
      <c r="EW1" s="40" t="s">
        <v>563</v>
      </c>
      <c r="EX1" s="40" t="s">
        <v>564</v>
      </c>
      <c r="EY1" s="40" t="s">
        <v>469</v>
      </c>
      <c r="EZ1" s="40" t="s">
        <v>565</v>
      </c>
      <c r="FA1" s="40" t="s">
        <v>566</v>
      </c>
      <c r="FB1" s="40" t="s">
        <v>567</v>
      </c>
      <c r="FC1" s="40" t="s">
        <v>568</v>
      </c>
      <c r="FD1" s="40" t="s">
        <v>569</v>
      </c>
      <c r="FE1" s="40" t="s">
        <v>570</v>
      </c>
      <c r="FF1" s="40" t="s">
        <v>571</v>
      </c>
      <c r="FG1" s="40" t="s">
        <v>572</v>
      </c>
      <c r="FH1" s="40" t="s">
        <v>573</v>
      </c>
      <c r="FI1" s="40" t="s">
        <v>574</v>
      </c>
      <c r="FJ1" s="40" t="s">
        <v>575</v>
      </c>
      <c r="FK1" s="40" t="s">
        <v>576</v>
      </c>
      <c r="FL1" s="40" t="s">
        <v>577</v>
      </c>
      <c r="FM1" s="40" t="s">
        <v>578</v>
      </c>
      <c r="FN1" s="40" t="s">
        <v>579</v>
      </c>
      <c r="FO1" s="40" t="s">
        <v>580</v>
      </c>
      <c r="FP1" s="40" t="s">
        <v>581</v>
      </c>
      <c r="FQ1" s="40" t="s">
        <v>582</v>
      </c>
      <c r="FR1" s="40" t="s">
        <v>583</v>
      </c>
      <c r="FS1" s="40" t="s">
        <v>584</v>
      </c>
      <c r="FT1" s="40" t="s">
        <v>585</v>
      </c>
      <c r="FU1" s="40" t="s">
        <v>586</v>
      </c>
      <c r="FV1" s="40" t="s">
        <v>587</v>
      </c>
      <c r="FW1" s="40" t="s">
        <v>588</v>
      </c>
      <c r="FX1" s="40" t="s">
        <v>589</v>
      </c>
      <c r="FY1" s="40" t="s">
        <v>590</v>
      </c>
      <c r="FZ1" s="40" t="s">
        <v>591</v>
      </c>
      <c r="GA1" s="40" t="s">
        <v>592</v>
      </c>
      <c r="GB1" s="40" t="s">
        <v>593</v>
      </c>
      <c r="GC1" s="40" t="s">
        <v>469</v>
      </c>
      <c r="GD1" s="40" t="s">
        <v>594</v>
      </c>
      <c r="GE1" s="40" t="s">
        <v>595</v>
      </c>
      <c r="GF1" s="40" t="s">
        <v>596</v>
      </c>
      <c r="GG1" s="40" t="s">
        <v>597</v>
      </c>
      <c r="GH1" s="40" t="s">
        <v>598</v>
      </c>
      <c r="GI1" s="40" t="s">
        <v>599</v>
      </c>
      <c r="GJ1" s="40" t="s">
        <v>600</v>
      </c>
      <c r="GK1" s="40" t="s">
        <v>601</v>
      </c>
      <c r="GL1" s="40" t="s">
        <v>602</v>
      </c>
      <c r="GM1" s="40" t="s">
        <v>603</v>
      </c>
      <c r="GN1" s="40" t="s">
        <v>604</v>
      </c>
      <c r="GO1" s="40" t="s">
        <v>605</v>
      </c>
      <c r="GP1" s="40" t="s">
        <v>606</v>
      </c>
      <c r="GQ1" s="40" t="s">
        <v>607</v>
      </c>
      <c r="GR1" s="40" t="s">
        <v>608</v>
      </c>
      <c r="GS1" s="40" t="s">
        <v>609</v>
      </c>
      <c r="GT1" s="40" t="s">
        <v>610</v>
      </c>
      <c r="GU1" s="40" t="s">
        <v>611</v>
      </c>
      <c r="GV1" s="40" t="s">
        <v>612</v>
      </c>
      <c r="GW1" s="40" t="s">
        <v>613</v>
      </c>
      <c r="GX1" s="40" t="s">
        <v>614</v>
      </c>
      <c r="GY1" s="40" t="s">
        <v>615</v>
      </c>
      <c r="GZ1" s="40" t="s">
        <v>616</v>
      </c>
      <c r="HA1" s="40" t="s">
        <v>617</v>
      </c>
      <c r="HB1" s="40" t="s">
        <v>618</v>
      </c>
      <c r="HC1" s="40" t="s">
        <v>619</v>
      </c>
      <c r="HD1" s="40" t="s">
        <v>620</v>
      </c>
      <c r="HE1" s="40" t="s">
        <v>621</v>
      </c>
      <c r="HF1" s="40" t="s">
        <v>622</v>
      </c>
      <c r="HG1" s="40" t="s">
        <v>469</v>
      </c>
      <c r="HH1" s="40" t="s">
        <v>623</v>
      </c>
      <c r="HI1" s="40" t="s">
        <v>624</v>
      </c>
      <c r="HJ1" s="40" t="s">
        <v>625</v>
      </c>
      <c r="HK1" s="40" t="s">
        <v>626</v>
      </c>
      <c r="HL1" s="40" t="s">
        <v>627</v>
      </c>
      <c r="HM1" s="40" t="s">
        <v>628</v>
      </c>
      <c r="HN1" s="40" t="s">
        <v>629</v>
      </c>
      <c r="HO1" s="40" t="s">
        <v>630</v>
      </c>
      <c r="HP1" s="40" t="s">
        <v>631</v>
      </c>
      <c r="HQ1" s="40" t="s">
        <v>632</v>
      </c>
      <c r="HR1" s="40" t="s">
        <v>633</v>
      </c>
      <c r="HS1" s="40" t="s">
        <v>634</v>
      </c>
      <c r="HT1" s="40" t="s">
        <v>635</v>
      </c>
      <c r="HU1" s="40" t="s">
        <v>636</v>
      </c>
      <c r="HV1" s="40" t="s">
        <v>637</v>
      </c>
      <c r="HW1" s="40" t="s">
        <v>638</v>
      </c>
      <c r="HX1" s="40" t="s">
        <v>639</v>
      </c>
      <c r="HY1" s="40" t="s">
        <v>640</v>
      </c>
      <c r="HZ1" s="40" t="s">
        <v>641</v>
      </c>
      <c r="IA1" s="40" t="s">
        <v>642</v>
      </c>
      <c r="IB1" s="40" t="s">
        <v>643</v>
      </c>
      <c r="IC1" s="40" t="s">
        <v>644</v>
      </c>
      <c r="ID1" s="40" t="s">
        <v>645</v>
      </c>
      <c r="IE1" s="40" t="s">
        <v>646</v>
      </c>
      <c r="IF1" s="40" t="s">
        <v>647</v>
      </c>
      <c r="IG1" s="40" t="s">
        <v>648</v>
      </c>
      <c r="IH1" s="40" t="s">
        <v>649</v>
      </c>
      <c r="II1" s="40" t="s">
        <v>650</v>
      </c>
      <c r="IJ1" s="40" t="s">
        <v>651</v>
      </c>
      <c r="IK1" s="40" t="s">
        <v>469</v>
      </c>
      <c r="IL1" s="40" t="s">
        <v>652</v>
      </c>
      <c r="IM1" s="40" t="s">
        <v>653</v>
      </c>
      <c r="IN1" s="40" t="s">
        <v>654</v>
      </c>
      <c r="IO1" s="40" t="s">
        <v>655</v>
      </c>
      <c r="IP1" s="40" t="s">
        <v>656</v>
      </c>
      <c r="IQ1" s="40" t="s">
        <v>657</v>
      </c>
      <c r="IR1" s="40" t="s">
        <v>658</v>
      </c>
      <c r="IS1" s="40" t="s">
        <v>659</v>
      </c>
      <c r="IT1" s="40" t="s">
        <v>660</v>
      </c>
      <c r="IU1" s="40" t="s">
        <v>661</v>
      </c>
      <c r="IV1" s="40" t="s">
        <v>662</v>
      </c>
      <c r="IW1" s="40" t="s">
        <v>663</v>
      </c>
      <c r="IX1" s="40" t="s">
        <v>664</v>
      </c>
      <c r="IY1" s="40" t="s">
        <v>665</v>
      </c>
      <c r="IZ1" s="40" t="s">
        <v>666</v>
      </c>
      <c r="JA1" s="40" t="s">
        <v>667</v>
      </c>
      <c r="JB1" s="40" t="s">
        <v>668</v>
      </c>
      <c r="JC1" s="40" t="s">
        <v>669</v>
      </c>
      <c r="JD1" s="40" t="s">
        <v>670</v>
      </c>
      <c r="JE1" s="40" t="s">
        <v>671</v>
      </c>
      <c r="JF1" s="40" t="s">
        <v>672</v>
      </c>
      <c r="JG1" s="40" t="s">
        <v>673</v>
      </c>
      <c r="JH1" s="40" t="s">
        <v>674</v>
      </c>
      <c r="JI1" s="40" t="s">
        <v>675</v>
      </c>
      <c r="JJ1" s="40" t="s">
        <v>676</v>
      </c>
      <c r="JK1" s="40" t="s">
        <v>677</v>
      </c>
      <c r="JL1" s="40" t="s">
        <v>678</v>
      </c>
      <c r="JM1" s="40" t="s">
        <v>679</v>
      </c>
      <c r="JN1" s="40" t="s">
        <v>680</v>
      </c>
      <c r="JO1" s="40" t="s">
        <v>469</v>
      </c>
      <c r="JP1" s="40" t="s">
        <v>681</v>
      </c>
      <c r="JQ1" s="40" t="s">
        <v>682</v>
      </c>
      <c r="JR1" s="40" t="s">
        <v>683</v>
      </c>
      <c r="JS1" s="40" t="s">
        <v>684</v>
      </c>
      <c r="JT1" s="40" t="s">
        <v>685</v>
      </c>
      <c r="JU1" s="40" t="s">
        <v>686</v>
      </c>
      <c r="JV1" s="40" t="s">
        <v>687</v>
      </c>
      <c r="JW1" s="40" t="s">
        <v>688</v>
      </c>
      <c r="JX1" s="40" t="s">
        <v>689</v>
      </c>
      <c r="JY1" s="40" t="s">
        <v>690</v>
      </c>
      <c r="JZ1" s="40" t="s">
        <v>691</v>
      </c>
      <c r="KA1" s="40" t="s">
        <v>692</v>
      </c>
      <c r="KB1" s="40" t="s">
        <v>693</v>
      </c>
      <c r="KC1" s="40" t="s">
        <v>694</v>
      </c>
      <c r="KD1" s="40" t="s">
        <v>695</v>
      </c>
      <c r="KE1" s="40" t="s">
        <v>696</v>
      </c>
      <c r="KF1" s="40" t="s">
        <v>697</v>
      </c>
      <c r="KG1" s="40" t="s">
        <v>698</v>
      </c>
      <c r="KH1" s="40" t="s">
        <v>699</v>
      </c>
      <c r="KI1" s="40" t="s">
        <v>700</v>
      </c>
      <c r="KJ1" s="40" t="s">
        <v>701</v>
      </c>
      <c r="KK1" s="40" t="s">
        <v>702</v>
      </c>
      <c r="KL1" s="40" t="s">
        <v>703</v>
      </c>
      <c r="KM1" s="40" t="s">
        <v>704</v>
      </c>
      <c r="KN1" s="40" t="s">
        <v>705</v>
      </c>
      <c r="KO1" s="40" t="s">
        <v>706</v>
      </c>
      <c r="KP1" s="40" t="s">
        <v>707</v>
      </c>
      <c r="KQ1" s="40" t="s">
        <v>708</v>
      </c>
      <c r="KR1" s="40" t="s">
        <v>709</v>
      </c>
      <c r="KS1" s="40" t="s">
        <v>469</v>
      </c>
      <c r="KT1" s="40" t="s">
        <v>710</v>
      </c>
      <c r="KU1" s="40" t="s">
        <v>711</v>
      </c>
      <c r="KV1" s="40" t="s">
        <v>712</v>
      </c>
      <c r="KW1" s="40" t="s">
        <v>897</v>
      </c>
      <c r="KX1" s="40" t="s">
        <v>896</v>
      </c>
      <c r="KY1" s="40" t="s">
        <v>1010</v>
      </c>
      <c r="KZ1" s="40" t="s">
        <v>895</v>
      </c>
      <c r="LA1" s="40" t="s">
        <v>714</v>
      </c>
      <c r="LB1" s="40" t="s">
        <v>713</v>
      </c>
    </row>
    <row r="2" spans="1:314" s="40" customFormat="1" x14ac:dyDescent="0.25">
      <c r="A2" s="40" t="s">
        <v>717</v>
      </c>
      <c r="B2" s="40" t="s">
        <v>914</v>
      </c>
      <c r="C2" s="40" t="s">
        <v>915</v>
      </c>
      <c r="D2" s="40" t="s">
        <v>915</v>
      </c>
      <c r="E2" s="40" t="s">
        <v>915</v>
      </c>
      <c r="F2" s="40" t="s">
        <v>916</v>
      </c>
      <c r="G2" s="40" t="s">
        <v>915</v>
      </c>
      <c r="H2" s="40" t="s">
        <v>917</v>
      </c>
      <c r="I2" s="40" t="s">
        <v>917</v>
      </c>
      <c r="J2" s="40" t="s">
        <v>917</v>
      </c>
      <c r="K2" s="40" t="s">
        <v>917</v>
      </c>
      <c r="L2" s="40" t="s">
        <v>469</v>
      </c>
      <c r="M2" s="40" t="s">
        <v>469</v>
      </c>
      <c r="N2" s="40" t="s">
        <v>469</v>
      </c>
      <c r="O2" s="40" t="s">
        <v>918</v>
      </c>
      <c r="P2" s="40" t="s">
        <v>469</v>
      </c>
      <c r="Q2" s="40" t="s">
        <v>919</v>
      </c>
      <c r="R2" s="40" t="s">
        <v>469</v>
      </c>
      <c r="S2" s="40" t="s">
        <v>919</v>
      </c>
      <c r="T2" s="40" t="s">
        <v>920</v>
      </c>
      <c r="U2" s="40" t="s">
        <v>920</v>
      </c>
      <c r="V2" s="40" t="s">
        <v>920</v>
      </c>
      <c r="W2" s="40" t="s">
        <v>920</v>
      </c>
      <c r="X2" s="40" t="s">
        <v>920</v>
      </c>
      <c r="Y2" s="40" t="s">
        <v>920</v>
      </c>
      <c r="Z2" s="40" t="s">
        <v>920</v>
      </c>
      <c r="AA2" s="40" t="s">
        <v>920</v>
      </c>
      <c r="AB2" s="40" t="s">
        <v>920</v>
      </c>
      <c r="AC2" s="40" t="s">
        <v>920</v>
      </c>
      <c r="AD2" s="40" t="s">
        <v>920</v>
      </c>
      <c r="AE2" s="40" t="s">
        <v>920</v>
      </c>
      <c r="AF2" s="40" t="s">
        <v>920</v>
      </c>
      <c r="AG2" s="40" t="s">
        <v>920</v>
      </c>
      <c r="AH2" s="40" t="s">
        <v>920</v>
      </c>
      <c r="AI2" s="40" t="s">
        <v>920</v>
      </c>
      <c r="AJ2" s="40" t="s">
        <v>920</v>
      </c>
      <c r="AK2" s="40" t="s">
        <v>920</v>
      </c>
      <c r="AL2" s="40" t="s">
        <v>920</v>
      </c>
      <c r="AM2" s="40" t="s">
        <v>920</v>
      </c>
      <c r="AN2" s="40" t="s">
        <v>920</v>
      </c>
      <c r="AO2" s="40" t="s">
        <v>921</v>
      </c>
      <c r="AP2" s="40" t="s">
        <v>921</v>
      </c>
      <c r="AQ2" s="40" t="s">
        <v>921</v>
      </c>
      <c r="AR2" s="40" t="s">
        <v>921</v>
      </c>
      <c r="AS2" s="40" t="s">
        <v>921</v>
      </c>
      <c r="AT2" s="40" t="s">
        <v>921</v>
      </c>
      <c r="AU2" s="40" t="s">
        <v>921</v>
      </c>
      <c r="AV2" s="40" t="s">
        <v>921</v>
      </c>
      <c r="AW2" s="40" t="s">
        <v>921</v>
      </c>
      <c r="AX2" s="40" t="s">
        <v>921</v>
      </c>
      <c r="AY2" s="40" t="s">
        <v>921</v>
      </c>
      <c r="AZ2" s="40" t="s">
        <v>921</v>
      </c>
      <c r="BA2" s="40" t="s">
        <v>921</v>
      </c>
      <c r="BB2" s="40" t="s">
        <v>921</v>
      </c>
      <c r="BC2" s="40" t="s">
        <v>921</v>
      </c>
      <c r="BD2" s="40" t="s">
        <v>922</v>
      </c>
      <c r="BE2" s="40" t="s">
        <v>922</v>
      </c>
      <c r="BF2" s="40" t="s">
        <v>922</v>
      </c>
      <c r="BG2" s="40" t="s">
        <v>922</v>
      </c>
      <c r="BH2" s="40" t="s">
        <v>922</v>
      </c>
      <c r="BI2" s="40" t="s">
        <v>922</v>
      </c>
      <c r="BJ2" s="40" t="s">
        <v>922</v>
      </c>
      <c r="BK2" s="40" t="s">
        <v>922</v>
      </c>
      <c r="BL2" s="40" t="s">
        <v>922</v>
      </c>
      <c r="BM2" s="40" t="s">
        <v>922</v>
      </c>
      <c r="BN2" s="40" t="s">
        <v>922</v>
      </c>
      <c r="BO2" s="40" t="s">
        <v>922</v>
      </c>
      <c r="BP2" s="40" t="s">
        <v>922</v>
      </c>
      <c r="BQ2" s="40" t="s">
        <v>922</v>
      </c>
      <c r="BR2" s="40" t="s">
        <v>922</v>
      </c>
      <c r="BS2" s="40" t="s">
        <v>922</v>
      </c>
      <c r="BT2" s="40" t="s">
        <v>922</v>
      </c>
      <c r="BU2" s="40" t="s">
        <v>922</v>
      </c>
      <c r="BV2" s="40" t="s">
        <v>922</v>
      </c>
      <c r="BW2" s="40" t="s">
        <v>922</v>
      </c>
      <c r="BX2" s="40" t="s">
        <v>922</v>
      </c>
      <c r="BY2" s="40" t="s">
        <v>922</v>
      </c>
      <c r="BZ2" s="40" t="s">
        <v>922</v>
      </c>
      <c r="CA2" s="40" t="s">
        <v>922</v>
      </c>
      <c r="CB2" s="40" t="s">
        <v>469</v>
      </c>
      <c r="CC2" s="40" t="s">
        <v>469</v>
      </c>
      <c r="CD2" s="40" t="s">
        <v>469</v>
      </c>
      <c r="CE2" s="40" t="s">
        <v>469</v>
      </c>
      <c r="CF2" s="40" t="s">
        <v>469</v>
      </c>
      <c r="CG2" s="40" t="s">
        <v>469</v>
      </c>
      <c r="CH2" s="40" t="s">
        <v>469</v>
      </c>
      <c r="CI2" s="40" t="s">
        <v>469</v>
      </c>
      <c r="CJ2" s="40" t="s">
        <v>469</v>
      </c>
      <c r="CK2" s="40" t="s">
        <v>469</v>
      </c>
      <c r="CL2" s="40" t="s">
        <v>469</v>
      </c>
      <c r="CM2" s="40" t="s">
        <v>469</v>
      </c>
      <c r="CN2" s="40" t="s">
        <v>469</v>
      </c>
      <c r="CO2" s="40" t="s">
        <v>469</v>
      </c>
      <c r="CP2" s="40" t="s">
        <v>469</v>
      </c>
      <c r="CQ2" s="40" t="s">
        <v>469</v>
      </c>
      <c r="CR2" s="40" t="s">
        <v>915</v>
      </c>
      <c r="CS2" s="40" t="s">
        <v>918</v>
      </c>
      <c r="CT2" s="40" t="s">
        <v>469</v>
      </c>
      <c r="CU2" s="40" t="s">
        <v>918</v>
      </c>
      <c r="CV2" s="40" t="s">
        <v>918</v>
      </c>
      <c r="CW2" s="40" t="s">
        <v>918</v>
      </c>
      <c r="CX2" s="40" t="s">
        <v>918</v>
      </c>
      <c r="CY2" s="40" t="s">
        <v>918</v>
      </c>
      <c r="CZ2" s="40" t="s">
        <v>918</v>
      </c>
      <c r="DA2" s="40" t="s">
        <v>918</v>
      </c>
      <c r="DB2" s="40" t="s">
        <v>918</v>
      </c>
      <c r="DC2" s="40" t="s">
        <v>918</v>
      </c>
      <c r="DD2" s="40" t="s">
        <v>918</v>
      </c>
      <c r="DE2" s="40" t="s">
        <v>918</v>
      </c>
      <c r="DF2" s="40" t="s">
        <v>918</v>
      </c>
      <c r="DG2" s="40" t="s">
        <v>918</v>
      </c>
      <c r="DH2" s="40" t="s">
        <v>918</v>
      </c>
      <c r="DI2" s="40" t="s">
        <v>918</v>
      </c>
      <c r="DJ2" s="40" t="s">
        <v>918</v>
      </c>
      <c r="DK2" s="40" t="s">
        <v>918</v>
      </c>
      <c r="DL2" s="40" t="s">
        <v>918</v>
      </c>
      <c r="DM2" s="40" t="s">
        <v>918</v>
      </c>
      <c r="DN2" s="40" t="s">
        <v>918</v>
      </c>
      <c r="DO2" s="40" t="s">
        <v>918</v>
      </c>
      <c r="DP2" s="40" t="s">
        <v>918</v>
      </c>
      <c r="DQ2" s="40" t="s">
        <v>918</v>
      </c>
      <c r="DR2" s="40" t="s">
        <v>918</v>
      </c>
      <c r="DS2" s="40" t="s">
        <v>918</v>
      </c>
      <c r="DT2" s="40" t="s">
        <v>918</v>
      </c>
      <c r="DU2" s="40" t="s">
        <v>918</v>
      </c>
      <c r="DV2" s="40" t="s">
        <v>918</v>
      </c>
      <c r="DW2" s="40" t="s">
        <v>918</v>
      </c>
      <c r="DX2" s="40" t="s">
        <v>918</v>
      </c>
      <c r="DY2" s="40" t="s">
        <v>918</v>
      </c>
      <c r="DZ2" s="40" t="s">
        <v>918</v>
      </c>
      <c r="EA2" s="40" t="s">
        <v>918</v>
      </c>
      <c r="EB2" s="40" t="s">
        <v>918</v>
      </c>
      <c r="EC2" s="40" t="s">
        <v>918</v>
      </c>
      <c r="ED2" s="40" t="s">
        <v>918</v>
      </c>
      <c r="EE2" s="40" t="s">
        <v>918</v>
      </c>
      <c r="EF2" s="40" t="s">
        <v>918</v>
      </c>
      <c r="EG2" s="40" t="s">
        <v>918</v>
      </c>
      <c r="EH2" s="40" t="s">
        <v>918</v>
      </c>
      <c r="EI2" s="40" t="s">
        <v>918</v>
      </c>
      <c r="EJ2" s="40" t="s">
        <v>918</v>
      </c>
      <c r="EK2" s="40" t="s">
        <v>918</v>
      </c>
      <c r="EL2" s="40" t="s">
        <v>918</v>
      </c>
      <c r="EM2" s="40" t="s">
        <v>918</v>
      </c>
      <c r="EN2" s="40" t="s">
        <v>918</v>
      </c>
      <c r="EO2" s="40" t="s">
        <v>918</v>
      </c>
      <c r="EP2" s="40" t="s">
        <v>918</v>
      </c>
      <c r="EQ2" s="40" t="s">
        <v>918</v>
      </c>
      <c r="ER2" s="40" t="s">
        <v>918</v>
      </c>
      <c r="ES2" s="40" t="s">
        <v>918</v>
      </c>
      <c r="ET2" s="40" t="s">
        <v>918</v>
      </c>
      <c r="EU2" s="40" t="s">
        <v>918</v>
      </c>
      <c r="EV2" s="40" t="s">
        <v>918</v>
      </c>
      <c r="EW2" s="40" t="s">
        <v>918</v>
      </c>
      <c r="EX2" s="40" t="s">
        <v>918</v>
      </c>
      <c r="EY2" s="40" t="s">
        <v>918</v>
      </c>
      <c r="EZ2" s="40" t="s">
        <v>918</v>
      </c>
      <c r="FA2" s="40" t="s">
        <v>918</v>
      </c>
      <c r="FB2" s="40" t="s">
        <v>918</v>
      </c>
      <c r="FC2" s="40" t="s">
        <v>918</v>
      </c>
      <c r="FD2" s="40" t="s">
        <v>918</v>
      </c>
      <c r="FE2" s="40" t="s">
        <v>918</v>
      </c>
      <c r="FF2" s="40" t="s">
        <v>918</v>
      </c>
      <c r="FG2" s="40" t="s">
        <v>918</v>
      </c>
      <c r="FH2" s="40" t="s">
        <v>918</v>
      </c>
      <c r="FI2" s="40" t="s">
        <v>918</v>
      </c>
      <c r="FJ2" s="40" t="s">
        <v>918</v>
      </c>
      <c r="FK2" s="40" t="s">
        <v>918</v>
      </c>
      <c r="FL2" s="40" t="s">
        <v>918</v>
      </c>
      <c r="FM2" s="40" t="s">
        <v>918</v>
      </c>
      <c r="FN2" s="40" t="s">
        <v>918</v>
      </c>
      <c r="FO2" s="40" t="s">
        <v>918</v>
      </c>
      <c r="FP2" s="40" t="s">
        <v>918</v>
      </c>
      <c r="FQ2" s="40" t="s">
        <v>918</v>
      </c>
      <c r="FR2" s="40" t="s">
        <v>918</v>
      </c>
      <c r="FS2" s="40" t="s">
        <v>918</v>
      </c>
      <c r="FT2" s="40" t="s">
        <v>918</v>
      </c>
      <c r="FU2" s="40" t="s">
        <v>918</v>
      </c>
      <c r="FV2" s="40" t="s">
        <v>918</v>
      </c>
      <c r="FW2" s="40" t="s">
        <v>918</v>
      </c>
      <c r="FX2" s="40" t="s">
        <v>918</v>
      </c>
      <c r="FY2" s="40" t="s">
        <v>918</v>
      </c>
      <c r="FZ2" s="40" t="s">
        <v>918</v>
      </c>
      <c r="GA2" s="40" t="s">
        <v>918</v>
      </c>
      <c r="GB2" s="40" t="s">
        <v>918</v>
      </c>
      <c r="GC2" s="40" t="s">
        <v>918</v>
      </c>
      <c r="GD2" s="40" t="s">
        <v>918</v>
      </c>
      <c r="GE2" s="40" t="s">
        <v>918</v>
      </c>
      <c r="GF2" s="40" t="s">
        <v>918</v>
      </c>
      <c r="GG2" s="40" t="s">
        <v>918</v>
      </c>
      <c r="GH2" s="40" t="s">
        <v>918</v>
      </c>
      <c r="GI2" s="40" t="s">
        <v>918</v>
      </c>
      <c r="GJ2" s="40" t="s">
        <v>918</v>
      </c>
      <c r="GK2" s="40" t="s">
        <v>918</v>
      </c>
      <c r="GL2" s="40" t="s">
        <v>918</v>
      </c>
      <c r="GM2" s="40" t="s">
        <v>918</v>
      </c>
      <c r="GN2" s="40" t="s">
        <v>918</v>
      </c>
      <c r="GO2" s="40" t="s">
        <v>918</v>
      </c>
      <c r="GP2" s="40" t="s">
        <v>918</v>
      </c>
      <c r="GQ2" s="40" t="s">
        <v>918</v>
      </c>
      <c r="GR2" s="40" t="s">
        <v>918</v>
      </c>
      <c r="GS2" s="40" t="s">
        <v>918</v>
      </c>
      <c r="GT2" s="40" t="s">
        <v>918</v>
      </c>
      <c r="GU2" s="40" t="s">
        <v>918</v>
      </c>
      <c r="GV2" s="40" t="s">
        <v>918</v>
      </c>
      <c r="GW2" s="40" t="s">
        <v>918</v>
      </c>
      <c r="GX2" s="40" t="s">
        <v>918</v>
      </c>
      <c r="GY2" s="40" t="s">
        <v>918</v>
      </c>
      <c r="GZ2" s="40" t="s">
        <v>918</v>
      </c>
      <c r="HA2" s="40" t="s">
        <v>918</v>
      </c>
      <c r="HB2" s="40" t="s">
        <v>918</v>
      </c>
      <c r="HC2" s="40" t="s">
        <v>918</v>
      </c>
      <c r="HD2" s="40" t="s">
        <v>918</v>
      </c>
      <c r="HE2" s="40" t="s">
        <v>918</v>
      </c>
      <c r="HF2" s="40" t="s">
        <v>918</v>
      </c>
      <c r="HG2" s="40" t="s">
        <v>918</v>
      </c>
      <c r="HH2" s="40" t="s">
        <v>918</v>
      </c>
      <c r="HI2" s="40" t="s">
        <v>918</v>
      </c>
      <c r="HJ2" s="40" t="s">
        <v>918</v>
      </c>
      <c r="HK2" s="40" t="s">
        <v>918</v>
      </c>
      <c r="HL2" s="40" t="s">
        <v>918</v>
      </c>
      <c r="HM2" s="40" t="s">
        <v>918</v>
      </c>
      <c r="HN2" s="40" t="s">
        <v>918</v>
      </c>
      <c r="HO2" s="40" t="s">
        <v>918</v>
      </c>
      <c r="HP2" s="40" t="s">
        <v>918</v>
      </c>
      <c r="HQ2" s="40" t="s">
        <v>918</v>
      </c>
      <c r="HR2" s="40" t="s">
        <v>918</v>
      </c>
      <c r="HS2" s="40" t="s">
        <v>918</v>
      </c>
      <c r="HT2" s="40" t="s">
        <v>918</v>
      </c>
      <c r="HU2" s="40" t="s">
        <v>918</v>
      </c>
      <c r="HV2" s="40" t="s">
        <v>918</v>
      </c>
      <c r="HW2" s="40" t="s">
        <v>918</v>
      </c>
      <c r="HX2" s="40" t="s">
        <v>918</v>
      </c>
      <c r="HY2" s="40" t="s">
        <v>918</v>
      </c>
      <c r="HZ2" s="40" t="s">
        <v>918</v>
      </c>
      <c r="IA2" s="40" t="s">
        <v>918</v>
      </c>
      <c r="IB2" s="40" t="s">
        <v>918</v>
      </c>
      <c r="IC2" s="40" t="s">
        <v>918</v>
      </c>
      <c r="ID2" s="40" t="s">
        <v>918</v>
      </c>
      <c r="IE2" s="40" t="s">
        <v>918</v>
      </c>
      <c r="IF2" s="40" t="s">
        <v>918</v>
      </c>
      <c r="IG2" s="40" t="s">
        <v>918</v>
      </c>
      <c r="IH2" s="40" t="s">
        <v>918</v>
      </c>
      <c r="II2" s="40" t="s">
        <v>918</v>
      </c>
      <c r="IJ2" s="40" t="s">
        <v>918</v>
      </c>
      <c r="IK2" s="40" t="s">
        <v>918</v>
      </c>
      <c r="IL2" s="40" t="s">
        <v>918</v>
      </c>
      <c r="IM2" s="40" t="s">
        <v>918</v>
      </c>
      <c r="IN2" s="40" t="s">
        <v>918</v>
      </c>
      <c r="IO2" s="40" t="s">
        <v>918</v>
      </c>
      <c r="IP2" s="40" t="s">
        <v>918</v>
      </c>
      <c r="IQ2" s="40" t="s">
        <v>918</v>
      </c>
      <c r="IR2" s="40" t="s">
        <v>918</v>
      </c>
      <c r="IS2" s="40" t="s">
        <v>918</v>
      </c>
      <c r="IT2" s="40" t="s">
        <v>918</v>
      </c>
      <c r="IU2" s="40" t="s">
        <v>918</v>
      </c>
      <c r="IV2" s="40" t="s">
        <v>918</v>
      </c>
      <c r="IW2" s="40" t="s">
        <v>918</v>
      </c>
      <c r="IX2" s="40" t="s">
        <v>918</v>
      </c>
      <c r="IY2" s="40" t="s">
        <v>918</v>
      </c>
      <c r="IZ2" s="40" t="s">
        <v>918</v>
      </c>
      <c r="JA2" s="40" t="s">
        <v>918</v>
      </c>
      <c r="JB2" s="40" t="s">
        <v>918</v>
      </c>
      <c r="JC2" s="40" t="s">
        <v>918</v>
      </c>
      <c r="JD2" s="40" t="s">
        <v>918</v>
      </c>
      <c r="JE2" s="40" t="s">
        <v>918</v>
      </c>
      <c r="JF2" s="40" t="s">
        <v>918</v>
      </c>
      <c r="JG2" s="40" t="s">
        <v>918</v>
      </c>
      <c r="JH2" s="40" t="s">
        <v>918</v>
      </c>
      <c r="JI2" s="40" t="s">
        <v>918</v>
      </c>
      <c r="JJ2" s="40" t="s">
        <v>918</v>
      </c>
      <c r="JK2" s="40" t="s">
        <v>918</v>
      </c>
      <c r="JL2" s="40" t="s">
        <v>918</v>
      </c>
      <c r="JM2" s="40" t="s">
        <v>918</v>
      </c>
      <c r="JN2" s="40" t="s">
        <v>918</v>
      </c>
      <c r="JO2" s="40" t="s">
        <v>918</v>
      </c>
      <c r="JP2" s="40" t="s">
        <v>918</v>
      </c>
      <c r="JQ2" s="40" t="s">
        <v>918</v>
      </c>
      <c r="JR2" s="40" t="s">
        <v>918</v>
      </c>
      <c r="JS2" s="40" t="s">
        <v>918</v>
      </c>
      <c r="JT2" s="40" t="s">
        <v>918</v>
      </c>
      <c r="JU2" s="40" t="s">
        <v>918</v>
      </c>
      <c r="JV2" s="40" t="s">
        <v>918</v>
      </c>
      <c r="JW2" s="40" t="s">
        <v>918</v>
      </c>
      <c r="JX2" s="40" t="s">
        <v>918</v>
      </c>
      <c r="JY2" s="40" t="s">
        <v>918</v>
      </c>
      <c r="JZ2" s="40" t="s">
        <v>918</v>
      </c>
      <c r="KA2" s="40" t="s">
        <v>918</v>
      </c>
      <c r="KB2" s="40" t="s">
        <v>918</v>
      </c>
      <c r="KC2" s="40" t="s">
        <v>918</v>
      </c>
      <c r="KD2" s="40" t="s">
        <v>918</v>
      </c>
      <c r="KE2" s="40" t="s">
        <v>918</v>
      </c>
      <c r="KF2" s="40" t="s">
        <v>918</v>
      </c>
      <c r="KG2" s="40" t="s">
        <v>918</v>
      </c>
      <c r="KH2" s="40" t="s">
        <v>918</v>
      </c>
      <c r="KI2" s="40" t="s">
        <v>918</v>
      </c>
      <c r="KJ2" s="40" t="s">
        <v>918</v>
      </c>
      <c r="KK2" s="40" t="s">
        <v>918</v>
      </c>
      <c r="KL2" s="40" t="s">
        <v>918</v>
      </c>
      <c r="KM2" s="40" t="s">
        <v>918</v>
      </c>
      <c r="KN2" s="40" t="s">
        <v>918</v>
      </c>
      <c r="KO2" s="40" t="s">
        <v>918</v>
      </c>
      <c r="KP2" s="40" t="s">
        <v>918</v>
      </c>
      <c r="KQ2" s="40" t="s">
        <v>918</v>
      </c>
      <c r="KR2" s="40" t="s">
        <v>918</v>
      </c>
      <c r="KS2" s="40" t="s">
        <v>918</v>
      </c>
      <c r="KT2" s="40" t="s">
        <v>918</v>
      </c>
      <c r="KU2" s="40" t="s">
        <v>918</v>
      </c>
      <c r="KV2" s="40" t="s">
        <v>918</v>
      </c>
      <c r="KW2" s="40" t="s">
        <v>918</v>
      </c>
      <c r="KX2" s="40" t="s">
        <v>923</v>
      </c>
      <c r="KY2" s="40" t="s">
        <v>924</v>
      </c>
      <c r="KZ2" s="40" t="s">
        <v>925</v>
      </c>
      <c r="LA2" s="40" t="s">
        <v>925</v>
      </c>
      <c r="LB2" s="40" t="s">
        <v>925</v>
      </c>
    </row>
    <row r="3" spans="1:314" s="40" customFormat="1" x14ac:dyDescent="0.25">
      <c r="A3" s="40" t="s">
        <v>718</v>
      </c>
      <c r="B3" s="40" t="s">
        <v>469</v>
      </c>
      <c r="C3" s="40" t="s">
        <v>469</v>
      </c>
      <c r="D3" s="40" t="s">
        <v>469</v>
      </c>
      <c r="E3" s="40" t="s">
        <v>469</v>
      </c>
      <c r="F3" s="40" t="s">
        <v>469</v>
      </c>
      <c r="G3" s="40" t="s">
        <v>469</v>
      </c>
      <c r="H3" s="40" t="s">
        <v>469</v>
      </c>
      <c r="I3" s="40" t="s">
        <v>469</v>
      </c>
      <c r="J3" s="40" t="s">
        <v>469</v>
      </c>
      <c r="K3" s="40" t="s">
        <v>469</v>
      </c>
      <c r="L3" s="40" t="s">
        <v>469</v>
      </c>
      <c r="M3" s="40" t="s">
        <v>469</v>
      </c>
      <c r="N3" s="40" t="s">
        <v>469</v>
      </c>
      <c r="O3" s="40" t="s">
        <v>469</v>
      </c>
      <c r="P3" s="40" t="s">
        <v>469</v>
      </c>
      <c r="Q3" s="40" t="s">
        <v>719</v>
      </c>
      <c r="R3" s="40" t="s">
        <v>469</v>
      </c>
      <c r="S3" s="40" t="s">
        <v>469</v>
      </c>
      <c r="T3" s="40" t="s">
        <v>469</v>
      </c>
      <c r="U3" s="40" t="s">
        <v>469</v>
      </c>
      <c r="V3" s="40" t="s">
        <v>469</v>
      </c>
      <c r="W3" s="40" t="s">
        <v>469</v>
      </c>
      <c r="X3" s="40" t="s">
        <v>469</v>
      </c>
      <c r="Y3" s="40" t="s">
        <v>469</v>
      </c>
      <c r="Z3" s="40" t="s">
        <v>469</v>
      </c>
      <c r="AA3" s="40" t="s">
        <v>469</v>
      </c>
      <c r="AB3" s="40" t="s">
        <v>469</v>
      </c>
      <c r="AC3" s="40" t="s">
        <v>469</v>
      </c>
      <c r="AD3" s="40" t="s">
        <v>469</v>
      </c>
      <c r="AE3" s="40" t="s">
        <v>469</v>
      </c>
      <c r="AF3" s="40" t="s">
        <v>469</v>
      </c>
      <c r="AG3" s="40" t="s">
        <v>469</v>
      </c>
      <c r="AH3" s="40" t="s">
        <v>720</v>
      </c>
      <c r="AI3" s="40" t="s">
        <v>721</v>
      </c>
      <c r="AJ3" s="40" t="s">
        <v>722</v>
      </c>
      <c r="AK3" s="40" t="s">
        <v>723</v>
      </c>
      <c r="AL3" s="40" t="s">
        <v>724</v>
      </c>
      <c r="AM3" s="40" t="s">
        <v>725</v>
      </c>
      <c r="AN3" s="40" t="s">
        <v>469</v>
      </c>
      <c r="AO3" s="40" t="s">
        <v>469</v>
      </c>
      <c r="AP3" s="40" t="s">
        <v>469</v>
      </c>
      <c r="AQ3" s="40" t="s">
        <v>469</v>
      </c>
      <c r="AR3" s="40" t="s">
        <v>469</v>
      </c>
      <c r="AS3" s="40" t="s">
        <v>469</v>
      </c>
      <c r="AT3" s="40" t="s">
        <v>469</v>
      </c>
      <c r="AU3" s="40" t="s">
        <v>469</v>
      </c>
      <c r="AV3" s="40" t="s">
        <v>469</v>
      </c>
      <c r="AW3" s="40" t="s">
        <v>469</v>
      </c>
      <c r="AX3" s="40" t="s">
        <v>469</v>
      </c>
      <c r="AY3" s="40" t="s">
        <v>469</v>
      </c>
      <c r="AZ3" s="40" t="s">
        <v>469</v>
      </c>
      <c r="BA3" s="40" t="s">
        <v>469</v>
      </c>
      <c r="BB3" s="40" t="s">
        <v>469</v>
      </c>
      <c r="BC3" s="40" t="s">
        <v>469</v>
      </c>
      <c r="BD3" s="40" t="s">
        <v>469</v>
      </c>
      <c r="BE3" s="40" t="s">
        <v>469</v>
      </c>
      <c r="BF3" s="40" t="s">
        <v>469</v>
      </c>
      <c r="BG3" s="40" t="s">
        <v>469</v>
      </c>
      <c r="BH3" s="40" t="s">
        <v>469</v>
      </c>
      <c r="BI3" s="40" t="s">
        <v>469</v>
      </c>
      <c r="BJ3" s="40" t="s">
        <v>469</v>
      </c>
      <c r="BK3" s="40" t="s">
        <v>469</v>
      </c>
      <c r="BL3" s="40" t="s">
        <v>469</v>
      </c>
      <c r="BM3" s="40" t="s">
        <v>469</v>
      </c>
      <c r="BN3" s="40" t="s">
        <v>469</v>
      </c>
      <c r="BO3" s="40" t="s">
        <v>469</v>
      </c>
      <c r="BP3" s="40" t="s">
        <v>469</v>
      </c>
      <c r="BQ3" s="40" t="s">
        <v>469</v>
      </c>
      <c r="BR3" s="40" t="s">
        <v>469</v>
      </c>
      <c r="BS3" s="40" t="s">
        <v>469</v>
      </c>
      <c r="BT3" s="40" t="s">
        <v>469</v>
      </c>
      <c r="BU3" s="40" t="s">
        <v>469</v>
      </c>
      <c r="BV3" s="40" t="s">
        <v>469</v>
      </c>
      <c r="BW3" s="40" t="s">
        <v>469</v>
      </c>
      <c r="BX3" s="40" t="s">
        <v>469</v>
      </c>
      <c r="BY3" s="40" t="s">
        <v>469</v>
      </c>
      <c r="BZ3" s="40" t="s">
        <v>469</v>
      </c>
      <c r="CA3" s="40" t="s">
        <v>469</v>
      </c>
      <c r="CB3" s="40" t="s">
        <v>469</v>
      </c>
      <c r="CC3" s="40" t="s">
        <v>469</v>
      </c>
      <c r="CD3" s="40" t="s">
        <v>469</v>
      </c>
      <c r="CE3" s="40" t="s">
        <v>469</v>
      </c>
      <c r="CF3" s="40" t="s">
        <v>469</v>
      </c>
      <c r="CG3" s="40" t="s">
        <v>469</v>
      </c>
      <c r="CH3" s="40" t="s">
        <v>469</v>
      </c>
      <c r="CI3" s="40" t="s">
        <v>469</v>
      </c>
      <c r="CJ3" s="40" t="s">
        <v>469</v>
      </c>
      <c r="CK3" s="40" t="s">
        <v>469</v>
      </c>
      <c r="CL3" s="40" t="s">
        <v>469</v>
      </c>
      <c r="CM3" s="40" t="s">
        <v>469</v>
      </c>
      <c r="CN3" s="40" t="s">
        <v>469</v>
      </c>
      <c r="CO3" s="40" t="s">
        <v>469</v>
      </c>
      <c r="CP3" s="40" t="s">
        <v>469</v>
      </c>
      <c r="CQ3" s="40" t="s">
        <v>469</v>
      </c>
      <c r="CR3" s="40" t="s">
        <v>469</v>
      </c>
      <c r="CS3" s="40" t="s">
        <v>469</v>
      </c>
      <c r="CT3" s="40" t="s">
        <v>469</v>
      </c>
      <c r="CU3" s="40" t="s">
        <v>726</v>
      </c>
      <c r="CV3" s="40" t="s">
        <v>727</v>
      </c>
      <c r="CW3" s="40" t="s">
        <v>728</v>
      </c>
      <c r="CX3" s="40" t="s">
        <v>729</v>
      </c>
      <c r="CY3" s="40" t="s">
        <v>730</v>
      </c>
      <c r="CZ3" s="40" t="s">
        <v>731</v>
      </c>
      <c r="DA3" s="40" t="s">
        <v>732</v>
      </c>
      <c r="DB3" s="40" t="s">
        <v>733</v>
      </c>
      <c r="DC3" s="40" t="s">
        <v>734</v>
      </c>
      <c r="DD3" s="40" t="s">
        <v>735</v>
      </c>
      <c r="DE3" s="40" t="s">
        <v>736</v>
      </c>
      <c r="DF3" s="40" t="s">
        <v>737</v>
      </c>
      <c r="DG3" s="40" t="s">
        <v>738</v>
      </c>
      <c r="DH3" s="40" t="s">
        <v>739</v>
      </c>
      <c r="DI3" s="40" t="s">
        <v>740</v>
      </c>
      <c r="DJ3" s="40" t="s">
        <v>741</v>
      </c>
      <c r="DK3" s="40" t="s">
        <v>742</v>
      </c>
      <c r="DL3" s="40" t="s">
        <v>743</v>
      </c>
      <c r="DM3" s="40" t="s">
        <v>744</v>
      </c>
      <c r="DN3" s="40" t="s">
        <v>745</v>
      </c>
      <c r="DO3" s="40" t="s">
        <v>746</v>
      </c>
      <c r="DP3" s="40" t="s">
        <v>747</v>
      </c>
      <c r="DQ3" s="40" t="s">
        <v>748</v>
      </c>
      <c r="DR3" s="40" t="s">
        <v>749</v>
      </c>
      <c r="DS3" s="40" t="s">
        <v>750</v>
      </c>
      <c r="DT3" s="40" t="s">
        <v>751</v>
      </c>
      <c r="DU3" s="40" t="s">
        <v>469</v>
      </c>
      <c r="DV3" s="40" t="s">
        <v>752</v>
      </c>
      <c r="DW3" s="40" t="s">
        <v>753</v>
      </c>
      <c r="DX3" s="40" t="s">
        <v>469</v>
      </c>
      <c r="DY3" s="40" t="s">
        <v>754</v>
      </c>
      <c r="DZ3" s="40" t="s">
        <v>755</v>
      </c>
      <c r="EA3" s="40" t="s">
        <v>756</v>
      </c>
      <c r="EB3" s="40" t="s">
        <v>757</v>
      </c>
      <c r="EC3" s="40" t="s">
        <v>758</v>
      </c>
      <c r="ED3" s="40" t="s">
        <v>759</v>
      </c>
      <c r="EE3" s="40" t="s">
        <v>760</v>
      </c>
      <c r="EF3" s="40" t="s">
        <v>761</v>
      </c>
      <c r="EG3" s="40" t="s">
        <v>762</v>
      </c>
      <c r="EH3" s="40" t="s">
        <v>763</v>
      </c>
      <c r="EI3" s="40" t="s">
        <v>764</v>
      </c>
      <c r="EJ3" s="40" t="s">
        <v>765</v>
      </c>
      <c r="EK3" s="40" t="s">
        <v>766</v>
      </c>
      <c r="EL3" s="40" t="s">
        <v>767</v>
      </c>
      <c r="EM3" s="40" t="s">
        <v>768</v>
      </c>
      <c r="EN3" s="40" t="s">
        <v>769</v>
      </c>
      <c r="EO3" s="40" t="s">
        <v>770</v>
      </c>
      <c r="EP3" s="40" t="s">
        <v>771</v>
      </c>
      <c r="EQ3" s="40" t="s">
        <v>772</v>
      </c>
      <c r="ER3" s="40" t="s">
        <v>773</v>
      </c>
      <c r="ES3" s="40" t="s">
        <v>774</v>
      </c>
      <c r="ET3" s="40" t="s">
        <v>775</v>
      </c>
      <c r="EU3" s="40" t="s">
        <v>776</v>
      </c>
      <c r="EV3" s="40" t="s">
        <v>777</v>
      </c>
      <c r="EW3" s="40" t="s">
        <v>778</v>
      </c>
      <c r="EX3" s="40" t="s">
        <v>779</v>
      </c>
      <c r="EY3" s="40" t="s">
        <v>469</v>
      </c>
      <c r="EZ3" s="40" t="s">
        <v>780</v>
      </c>
      <c r="FA3" s="40" t="s">
        <v>781</v>
      </c>
      <c r="FB3" s="40" t="s">
        <v>469</v>
      </c>
      <c r="FC3" s="40" t="s">
        <v>782</v>
      </c>
      <c r="FD3" s="40" t="s">
        <v>783</v>
      </c>
      <c r="FE3" s="40" t="s">
        <v>784</v>
      </c>
      <c r="FF3" s="40" t="s">
        <v>785</v>
      </c>
      <c r="FG3" s="40" t="s">
        <v>786</v>
      </c>
      <c r="FH3" s="40" t="s">
        <v>787</v>
      </c>
      <c r="FI3" s="40" t="s">
        <v>788</v>
      </c>
      <c r="FJ3" s="40" t="s">
        <v>789</v>
      </c>
      <c r="FK3" s="40" t="s">
        <v>790</v>
      </c>
      <c r="FL3" s="40" t="s">
        <v>791</v>
      </c>
      <c r="FM3" s="40" t="s">
        <v>792</v>
      </c>
      <c r="FN3" s="40" t="s">
        <v>793</v>
      </c>
      <c r="FO3" s="40" t="s">
        <v>794</v>
      </c>
      <c r="FP3" s="40" t="s">
        <v>795</v>
      </c>
      <c r="FQ3" s="40" t="s">
        <v>796</v>
      </c>
      <c r="FR3" s="40" t="s">
        <v>797</v>
      </c>
      <c r="FS3" s="40" t="s">
        <v>798</v>
      </c>
      <c r="FT3" s="40" t="s">
        <v>799</v>
      </c>
      <c r="FU3" s="40" t="s">
        <v>800</v>
      </c>
      <c r="FV3" s="40" t="s">
        <v>801</v>
      </c>
      <c r="FW3" s="40" t="s">
        <v>802</v>
      </c>
      <c r="FX3" s="40" t="s">
        <v>803</v>
      </c>
      <c r="FY3" s="40" t="s">
        <v>804</v>
      </c>
      <c r="FZ3" s="40" t="s">
        <v>805</v>
      </c>
      <c r="GA3" s="40" t="s">
        <v>806</v>
      </c>
      <c r="GB3" s="40" t="s">
        <v>807</v>
      </c>
      <c r="GC3" s="40" t="s">
        <v>469</v>
      </c>
      <c r="GD3" s="40" t="s">
        <v>808</v>
      </c>
      <c r="GE3" s="40" t="s">
        <v>809</v>
      </c>
      <c r="GF3" s="40" t="s">
        <v>469</v>
      </c>
      <c r="GG3" s="40" t="s">
        <v>810</v>
      </c>
      <c r="GH3" s="40" t="s">
        <v>811</v>
      </c>
      <c r="GI3" s="40" t="s">
        <v>812</v>
      </c>
      <c r="GJ3" s="40" t="s">
        <v>813</v>
      </c>
      <c r="GK3" s="40" t="s">
        <v>814</v>
      </c>
      <c r="GL3" s="40" t="s">
        <v>815</v>
      </c>
      <c r="GM3" s="40" t="s">
        <v>816</v>
      </c>
      <c r="GN3" s="40" t="s">
        <v>817</v>
      </c>
      <c r="GO3" s="40" t="s">
        <v>818</v>
      </c>
      <c r="GP3" s="40" t="s">
        <v>819</v>
      </c>
      <c r="GQ3" s="40" t="s">
        <v>820</v>
      </c>
      <c r="GR3" s="40" t="s">
        <v>821</v>
      </c>
      <c r="GS3" s="40" t="s">
        <v>822</v>
      </c>
      <c r="GT3" s="40" t="s">
        <v>823</v>
      </c>
      <c r="GU3" s="40" t="s">
        <v>824</v>
      </c>
      <c r="GV3" s="40" t="s">
        <v>825</v>
      </c>
      <c r="GW3" s="40" t="s">
        <v>826</v>
      </c>
      <c r="GX3" s="40" t="s">
        <v>827</v>
      </c>
      <c r="GY3" s="40" t="s">
        <v>828</v>
      </c>
      <c r="GZ3" s="40" t="s">
        <v>829</v>
      </c>
      <c r="HA3" s="40" t="s">
        <v>830</v>
      </c>
      <c r="HB3" s="40" t="s">
        <v>831</v>
      </c>
      <c r="HC3" s="40" t="s">
        <v>832</v>
      </c>
      <c r="HD3" s="40" t="s">
        <v>833</v>
      </c>
      <c r="HE3" s="40" t="s">
        <v>834</v>
      </c>
      <c r="HF3" s="40" t="s">
        <v>835</v>
      </c>
      <c r="HG3" s="40" t="s">
        <v>836</v>
      </c>
      <c r="HH3" s="40" t="s">
        <v>837</v>
      </c>
      <c r="HI3" s="40" t="s">
        <v>838</v>
      </c>
      <c r="HJ3" s="40" t="s">
        <v>469</v>
      </c>
      <c r="HK3" s="40" t="s">
        <v>839</v>
      </c>
      <c r="HL3" s="40" t="s">
        <v>840</v>
      </c>
      <c r="HM3" s="40" t="s">
        <v>841</v>
      </c>
      <c r="HN3" s="40" t="s">
        <v>842</v>
      </c>
      <c r="HO3" s="40" t="s">
        <v>843</v>
      </c>
      <c r="HP3" s="40" t="s">
        <v>844</v>
      </c>
      <c r="HQ3" s="40" t="s">
        <v>845</v>
      </c>
      <c r="HR3" s="40" t="s">
        <v>846</v>
      </c>
      <c r="HS3" s="40" t="s">
        <v>847</v>
      </c>
      <c r="HT3" s="40" t="s">
        <v>848</v>
      </c>
      <c r="HU3" s="40" t="s">
        <v>849</v>
      </c>
      <c r="HV3" s="40" t="s">
        <v>850</v>
      </c>
      <c r="HW3" s="40" t="s">
        <v>851</v>
      </c>
      <c r="HX3" s="40" t="s">
        <v>852</v>
      </c>
      <c r="HY3" s="40" t="s">
        <v>853</v>
      </c>
      <c r="HZ3" s="40" t="s">
        <v>854</v>
      </c>
      <c r="IA3" s="40" t="s">
        <v>855</v>
      </c>
      <c r="IB3" s="40" t="s">
        <v>856</v>
      </c>
      <c r="IC3" s="40" t="s">
        <v>857</v>
      </c>
      <c r="ID3" s="40" t="s">
        <v>858</v>
      </c>
      <c r="IE3" s="40" t="s">
        <v>859</v>
      </c>
      <c r="IF3" s="40" t="s">
        <v>860</v>
      </c>
      <c r="IG3" s="40" t="s">
        <v>861</v>
      </c>
      <c r="IH3" s="40" t="s">
        <v>862</v>
      </c>
      <c r="II3" s="40" t="s">
        <v>863</v>
      </c>
      <c r="IJ3" s="40" t="s">
        <v>864</v>
      </c>
      <c r="IK3" s="40" t="s">
        <v>469</v>
      </c>
      <c r="IL3" s="40" t="s">
        <v>865</v>
      </c>
      <c r="IM3" s="40" t="s">
        <v>866</v>
      </c>
      <c r="IN3" s="40" t="s">
        <v>469</v>
      </c>
      <c r="IO3" s="40" t="s">
        <v>867</v>
      </c>
      <c r="IP3" s="40" t="s">
        <v>868</v>
      </c>
      <c r="IQ3" s="40" t="s">
        <v>869</v>
      </c>
      <c r="IR3" s="40" t="s">
        <v>870</v>
      </c>
      <c r="IS3" s="40" t="s">
        <v>871</v>
      </c>
      <c r="IT3" s="40" t="s">
        <v>872</v>
      </c>
      <c r="IU3" s="40" t="s">
        <v>873</v>
      </c>
      <c r="IV3" s="40" t="s">
        <v>874</v>
      </c>
      <c r="IW3" s="40" t="s">
        <v>875</v>
      </c>
      <c r="IX3" s="40" t="s">
        <v>876</v>
      </c>
      <c r="IY3" s="40" t="s">
        <v>877</v>
      </c>
      <c r="IZ3" s="40" t="s">
        <v>878</v>
      </c>
      <c r="JA3" s="40" t="s">
        <v>879</v>
      </c>
      <c r="JB3" s="40" t="s">
        <v>880</v>
      </c>
      <c r="JC3" s="40" t="s">
        <v>881</v>
      </c>
      <c r="JD3" s="40" t="s">
        <v>882</v>
      </c>
      <c r="JE3" s="40" t="s">
        <v>883</v>
      </c>
      <c r="JF3" s="40" t="s">
        <v>884</v>
      </c>
      <c r="JG3" s="40" t="s">
        <v>885</v>
      </c>
      <c r="JH3" s="40" t="s">
        <v>886</v>
      </c>
      <c r="JI3" s="40" t="s">
        <v>887</v>
      </c>
      <c r="JJ3" s="40" t="s">
        <v>888</v>
      </c>
      <c r="JK3" s="40" t="s">
        <v>889</v>
      </c>
      <c r="JL3" s="40" t="s">
        <v>890</v>
      </c>
      <c r="JM3" s="40" t="s">
        <v>891</v>
      </c>
      <c r="JN3" s="40" t="s">
        <v>892</v>
      </c>
      <c r="JO3" s="40" t="s">
        <v>469</v>
      </c>
      <c r="JP3" s="40" t="s">
        <v>893</v>
      </c>
      <c r="JQ3" s="40" t="s">
        <v>894</v>
      </c>
      <c r="JR3" s="40" t="s">
        <v>469</v>
      </c>
      <c r="JS3" s="40" t="s">
        <v>469</v>
      </c>
      <c r="JT3" s="40" t="s">
        <v>469</v>
      </c>
      <c r="JU3" s="40" t="s">
        <v>469</v>
      </c>
      <c r="JV3" s="40" t="s">
        <v>469</v>
      </c>
      <c r="JW3" s="40" t="s">
        <v>469</v>
      </c>
      <c r="JX3" s="40" t="s">
        <v>469</v>
      </c>
      <c r="JY3" s="40" t="s">
        <v>469</v>
      </c>
      <c r="JZ3" s="40" t="s">
        <v>469</v>
      </c>
      <c r="KA3" s="40" t="s">
        <v>469</v>
      </c>
      <c r="KB3" s="40" t="s">
        <v>469</v>
      </c>
      <c r="KC3" s="40" t="s">
        <v>469</v>
      </c>
      <c r="KD3" s="40" t="s">
        <v>469</v>
      </c>
      <c r="KE3" s="40" t="s">
        <v>469</v>
      </c>
      <c r="KF3" s="40" t="s">
        <v>469</v>
      </c>
      <c r="KG3" s="40" t="s">
        <v>469</v>
      </c>
      <c r="KH3" s="40" t="s">
        <v>469</v>
      </c>
      <c r="KI3" s="40" t="s">
        <v>469</v>
      </c>
      <c r="KJ3" s="40" t="s">
        <v>469</v>
      </c>
      <c r="KK3" s="40" t="s">
        <v>469</v>
      </c>
      <c r="KL3" s="40" t="s">
        <v>469</v>
      </c>
      <c r="KM3" s="40" t="s">
        <v>469</v>
      </c>
      <c r="KN3" s="40" t="s">
        <v>469</v>
      </c>
      <c r="KO3" s="40" t="s">
        <v>469</v>
      </c>
      <c r="KP3" s="40" t="s">
        <v>469</v>
      </c>
      <c r="KQ3" s="40" t="s">
        <v>469</v>
      </c>
      <c r="KR3" s="40" t="s">
        <v>469</v>
      </c>
      <c r="KS3" s="40" t="s">
        <v>469</v>
      </c>
      <c r="KT3" s="40" t="s">
        <v>469</v>
      </c>
      <c r="KU3" s="40" t="s">
        <v>469</v>
      </c>
      <c r="KV3" s="40" t="s">
        <v>469</v>
      </c>
      <c r="KW3" s="40" t="s">
        <v>469</v>
      </c>
      <c r="KX3" s="40" t="s">
        <v>469</v>
      </c>
      <c r="KY3" s="40" t="s">
        <v>469</v>
      </c>
      <c r="KZ3" s="40" t="s">
        <v>469</v>
      </c>
      <c r="LA3" s="40" t="s">
        <v>469</v>
      </c>
      <c r="LB3" s="40" t="s">
        <v>469</v>
      </c>
    </row>
    <row r="4" spans="1:314" x14ac:dyDescent="0.25">
      <c r="A4" t="s">
        <v>36</v>
      </c>
      <c r="B4" t="s">
        <v>37</v>
      </c>
      <c r="C4" t="s">
        <v>38</v>
      </c>
      <c r="D4" t="s">
        <v>39</v>
      </c>
      <c r="E4" t="s">
        <v>40</v>
      </c>
      <c r="F4" t="s">
        <v>41</v>
      </c>
      <c r="G4" t="s">
        <v>42</v>
      </c>
      <c r="H4" t="s">
        <v>43</v>
      </c>
      <c r="I4" t="s">
        <v>44</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c r="AK4" t="s">
        <v>72</v>
      </c>
      <c r="AL4" t="s">
        <v>73</v>
      </c>
      <c r="AM4" t="s">
        <v>74</v>
      </c>
      <c r="AN4" t="s">
        <v>75</v>
      </c>
      <c r="AO4" t="s">
        <v>76</v>
      </c>
      <c r="AP4" t="s">
        <v>77</v>
      </c>
      <c r="AQ4" t="s">
        <v>78</v>
      </c>
      <c r="AR4" t="s">
        <v>79</v>
      </c>
      <c r="AS4" t="s">
        <v>80</v>
      </c>
      <c r="AT4" t="s">
        <v>81</v>
      </c>
      <c r="AU4" t="s">
        <v>82</v>
      </c>
      <c r="AV4" t="s">
        <v>83</v>
      </c>
      <c r="AW4" t="s">
        <v>84</v>
      </c>
      <c r="AX4" t="s">
        <v>85</v>
      </c>
      <c r="AY4" t="s">
        <v>86</v>
      </c>
      <c r="AZ4" t="s">
        <v>87</v>
      </c>
      <c r="BA4" t="s">
        <v>88</v>
      </c>
      <c r="BB4" t="s">
        <v>89</v>
      </c>
      <c r="BC4" t="s">
        <v>90</v>
      </c>
      <c r="BD4" t="s">
        <v>91</v>
      </c>
      <c r="BE4" t="s">
        <v>92</v>
      </c>
      <c r="BF4" t="s">
        <v>93</v>
      </c>
      <c r="BG4" t="s">
        <v>94</v>
      </c>
      <c r="BH4" t="s">
        <v>95</v>
      </c>
      <c r="BI4" t="s">
        <v>96</v>
      </c>
      <c r="BJ4" t="s">
        <v>97</v>
      </c>
      <c r="BK4" t="s">
        <v>98</v>
      </c>
      <c r="BL4" t="s">
        <v>99</v>
      </c>
      <c r="BM4" t="s">
        <v>100</v>
      </c>
      <c r="BN4" t="s">
        <v>101</v>
      </c>
      <c r="BO4" t="s">
        <v>102</v>
      </c>
      <c r="BP4" t="s">
        <v>103</v>
      </c>
      <c r="BQ4" t="s">
        <v>104</v>
      </c>
      <c r="BR4" t="s">
        <v>105</v>
      </c>
      <c r="BS4" t="s">
        <v>106</v>
      </c>
      <c r="BT4" t="s">
        <v>107</v>
      </c>
      <c r="BU4" t="s">
        <v>108</v>
      </c>
      <c r="BV4" t="s">
        <v>109</v>
      </c>
      <c r="BW4" t="s">
        <v>110</v>
      </c>
      <c r="BX4" t="s">
        <v>111</v>
      </c>
      <c r="BY4" t="s">
        <v>112</v>
      </c>
      <c r="BZ4" t="s">
        <v>113</v>
      </c>
      <c r="CA4" t="s">
        <v>114</v>
      </c>
      <c r="CB4" t="s">
        <v>115</v>
      </c>
      <c r="CC4" t="s">
        <v>116</v>
      </c>
      <c r="CD4" t="s">
        <v>117</v>
      </c>
      <c r="CE4" t="s">
        <v>118</v>
      </c>
      <c r="CF4" t="s">
        <v>119</v>
      </c>
      <c r="CG4" t="s">
        <v>120</v>
      </c>
      <c r="CH4" t="s">
        <v>121</v>
      </c>
      <c r="CI4" t="s">
        <v>122</v>
      </c>
      <c r="CJ4" t="s">
        <v>123</v>
      </c>
      <c r="CK4" t="s">
        <v>124</v>
      </c>
      <c r="CL4" t="s">
        <v>125</v>
      </c>
      <c r="CM4" t="s">
        <v>126</v>
      </c>
      <c r="CN4" t="s">
        <v>127</v>
      </c>
      <c r="CO4" t="s">
        <v>128</v>
      </c>
      <c r="CP4" t="s">
        <v>129</v>
      </c>
      <c r="CQ4" t="s">
        <v>130</v>
      </c>
      <c r="CR4" t="s">
        <v>131</v>
      </c>
      <c r="CS4" t="s">
        <v>132</v>
      </c>
      <c r="CT4" t="s">
        <v>133</v>
      </c>
      <c r="CU4" t="s">
        <v>134</v>
      </c>
      <c r="CV4" t="s">
        <v>135</v>
      </c>
      <c r="CW4" t="s">
        <v>136</v>
      </c>
      <c r="CX4" t="s">
        <v>137</v>
      </c>
      <c r="CY4" t="s">
        <v>138</v>
      </c>
      <c r="CZ4" t="s">
        <v>139</v>
      </c>
      <c r="DA4" t="s">
        <v>140</v>
      </c>
      <c r="DB4" t="s">
        <v>141</v>
      </c>
      <c r="DC4" t="s">
        <v>142</v>
      </c>
      <c r="DD4" t="s">
        <v>143</v>
      </c>
      <c r="DE4" t="s">
        <v>144</v>
      </c>
      <c r="DF4" t="s">
        <v>145</v>
      </c>
      <c r="DG4" t="s">
        <v>146</v>
      </c>
      <c r="DH4" t="s">
        <v>147</v>
      </c>
      <c r="DI4" t="s">
        <v>148</v>
      </c>
      <c r="DJ4" t="s">
        <v>149</v>
      </c>
      <c r="DK4" t="s">
        <v>150</v>
      </c>
      <c r="DL4" t="s">
        <v>151</v>
      </c>
      <c r="DM4" t="s">
        <v>152</v>
      </c>
      <c r="DN4" t="s">
        <v>153</v>
      </c>
      <c r="DO4" t="s">
        <v>154</v>
      </c>
      <c r="DP4" t="s">
        <v>155</v>
      </c>
      <c r="DQ4" t="s">
        <v>156</v>
      </c>
      <c r="DR4" t="s">
        <v>157</v>
      </c>
      <c r="DS4" t="s">
        <v>158</v>
      </c>
      <c r="DT4" t="s">
        <v>159</v>
      </c>
      <c r="DU4" t="s">
        <v>160</v>
      </c>
      <c r="DV4" t="s">
        <v>161</v>
      </c>
      <c r="DW4" t="s">
        <v>162</v>
      </c>
      <c r="DX4" t="s">
        <v>163</v>
      </c>
      <c r="DY4" t="s">
        <v>164</v>
      </c>
      <c r="DZ4" t="s">
        <v>165</v>
      </c>
      <c r="EA4" t="s">
        <v>166</v>
      </c>
      <c r="EB4" t="s">
        <v>167</v>
      </c>
      <c r="EC4" t="s">
        <v>168</v>
      </c>
      <c r="ED4" t="s">
        <v>169</v>
      </c>
      <c r="EE4" t="s">
        <v>170</v>
      </c>
      <c r="EF4" t="s">
        <v>171</v>
      </c>
      <c r="EG4" t="s">
        <v>172</v>
      </c>
      <c r="EH4" t="s">
        <v>173</v>
      </c>
      <c r="EI4" t="s">
        <v>174</v>
      </c>
      <c r="EJ4" t="s">
        <v>175</v>
      </c>
      <c r="EK4" t="s">
        <v>176</v>
      </c>
      <c r="EL4" t="s">
        <v>177</v>
      </c>
      <c r="EM4" t="s">
        <v>178</v>
      </c>
      <c r="EN4" t="s">
        <v>179</v>
      </c>
      <c r="EO4" t="s">
        <v>180</v>
      </c>
      <c r="EP4" t="s">
        <v>181</v>
      </c>
      <c r="EQ4" t="s">
        <v>182</v>
      </c>
      <c r="ER4" t="s">
        <v>183</v>
      </c>
      <c r="ES4" t="s">
        <v>184</v>
      </c>
      <c r="ET4" t="s">
        <v>185</v>
      </c>
      <c r="EU4" t="s">
        <v>186</v>
      </c>
      <c r="EV4" t="s">
        <v>187</v>
      </c>
      <c r="EW4" t="s">
        <v>188</v>
      </c>
      <c r="EX4" t="s">
        <v>189</v>
      </c>
      <c r="EY4" t="s">
        <v>190</v>
      </c>
      <c r="EZ4" t="s">
        <v>191</v>
      </c>
      <c r="FA4" t="s">
        <v>192</v>
      </c>
      <c r="FB4" t="s">
        <v>193</v>
      </c>
      <c r="FC4" t="s">
        <v>194</v>
      </c>
      <c r="FD4" t="s">
        <v>195</v>
      </c>
      <c r="FE4" t="s">
        <v>196</v>
      </c>
      <c r="FF4" t="s">
        <v>197</v>
      </c>
      <c r="FG4" t="s">
        <v>198</v>
      </c>
      <c r="FH4" t="s">
        <v>199</v>
      </c>
      <c r="FI4" t="s">
        <v>200</v>
      </c>
      <c r="FJ4" t="s">
        <v>201</v>
      </c>
      <c r="FK4" t="s">
        <v>202</v>
      </c>
      <c r="FL4" t="s">
        <v>203</v>
      </c>
      <c r="FM4" t="s">
        <v>204</v>
      </c>
      <c r="FN4" t="s">
        <v>205</v>
      </c>
      <c r="FO4" t="s">
        <v>206</v>
      </c>
      <c r="FP4" t="s">
        <v>207</v>
      </c>
      <c r="FQ4" t="s">
        <v>208</v>
      </c>
      <c r="FR4" t="s">
        <v>209</v>
      </c>
      <c r="FS4" t="s">
        <v>210</v>
      </c>
      <c r="FT4" t="s">
        <v>211</v>
      </c>
      <c r="FU4" t="s">
        <v>212</v>
      </c>
      <c r="FV4" t="s">
        <v>213</v>
      </c>
      <c r="FW4" t="s">
        <v>214</v>
      </c>
      <c r="FX4" t="s">
        <v>215</v>
      </c>
      <c r="FY4" t="s">
        <v>216</v>
      </c>
      <c r="FZ4" t="s">
        <v>217</v>
      </c>
      <c r="GA4" t="s">
        <v>218</v>
      </c>
      <c r="GB4" t="s">
        <v>219</v>
      </c>
      <c r="GC4" t="s">
        <v>220</v>
      </c>
      <c r="GD4" t="s">
        <v>221</v>
      </c>
      <c r="GE4" t="s">
        <v>222</v>
      </c>
      <c r="GF4" t="s">
        <v>223</v>
      </c>
      <c r="GG4" t="s">
        <v>224</v>
      </c>
      <c r="GH4" t="s">
        <v>225</v>
      </c>
      <c r="GI4" t="s">
        <v>226</v>
      </c>
      <c r="GJ4" t="s">
        <v>227</v>
      </c>
      <c r="GK4" t="s">
        <v>228</v>
      </c>
      <c r="GL4" t="s">
        <v>229</v>
      </c>
      <c r="GM4" t="s">
        <v>230</v>
      </c>
      <c r="GN4" t="s">
        <v>231</v>
      </c>
      <c r="GO4" t="s">
        <v>232</v>
      </c>
      <c r="GP4" t="s">
        <v>233</v>
      </c>
      <c r="GQ4" t="s">
        <v>234</v>
      </c>
      <c r="GR4" t="s">
        <v>235</v>
      </c>
      <c r="GS4" t="s">
        <v>236</v>
      </c>
      <c r="GT4" t="s">
        <v>237</v>
      </c>
      <c r="GU4" t="s">
        <v>238</v>
      </c>
      <c r="GV4" t="s">
        <v>239</v>
      </c>
      <c r="GW4" t="s">
        <v>240</v>
      </c>
      <c r="GX4" t="s">
        <v>241</v>
      </c>
      <c r="GY4" t="s">
        <v>242</v>
      </c>
      <c r="GZ4" t="s">
        <v>243</v>
      </c>
      <c r="HA4" t="s">
        <v>244</v>
      </c>
      <c r="HB4" t="s">
        <v>245</v>
      </c>
      <c r="HC4" t="s">
        <v>246</v>
      </c>
      <c r="HD4" t="s">
        <v>247</v>
      </c>
      <c r="HE4" t="s">
        <v>248</v>
      </c>
      <c r="HF4" t="s">
        <v>249</v>
      </c>
      <c r="HG4" t="s">
        <v>250</v>
      </c>
      <c r="HH4" t="s">
        <v>251</v>
      </c>
      <c r="HI4" t="s">
        <v>252</v>
      </c>
      <c r="HJ4" t="s">
        <v>253</v>
      </c>
      <c r="HK4" t="s">
        <v>254</v>
      </c>
      <c r="HL4" t="s">
        <v>255</v>
      </c>
      <c r="HM4" t="s">
        <v>256</v>
      </c>
      <c r="HN4" t="s">
        <v>257</v>
      </c>
      <c r="HO4" t="s">
        <v>258</v>
      </c>
      <c r="HP4" t="s">
        <v>259</v>
      </c>
      <c r="HQ4" t="s">
        <v>260</v>
      </c>
      <c r="HR4" t="s">
        <v>261</v>
      </c>
      <c r="HS4" t="s">
        <v>262</v>
      </c>
      <c r="HT4" t="s">
        <v>263</v>
      </c>
      <c r="HU4" t="s">
        <v>264</v>
      </c>
      <c r="HV4" t="s">
        <v>265</v>
      </c>
      <c r="HW4" t="s">
        <v>266</v>
      </c>
      <c r="HX4" t="s">
        <v>267</v>
      </c>
      <c r="HY4" t="s">
        <v>268</v>
      </c>
      <c r="HZ4" t="s">
        <v>269</v>
      </c>
      <c r="IA4" t="s">
        <v>270</v>
      </c>
      <c r="IB4" t="s">
        <v>271</v>
      </c>
      <c r="IC4" t="s">
        <v>272</v>
      </c>
      <c r="ID4" t="s">
        <v>273</v>
      </c>
      <c r="IE4" t="s">
        <v>274</v>
      </c>
      <c r="IF4" t="s">
        <v>275</v>
      </c>
      <c r="IG4" t="s">
        <v>276</v>
      </c>
      <c r="IH4" t="s">
        <v>277</v>
      </c>
      <c r="II4" t="s">
        <v>278</v>
      </c>
      <c r="IJ4" t="s">
        <v>279</v>
      </c>
      <c r="IK4" t="s">
        <v>280</v>
      </c>
      <c r="IL4" t="s">
        <v>281</v>
      </c>
      <c r="IM4" t="s">
        <v>282</v>
      </c>
      <c r="IN4" t="s">
        <v>283</v>
      </c>
      <c r="IO4" t="s">
        <v>284</v>
      </c>
      <c r="IP4" t="s">
        <v>285</v>
      </c>
      <c r="IQ4" t="s">
        <v>286</v>
      </c>
      <c r="IR4" t="s">
        <v>287</v>
      </c>
      <c r="IS4" t="s">
        <v>288</v>
      </c>
      <c r="IT4" t="s">
        <v>289</v>
      </c>
      <c r="IU4" t="s">
        <v>290</v>
      </c>
      <c r="IV4" t="s">
        <v>291</v>
      </c>
      <c r="IW4" t="s">
        <v>292</v>
      </c>
      <c r="IX4" t="s">
        <v>293</v>
      </c>
      <c r="IY4" t="s">
        <v>294</v>
      </c>
      <c r="IZ4" t="s">
        <v>295</v>
      </c>
      <c r="JA4" t="s">
        <v>296</v>
      </c>
      <c r="JB4" t="s">
        <v>297</v>
      </c>
      <c r="JC4" t="s">
        <v>298</v>
      </c>
      <c r="JD4" t="s">
        <v>299</v>
      </c>
      <c r="JE4" t="s">
        <v>300</v>
      </c>
      <c r="JF4" t="s">
        <v>301</v>
      </c>
      <c r="JG4" t="s">
        <v>302</v>
      </c>
      <c r="JH4" t="s">
        <v>303</v>
      </c>
      <c r="JI4" t="s">
        <v>304</v>
      </c>
      <c r="JJ4" t="s">
        <v>305</v>
      </c>
      <c r="JK4" t="s">
        <v>306</v>
      </c>
      <c r="JL4" t="s">
        <v>307</v>
      </c>
      <c r="JM4" t="s">
        <v>308</v>
      </c>
      <c r="JN4" t="s">
        <v>309</v>
      </c>
      <c r="JO4" t="s">
        <v>310</v>
      </c>
      <c r="JP4" t="s">
        <v>311</v>
      </c>
      <c r="JQ4" t="s">
        <v>312</v>
      </c>
      <c r="JR4" t="s">
        <v>313</v>
      </c>
      <c r="JS4" t="s">
        <v>314</v>
      </c>
      <c r="JT4" t="s">
        <v>315</v>
      </c>
      <c r="JU4" t="s">
        <v>316</v>
      </c>
      <c r="JV4" t="s">
        <v>317</v>
      </c>
      <c r="JW4" t="s">
        <v>318</v>
      </c>
      <c r="JX4" t="s">
        <v>319</v>
      </c>
      <c r="JY4" t="s">
        <v>320</v>
      </c>
      <c r="JZ4" t="s">
        <v>321</v>
      </c>
      <c r="KA4" t="s">
        <v>322</v>
      </c>
      <c r="KB4" t="s">
        <v>323</v>
      </c>
      <c r="KC4" t="s">
        <v>324</v>
      </c>
      <c r="KD4" t="s">
        <v>325</v>
      </c>
      <c r="KE4" t="s">
        <v>326</v>
      </c>
      <c r="KF4" t="s">
        <v>327</v>
      </c>
      <c r="KG4" t="s">
        <v>328</v>
      </c>
      <c r="KH4" t="s">
        <v>329</v>
      </c>
      <c r="KI4" t="s">
        <v>330</v>
      </c>
      <c r="KJ4" t="s">
        <v>331</v>
      </c>
      <c r="KK4" t="s">
        <v>332</v>
      </c>
      <c r="KL4" t="s">
        <v>333</v>
      </c>
      <c r="KM4" t="s">
        <v>334</v>
      </c>
      <c r="KN4" t="s">
        <v>335</v>
      </c>
      <c r="KO4" t="s">
        <v>336</v>
      </c>
      <c r="KP4" t="s">
        <v>337</v>
      </c>
      <c r="KQ4" t="s">
        <v>338</v>
      </c>
      <c r="KR4" t="s">
        <v>339</v>
      </c>
      <c r="KS4" t="s">
        <v>340</v>
      </c>
      <c r="KT4" t="s">
        <v>341</v>
      </c>
      <c r="KU4" t="s">
        <v>342</v>
      </c>
      <c r="KV4" t="s">
        <v>343</v>
      </c>
      <c r="KW4" t="s">
        <v>344</v>
      </c>
      <c r="KX4" t="s">
        <v>345</v>
      </c>
      <c r="KY4" t="s">
        <v>346</v>
      </c>
      <c r="KZ4" t="s">
        <v>347</v>
      </c>
      <c r="LA4" t="s">
        <v>348</v>
      </c>
      <c r="LB4" t="s">
        <v>349</v>
      </c>
    </row>
    <row r="5" spans="1:314" s="132" customFormat="1" x14ac:dyDescent="0.25">
      <c r="A5" s="134" t="s">
        <v>394</v>
      </c>
      <c r="B5" s="134"/>
      <c r="C5" s="134" t="s">
        <v>1069</v>
      </c>
      <c r="D5" s="134"/>
      <c r="E5" s="135"/>
      <c r="F5" s="134"/>
      <c r="G5" s="134" t="s">
        <v>395</v>
      </c>
      <c r="Q5" s="132">
        <v>12377710</v>
      </c>
      <c r="AH5" s="132">
        <v>20619803</v>
      </c>
      <c r="AI5" s="132">
        <v>14330083</v>
      </c>
      <c r="AJ5" s="132">
        <v>5654649</v>
      </c>
      <c r="AK5" s="132">
        <v>7102500</v>
      </c>
      <c r="AL5" s="132">
        <v>175711</v>
      </c>
      <c r="AM5" s="132">
        <v>9.9999999999999995E-8</v>
      </c>
      <c r="CU5" s="132">
        <v>50000</v>
      </c>
      <c r="CV5" s="132">
        <v>213535</v>
      </c>
      <c r="CW5" s="132">
        <v>1614352</v>
      </c>
      <c r="CX5" s="132">
        <v>908387</v>
      </c>
      <c r="CY5" s="132">
        <v>26208</v>
      </c>
      <c r="CZ5" s="132">
        <v>199376</v>
      </c>
      <c r="DA5" s="132">
        <v>818530</v>
      </c>
      <c r="DB5" s="132">
        <v>90408</v>
      </c>
      <c r="DC5" s="132">
        <v>461575</v>
      </c>
      <c r="DD5" s="132">
        <v>4848</v>
      </c>
      <c r="DE5" s="132">
        <v>240342</v>
      </c>
      <c r="DF5" s="132">
        <v>3312953</v>
      </c>
      <c r="DG5" s="132">
        <v>379766</v>
      </c>
      <c r="DH5" s="132">
        <v>369409</v>
      </c>
      <c r="DJ5" s="132">
        <v>639075</v>
      </c>
      <c r="DK5" s="132">
        <v>21888</v>
      </c>
      <c r="DL5" s="132">
        <v>312684</v>
      </c>
      <c r="DM5" s="132">
        <v>2727631</v>
      </c>
      <c r="DN5" s="132">
        <v>227972</v>
      </c>
      <c r="DO5" s="132">
        <v>242061</v>
      </c>
      <c r="DP5" s="132">
        <v>3568</v>
      </c>
      <c r="DQ5" s="132">
        <v>383208</v>
      </c>
      <c r="DR5" s="132">
        <v>386108</v>
      </c>
      <c r="DS5" s="132">
        <v>2792717</v>
      </c>
      <c r="DT5" s="132">
        <v>880305</v>
      </c>
      <c r="DY5" s="132">
        <v>184365</v>
      </c>
      <c r="DZ5" s="132">
        <v>601036</v>
      </c>
      <c r="EA5" s="132">
        <v>5237847</v>
      </c>
      <c r="EB5" s="132">
        <v>3712159</v>
      </c>
      <c r="EC5" s="132">
        <v>116402</v>
      </c>
      <c r="ED5" s="132">
        <v>638096</v>
      </c>
      <c r="EE5" s="132">
        <v>3262511</v>
      </c>
      <c r="EF5" s="132">
        <v>255257</v>
      </c>
      <c r="EG5" s="132">
        <v>993747</v>
      </c>
      <c r="EH5" s="132">
        <v>100811</v>
      </c>
      <c r="EI5" s="132">
        <v>2087225</v>
      </c>
      <c r="EJ5" s="132">
        <v>9402828</v>
      </c>
      <c r="EK5" s="132">
        <v>1768686</v>
      </c>
      <c r="EL5" s="132">
        <v>2940046</v>
      </c>
      <c r="EN5" s="132">
        <v>1666566</v>
      </c>
      <c r="EO5" s="132">
        <v>321916</v>
      </c>
      <c r="EP5" s="132">
        <v>1129605</v>
      </c>
      <c r="EQ5" s="132">
        <v>8051308</v>
      </c>
      <c r="ER5" s="132">
        <v>803387</v>
      </c>
      <c r="ES5" s="132">
        <v>680276</v>
      </c>
      <c r="ET5" s="132">
        <v>57763</v>
      </c>
      <c r="EU5" s="132">
        <v>1643427</v>
      </c>
      <c r="EV5" s="132">
        <v>964848</v>
      </c>
      <c r="EW5" s="132">
        <v>8501905</v>
      </c>
      <c r="EX5" s="132">
        <v>4027633</v>
      </c>
      <c r="IO5" s="132">
        <v>60163</v>
      </c>
      <c r="IP5" s="132">
        <v>70170</v>
      </c>
      <c r="IQ5" s="132">
        <v>1181110</v>
      </c>
      <c r="IR5" s="132">
        <v>617044</v>
      </c>
      <c r="IS5" s="132">
        <v>156936</v>
      </c>
      <c r="IT5" s="132">
        <v>289699</v>
      </c>
      <c r="IU5" s="132">
        <v>658144</v>
      </c>
      <c r="IV5" s="132">
        <v>48715</v>
      </c>
      <c r="IW5" s="132">
        <v>279553</v>
      </c>
      <c r="IX5" s="132">
        <v>63290</v>
      </c>
      <c r="IY5" s="132">
        <v>610961</v>
      </c>
      <c r="IZ5" s="132">
        <v>1449130</v>
      </c>
      <c r="JA5" s="132">
        <v>259599</v>
      </c>
      <c r="JB5" s="132">
        <v>366849</v>
      </c>
      <c r="JD5" s="132">
        <v>472710</v>
      </c>
      <c r="JE5" s="132">
        <v>6296</v>
      </c>
      <c r="JF5" s="132">
        <v>189130</v>
      </c>
      <c r="JG5" s="132">
        <v>1051184</v>
      </c>
      <c r="JH5" s="132">
        <v>182771</v>
      </c>
      <c r="JI5" s="132">
        <v>173493</v>
      </c>
      <c r="JJ5" s="132">
        <v>34704</v>
      </c>
      <c r="JK5" s="132">
        <v>284275</v>
      </c>
      <c r="JL5" s="132">
        <v>252502</v>
      </c>
      <c r="JM5" s="132">
        <v>822081</v>
      </c>
      <c r="JN5" s="132">
        <v>786810</v>
      </c>
    </row>
    <row r="6" spans="1:314" s="132" customFormat="1" x14ac:dyDescent="0.25">
      <c r="A6" s="134" t="s">
        <v>350</v>
      </c>
      <c r="B6" s="134"/>
      <c r="C6" s="134" t="s">
        <v>1069</v>
      </c>
      <c r="D6" s="134"/>
      <c r="E6" s="135"/>
      <c r="F6" s="134"/>
      <c r="G6" s="134" t="s">
        <v>351</v>
      </c>
      <c r="Q6" s="132">
        <v>639596</v>
      </c>
      <c r="AH6" s="132">
        <v>2410311</v>
      </c>
      <c r="AI6" s="132">
        <v>1390112</v>
      </c>
      <c r="AJ6" s="132">
        <v>517940</v>
      </c>
      <c r="AK6" s="132">
        <v>826103</v>
      </c>
      <c r="AL6" s="132">
        <v>0</v>
      </c>
      <c r="CU6" s="132">
        <v>32496</v>
      </c>
      <c r="CV6" s="132">
        <v>68009</v>
      </c>
      <c r="CW6" s="132">
        <v>184112</v>
      </c>
      <c r="CX6" s="132">
        <v>246516</v>
      </c>
      <c r="CZ6" s="132">
        <v>60992</v>
      </c>
      <c r="DA6" s="132">
        <v>235369</v>
      </c>
      <c r="DC6" s="132">
        <v>38053</v>
      </c>
      <c r="DE6" s="132">
        <v>44112</v>
      </c>
      <c r="DF6" s="132">
        <v>245620</v>
      </c>
      <c r="DG6" s="132">
        <v>19526</v>
      </c>
      <c r="DH6" s="132">
        <v>64009</v>
      </c>
      <c r="DJ6" s="132">
        <v>138776</v>
      </c>
      <c r="DK6" s="132">
        <v>14384</v>
      </c>
      <c r="DL6" s="132">
        <v>34704</v>
      </c>
      <c r="DM6" s="132">
        <v>202764</v>
      </c>
      <c r="DN6" s="132">
        <v>29632</v>
      </c>
      <c r="DQ6" s="132">
        <v>75392</v>
      </c>
      <c r="DR6" s="132">
        <v>109036</v>
      </c>
      <c r="DS6" s="132">
        <v>273264</v>
      </c>
      <c r="DT6" s="132">
        <v>94272</v>
      </c>
      <c r="DY6" s="132">
        <v>47514</v>
      </c>
      <c r="DZ6" s="132">
        <v>246501</v>
      </c>
      <c r="EA6" s="132">
        <v>606543</v>
      </c>
      <c r="EB6" s="132">
        <v>837126</v>
      </c>
      <c r="ED6" s="132">
        <v>148623</v>
      </c>
      <c r="EE6" s="132">
        <v>641694</v>
      </c>
      <c r="EG6" s="132">
        <v>113124</v>
      </c>
      <c r="EI6" s="132">
        <v>46328</v>
      </c>
      <c r="EJ6" s="132">
        <v>863645</v>
      </c>
      <c r="EK6" s="132">
        <v>81920</v>
      </c>
      <c r="EL6" s="132">
        <v>377505</v>
      </c>
      <c r="EN6" s="132">
        <v>535878</v>
      </c>
      <c r="EO6" s="132">
        <v>163643</v>
      </c>
      <c r="EP6" s="132">
        <v>158313</v>
      </c>
      <c r="EQ6" s="132">
        <v>500242</v>
      </c>
      <c r="ER6" s="132">
        <v>53333</v>
      </c>
      <c r="EU6" s="132">
        <v>321890</v>
      </c>
      <c r="EV6" s="132">
        <v>299710</v>
      </c>
      <c r="EW6" s="132">
        <v>778453</v>
      </c>
      <c r="EX6" s="132">
        <v>378420</v>
      </c>
      <c r="IO6" s="132">
        <v>11676</v>
      </c>
      <c r="IP6" s="132">
        <v>72858</v>
      </c>
      <c r="IQ6" s="132">
        <v>102313</v>
      </c>
      <c r="IR6" s="132">
        <v>139161</v>
      </c>
      <c r="IT6" s="132">
        <v>56883</v>
      </c>
      <c r="IU6" s="132">
        <v>188021</v>
      </c>
      <c r="IW6" s="132">
        <v>39760</v>
      </c>
      <c r="IY6" s="132">
        <v>32618</v>
      </c>
      <c r="IZ6" s="132">
        <v>132827</v>
      </c>
      <c r="JA6" s="132">
        <v>10526</v>
      </c>
      <c r="JB6" s="132">
        <v>135843</v>
      </c>
      <c r="JD6" s="132">
        <v>98253</v>
      </c>
      <c r="JE6" s="132">
        <v>18653</v>
      </c>
      <c r="JF6" s="132">
        <v>20552</v>
      </c>
      <c r="JG6" s="132">
        <v>76822</v>
      </c>
      <c r="JH6" s="132">
        <v>10504</v>
      </c>
      <c r="JK6" s="132">
        <v>50278</v>
      </c>
      <c r="JL6" s="132">
        <v>80297</v>
      </c>
      <c r="JM6" s="132">
        <v>112108</v>
      </c>
      <c r="JN6" s="132">
        <v>125090</v>
      </c>
    </row>
    <row r="7" spans="1:314" s="132" customFormat="1" x14ac:dyDescent="0.25">
      <c r="A7" s="134" t="s">
        <v>352</v>
      </c>
      <c r="B7" s="134"/>
      <c r="C7" s="134" t="s">
        <v>1069</v>
      </c>
      <c r="D7" s="134"/>
      <c r="E7" s="135"/>
      <c r="F7" s="134"/>
      <c r="G7" s="134" t="s">
        <v>353</v>
      </c>
      <c r="Q7" s="132">
        <v>2335109</v>
      </c>
      <c r="AH7" s="132">
        <v>6829208</v>
      </c>
      <c r="AI7" s="132">
        <v>2687309</v>
      </c>
      <c r="AJ7" s="132">
        <v>1136751</v>
      </c>
      <c r="AK7" s="132">
        <v>1343479</v>
      </c>
      <c r="AL7" s="132">
        <v>356323</v>
      </c>
      <c r="CU7" s="132">
        <v>9207</v>
      </c>
      <c r="CV7" s="132">
        <v>82744</v>
      </c>
      <c r="CW7" s="132">
        <v>347984</v>
      </c>
      <c r="CX7" s="132">
        <v>360200</v>
      </c>
      <c r="CZ7" s="132">
        <v>32644</v>
      </c>
      <c r="DA7" s="132">
        <v>192859</v>
      </c>
      <c r="DB7" s="132">
        <v>5441</v>
      </c>
      <c r="DC7" s="132">
        <v>138283</v>
      </c>
      <c r="DD7" s="132">
        <v>640</v>
      </c>
      <c r="DE7" s="132">
        <v>173439</v>
      </c>
      <c r="DF7" s="132">
        <v>650423</v>
      </c>
      <c r="DG7" s="132">
        <v>27081</v>
      </c>
      <c r="DH7" s="132">
        <v>242806</v>
      </c>
      <c r="DI7" s="132">
        <v>52292</v>
      </c>
      <c r="DJ7" s="132">
        <v>307719</v>
      </c>
      <c r="DK7" s="132">
        <v>14160</v>
      </c>
      <c r="DL7" s="132">
        <v>80032</v>
      </c>
      <c r="DM7" s="132">
        <v>403142</v>
      </c>
      <c r="DN7" s="132">
        <v>79755</v>
      </c>
      <c r="DO7" s="132">
        <v>100362</v>
      </c>
      <c r="DP7" s="132">
        <v>6272</v>
      </c>
      <c r="DQ7" s="132">
        <v>94204</v>
      </c>
      <c r="DR7" s="132">
        <v>413530</v>
      </c>
      <c r="DS7" s="132">
        <v>397514</v>
      </c>
      <c r="DT7" s="132">
        <v>212822</v>
      </c>
      <c r="DY7" s="132">
        <v>25824</v>
      </c>
      <c r="DZ7" s="132">
        <v>240974</v>
      </c>
      <c r="EA7" s="132">
        <v>934449</v>
      </c>
      <c r="EB7" s="132">
        <v>993409</v>
      </c>
      <c r="ED7" s="132">
        <v>107292</v>
      </c>
      <c r="EE7" s="132">
        <v>529083</v>
      </c>
      <c r="EF7" s="132">
        <v>12177</v>
      </c>
      <c r="EG7" s="132">
        <v>316119</v>
      </c>
      <c r="EH7" s="132">
        <v>1711</v>
      </c>
      <c r="EI7" s="132">
        <v>424433</v>
      </c>
      <c r="EJ7" s="132">
        <v>2047131</v>
      </c>
      <c r="EK7" s="132">
        <v>87383</v>
      </c>
      <c r="EL7" s="132">
        <v>831481</v>
      </c>
      <c r="EM7" s="132">
        <v>197756</v>
      </c>
      <c r="EN7" s="132">
        <v>1012707</v>
      </c>
      <c r="EO7" s="132">
        <v>56790</v>
      </c>
      <c r="EP7" s="132">
        <v>320852</v>
      </c>
      <c r="EQ7" s="132">
        <v>1077736</v>
      </c>
      <c r="ER7" s="132">
        <v>234481</v>
      </c>
      <c r="ES7" s="132">
        <v>293872</v>
      </c>
      <c r="ET7" s="132">
        <v>18385</v>
      </c>
      <c r="EU7" s="132">
        <v>202042</v>
      </c>
      <c r="EV7" s="132">
        <v>490750</v>
      </c>
      <c r="EW7" s="132">
        <v>869952</v>
      </c>
      <c r="EX7" s="132">
        <v>704757</v>
      </c>
      <c r="IO7" s="132">
        <v>6975</v>
      </c>
      <c r="IP7" s="132">
        <v>73976</v>
      </c>
      <c r="IQ7" s="132">
        <v>172097</v>
      </c>
      <c r="IR7" s="132">
        <v>230115</v>
      </c>
      <c r="IT7" s="132">
        <v>20736</v>
      </c>
      <c r="IU7" s="132">
        <v>97204</v>
      </c>
      <c r="IV7" s="132">
        <v>7393</v>
      </c>
      <c r="IW7" s="132">
        <v>58918</v>
      </c>
      <c r="IX7" s="132">
        <v>315</v>
      </c>
      <c r="IY7" s="132">
        <v>167683</v>
      </c>
      <c r="IZ7" s="132">
        <v>637945</v>
      </c>
      <c r="JA7" s="132">
        <v>21245</v>
      </c>
      <c r="JB7" s="132">
        <v>226563</v>
      </c>
      <c r="JC7" s="132">
        <v>40922</v>
      </c>
      <c r="JD7" s="132">
        <v>304983</v>
      </c>
      <c r="JE7" s="132">
        <v>8983</v>
      </c>
      <c r="JF7" s="132">
        <v>42529</v>
      </c>
      <c r="JG7" s="132">
        <v>198851</v>
      </c>
      <c r="JH7" s="132">
        <v>70007</v>
      </c>
      <c r="JI7" s="132">
        <v>89239</v>
      </c>
      <c r="JJ7" s="132">
        <v>5325</v>
      </c>
      <c r="JK7" s="132">
        <v>7254</v>
      </c>
      <c r="JL7" s="132">
        <v>965927</v>
      </c>
      <c r="JM7" s="132">
        <v>57092</v>
      </c>
      <c r="JN7" s="132">
        <v>144526</v>
      </c>
    </row>
    <row r="8" spans="1:314" s="132" customFormat="1" x14ac:dyDescent="0.25">
      <c r="A8" s="134" t="s">
        <v>421</v>
      </c>
      <c r="B8" s="134"/>
      <c r="C8" s="134" t="s">
        <v>1069</v>
      </c>
      <c r="D8" s="134"/>
      <c r="E8" s="135"/>
      <c r="F8" s="134"/>
      <c r="G8" s="134" t="s">
        <v>422</v>
      </c>
      <c r="Q8" s="132">
        <v>328860</v>
      </c>
      <c r="AH8" s="132">
        <v>1376502</v>
      </c>
      <c r="AI8" s="132">
        <v>734484</v>
      </c>
      <c r="AJ8" s="132">
        <v>354612</v>
      </c>
      <c r="AK8" s="132">
        <v>1367875</v>
      </c>
      <c r="AL8" s="132">
        <v>0</v>
      </c>
      <c r="CU8" s="132">
        <v>4863</v>
      </c>
      <c r="CV8" s="132">
        <v>53706</v>
      </c>
      <c r="CW8" s="132">
        <v>169888</v>
      </c>
      <c r="CX8" s="132">
        <v>153617</v>
      </c>
      <c r="CY8" s="132">
        <v>576</v>
      </c>
      <c r="CZ8" s="132">
        <v>6080</v>
      </c>
      <c r="DA8" s="132">
        <v>49181</v>
      </c>
      <c r="DB8" s="132">
        <v>17296</v>
      </c>
      <c r="DC8" s="132">
        <v>71467</v>
      </c>
      <c r="DD8" s="132">
        <v>4158</v>
      </c>
      <c r="DE8" s="132">
        <v>30272</v>
      </c>
      <c r="DF8" s="132">
        <v>329259</v>
      </c>
      <c r="DG8" s="132">
        <v>23304</v>
      </c>
      <c r="DH8" s="132">
        <v>133040</v>
      </c>
      <c r="DJ8" s="132">
        <v>222130</v>
      </c>
      <c r="DK8" s="132">
        <v>27980</v>
      </c>
      <c r="DL8" s="132">
        <v>54256</v>
      </c>
      <c r="DM8" s="132">
        <v>260208</v>
      </c>
      <c r="DN8" s="132">
        <v>6784</v>
      </c>
      <c r="DO8" s="132">
        <v>7112</v>
      </c>
      <c r="DQ8" s="132">
        <v>48912</v>
      </c>
      <c r="DR8" s="132">
        <v>186292</v>
      </c>
      <c r="DS8" s="132">
        <v>314376</v>
      </c>
      <c r="DT8" s="132">
        <v>89525</v>
      </c>
      <c r="DY8" s="132">
        <v>7118</v>
      </c>
      <c r="DZ8" s="132">
        <v>288923</v>
      </c>
      <c r="EA8" s="132">
        <v>418828</v>
      </c>
      <c r="EB8" s="132">
        <v>466093</v>
      </c>
      <c r="EC8" s="132">
        <v>1478</v>
      </c>
      <c r="ED8" s="132">
        <v>34955</v>
      </c>
      <c r="EE8" s="132">
        <v>268176</v>
      </c>
      <c r="EF8" s="132">
        <v>91395</v>
      </c>
      <c r="EG8" s="132">
        <v>175137</v>
      </c>
      <c r="EH8" s="132">
        <v>15852</v>
      </c>
      <c r="EI8" s="132">
        <v>159963</v>
      </c>
      <c r="EJ8" s="132">
        <v>754247</v>
      </c>
      <c r="EK8" s="132">
        <v>70819</v>
      </c>
      <c r="EL8" s="132">
        <v>703607</v>
      </c>
      <c r="EN8" s="132">
        <v>640739</v>
      </c>
      <c r="EO8" s="132">
        <v>150389</v>
      </c>
      <c r="EP8" s="132">
        <v>134338</v>
      </c>
      <c r="EQ8" s="132">
        <v>582680</v>
      </c>
      <c r="ER8" s="132">
        <v>55746</v>
      </c>
      <c r="ES8" s="132">
        <v>38983</v>
      </c>
      <c r="EU8" s="132">
        <v>159362</v>
      </c>
      <c r="EV8" s="132">
        <v>341199</v>
      </c>
      <c r="EW8" s="132">
        <v>580828</v>
      </c>
      <c r="EX8" s="132">
        <v>298478</v>
      </c>
      <c r="IO8" s="132">
        <v>1452</v>
      </c>
      <c r="IP8" s="132">
        <v>31873</v>
      </c>
      <c r="IQ8" s="132">
        <v>64172</v>
      </c>
      <c r="IR8" s="132">
        <v>32706</v>
      </c>
      <c r="IS8" s="132">
        <v>781</v>
      </c>
      <c r="IT8" s="132">
        <v>3817</v>
      </c>
      <c r="IU8" s="132">
        <v>39815</v>
      </c>
      <c r="IV8" s="132">
        <v>13970</v>
      </c>
      <c r="IW8" s="132">
        <v>42353</v>
      </c>
      <c r="IX8" s="132">
        <v>4868</v>
      </c>
      <c r="IY8" s="132">
        <v>24450</v>
      </c>
      <c r="IZ8" s="132">
        <v>41842</v>
      </c>
      <c r="JA8" s="132">
        <v>5274</v>
      </c>
      <c r="JB8" s="132">
        <v>47838</v>
      </c>
      <c r="JD8" s="132">
        <v>142889</v>
      </c>
      <c r="JE8" s="132">
        <v>15602</v>
      </c>
      <c r="JF8" s="132">
        <v>32626</v>
      </c>
      <c r="JG8" s="132">
        <v>35844</v>
      </c>
      <c r="JH8" s="132">
        <v>10279</v>
      </c>
      <c r="JI8" s="132">
        <v>10145</v>
      </c>
      <c r="JK8" s="132">
        <v>20682</v>
      </c>
      <c r="JL8" s="132">
        <v>117120</v>
      </c>
      <c r="JM8" s="132">
        <v>35379</v>
      </c>
      <c r="JN8" s="132">
        <v>110504</v>
      </c>
    </row>
    <row r="9" spans="1:314" s="132" customFormat="1" x14ac:dyDescent="0.25">
      <c r="A9" s="134" t="s">
        <v>444</v>
      </c>
      <c r="B9" s="134"/>
      <c r="C9" s="134" t="s">
        <v>1069</v>
      </c>
      <c r="D9" s="134"/>
      <c r="E9" s="135"/>
      <c r="F9" s="134"/>
      <c r="G9" s="134" t="s">
        <v>445</v>
      </c>
      <c r="Q9" s="132">
        <v>3171281</v>
      </c>
      <c r="AH9" s="132">
        <v>16055276</v>
      </c>
      <c r="AI9" s="132">
        <v>7396642</v>
      </c>
      <c r="AJ9" s="132">
        <v>2529946</v>
      </c>
      <c r="AK9" s="132">
        <v>10044334</v>
      </c>
      <c r="AL9" s="132">
        <v>0</v>
      </c>
      <c r="CU9" s="132">
        <v>76208</v>
      </c>
      <c r="CV9" s="132">
        <v>255904</v>
      </c>
      <c r="CW9" s="132">
        <v>1085504</v>
      </c>
      <c r="CX9" s="132">
        <v>509296</v>
      </c>
      <c r="CZ9" s="132">
        <v>149472</v>
      </c>
      <c r="DA9" s="132">
        <v>583472</v>
      </c>
      <c r="DB9" s="132">
        <v>7872</v>
      </c>
      <c r="DC9" s="132">
        <v>162080</v>
      </c>
      <c r="DD9" s="132">
        <v>7104</v>
      </c>
      <c r="DE9" s="132">
        <v>191936</v>
      </c>
      <c r="DF9" s="132">
        <v>1573824</v>
      </c>
      <c r="DG9" s="132">
        <v>521616</v>
      </c>
      <c r="DH9" s="132">
        <v>164656</v>
      </c>
      <c r="DI9" s="132">
        <v>0</v>
      </c>
      <c r="DJ9" s="132">
        <v>346599</v>
      </c>
      <c r="DL9" s="132">
        <v>83488</v>
      </c>
      <c r="DM9" s="132">
        <v>1469526</v>
      </c>
      <c r="DN9" s="132">
        <v>61088</v>
      </c>
      <c r="DP9" s="132">
        <v>1152</v>
      </c>
      <c r="DQ9" s="132">
        <v>207520</v>
      </c>
      <c r="DR9" s="132">
        <v>170608</v>
      </c>
      <c r="DS9" s="132">
        <v>2352336</v>
      </c>
      <c r="DT9" s="132">
        <v>703728</v>
      </c>
      <c r="DY9" s="132">
        <v>0</v>
      </c>
      <c r="DZ9" s="132">
        <v>1184013</v>
      </c>
      <c r="EA9" s="132">
        <v>3809140</v>
      </c>
      <c r="EB9" s="132">
        <v>2472936</v>
      </c>
      <c r="ED9" s="132">
        <v>264561</v>
      </c>
      <c r="EE9" s="132">
        <v>2390145</v>
      </c>
      <c r="EF9" s="132">
        <v>355248</v>
      </c>
      <c r="EG9" s="132">
        <v>415711</v>
      </c>
      <c r="EH9" s="132">
        <v>901794</v>
      </c>
      <c r="EI9" s="132">
        <v>340033</v>
      </c>
      <c r="EJ9" s="132">
        <v>5145211</v>
      </c>
      <c r="EK9" s="132">
        <v>1550102</v>
      </c>
      <c r="EL9" s="132">
        <v>1667695</v>
      </c>
      <c r="EM9" s="132">
        <v>36280</v>
      </c>
      <c r="EN9" s="132">
        <v>2455105</v>
      </c>
      <c r="EP9" s="132">
        <v>685258</v>
      </c>
      <c r="EQ9" s="132">
        <v>4370905</v>
      </c>
      <c r="ER9" s="132">
        <v>370755</v>
      </c>
      <c r="ET9" s="132">
        <v>784350</v>
      </c>
      <c r="EU9" s="132">
        <v>689197</v>
      </c>
      <c r="EV9" s="132">
        <v>458517</v>
      </c>
      <c r="EW9" s="132">
        <v>5250231</v>
      </c>
      <c r="EX9" s="132">
        <v>3356585</v>
      </c>
      <c r="IO9" s="132">
        <v>0</v>
      </c>
      <c r="IP9" s="132">
        <v>474212</v>
      </c>
      <c r="IQ9" s="132">
        <v>1307138</v>
      </c>
      <c r="IR9" s="132">
        <v>417942</v>
      </c>
      <c r="IT9" s="132">
        <v>100160</v>
      </c>
      <c r="IU9" s="132">
        <v>1109693</v>
      </c>
      <c r="IV9" s="132">
        <v>142118</v>
      </c>
      <c r="IW9" s="132">
        <v>205349</v>
      </c>
      <c r="IX9" s="132">
        <v>200</v>
      </c>
      <c r="IY9" s="132">
        <v>79987</v>
      </c>
      <c r="IZ9" s="132">
        <v>306570</v>
      </c>
      <c r="JA9" s="132">
        <v>82797</v>
      </c>
      <c r="JB9" s="132">
        <v>111069</v>
      </c>
      <c r="JC9" s="132">
        <v>6553</v>
      </c>
      <c r="JD9" s="132">
        <v>286635</v>
      </c>
      <c r="JF9" s="132">
        <v>53791</v>
      </c>
      <c r="JG9" s="132">
        <v>174818</v>
      </c>
      <c r="JH9" s="132">
        <v>134627</v>
      </c>
      <c r="JJ9" s="132">
        <v>273937</v>
      </c>
      <c r="JK9" s="132">
        <v>161968</v>
      </c>
      <c r="JL9" s="132">
        <v>214826</v>
      </c>
      <c r="JM9" s="132">
        <v>174294</v>
      </c>
      <c r="JN9" s="132">
        <v>719815</v>
      </c>
    </row>
    <row r="10" spans="1:314" s="132" customFormat="1" x14ac:dyDescent="0.25">
      <c r="A10" s="134" t="s">
        <v>356</v>
      </c>
      <c r="B10" s="134"/>
      <c r="C10" s="134" t="s">
        <v>1069</v>
      </c>
      <c r="D10" s="134"/>
      <c r="E10" s="135"/>
      <c r="F10" s="134"/>
      <c r="G10" s="134" t="s">
        <v>357</v>
      </c>
      <c r="Q10" s="132">
        <v>2746859</v>
      </c>
      <c r="AH10" s="132">
        <v>5901383</v>
      </c>
      <c r="AI10" s="132">
        <v>3016312</v>
      </c>
      <c r="AJ10" s="132">
        <v>1150858</v>
      </c>
      <c r="AK10" s="132">
        <v>2141093</v>
      </c>
      <c r="AL10" s="132">
        <v>0</v>
      </c>
      <c r="CU10" s="132">
        <v>29568</v>
      </c>
      <c r="CV10" s="132">
        <v>3328</v>
      </c>
      <c r="CW10" s="132">
        <v>1014896</v>
      </c>
      <c r="CX10" s="132">
        <v>317232</v>
      </c>
      <c r="CZ10" s="132">
        <v>18752</v>
      </c>
      <c r="DA10" s="132">
        <v>202384</v>
      </c>
      <c r="DC10" s="132">
        <v>87968</v>
      </c>
      <c r="DF10" s="132">
        <v>932208</v>
      </c>
      <c r="DG10" s="132">
        <v>147344</v>
      </c>
      <c r="DH10" s="132">
        <v>66288</v>
      </c>
      <c r="DI10" s="132">
        <v>18032</v>
      </c>
      <c r="DJ10" s="132">
        <v>175724</v>
      </c>
      <c r="DL10" s="132">
        <v>65776</v>
      </c>
      <c r="DM10" s="132">
        <v>698464</v>
      </c>
      <c r="DQ10" s="132">
        <v>226224</v>
      </c>
      <c r="DR10" s="132">
        <v>121200</v>
      </c>
      <c r="DS10" s="132">
        <v>1404192</v>
      </c>
      <c r="DT10" s="132">
        <v>109177</v>
      </c>
      <c r="DY10" s="132">
        <v>146667</v>
      </c>
      <c r="DZ10" s="132">
        <v>0</v>
      </c>
      <c r="EA10" s="132">
        <v>1867837</v>
      </c>
      <c r="EB10" s="132">
        <v>1313670</v>
      </c>
      <c r="ED10" s="132">
        <v>56061</v>
      </c>
      <c r="EE10" s="132">
        <v>446770</v>
      </c>
      <c r="EG10" s="132">
        <v>131255</v>
      </c>
      <c r="EJ10" s="132">
        <v>2655132</v>
      </c>
      <c r="EK10" s="132">
        <v>367255</v>
      </c>
      <c r="EL10" s="132">
        <v>469953</v>
      </c>
      <c r="EM10" s="132">
        <v>185051</v>
      </c>
      <c r="EN10" s="132">
        <v>377458</v>
      </c>
      <c r="EP10" s="132">
        <v>171348</v>
      </c>
      <c r="EQ10" s="132">
        <v>2067584</v>
      </c>
      <c r="EU10" s="132">
        <v>732559</v>
      </c>
      <c r="EV10" s="132">
        <v>174382</v>
      </c>
      <c r="EW10" s="132">
        <v>3012680</v>
      </c>
      <c r="EX10" s="132">
        <v>364810</v>
      </c>
      <c r="IO10" s="132">
        <v>59107</v>
      </c>
      <c r="IP10" s="132">
        <v>0</v>
      </c>
      <c r="IQ10" s="132">
        <v>694779</v>
      </c>
      <c r="IR10" s="132">
        <v>363925</v>
      </c>
      <c r="IT10" s="132">
        <v>18786</v>
      </c>
      <c r="IU10" s="132">
        <v>1212771</v>
      </c>
      <c r="IW10" s="132">
        <v>268841</v>
      </c>
      <c r="IZ10" s="132">
        <v>1004914</v>
      </c>
      <c r="JA10" s="132">
        <v>75705</v>
      </c>
      <c r="JB10" s="132">
        <v>209743</v>
      </c>
      <c r="JC10" s="132">
        <v>141619</v>
      </c>
      <c r="JD10" s="132">
        <v>284650</v>
      </c>
      <c r="JF10" s="132">
        <v>177884</v>
      </c>
      <c r="JG10" s="132">
        <v>590063</v>
      </c>
      <c r="JK10" s="132">
        <v>263448</v>
      </c>
      <c r="JL10" s="132">
        <v>45089</v>
      </c>
      <c r="JM10" s="132">
        <v>776698</v>
      </c>
      <c r="JN10" s="132">
        <v>265338</v>
      </c>
    </row>
    <row r="11" spans="1:314" s="132" customFormat="1" x14ac:dyDescent="0.25">
      <c r="A11" s="134" t="s">
        <v>427</v>
      </c>
      <c r="B11" s="134"/>
      <c r="C11" s="134" t="s">
        <v>1069</v>
      </c>
      <c r="D11" s="134"/>
      <c r="E11" s="135"/>
      <c r="F11" s="134"/>
      <c r="G11" s="134" t="s">
        <v>428</v>
      </c>
      <c r="Q11" s="132">
        <v>329550</v>
      </c>
      <c r="AH11" s="132">
        <v>2633552</v>
      </c>
      <c r="AI11" s="132">
        <v>1135837</v>
      </c>
      <c r="AJ11" s="132">
        <v>511724</v>
      </c>
      <c r="AK11" s="132">
        <v>1049624</v>
      </c>
      <c r="AL11" s="132">
        <v>0</v>
      </c>
      <c r="CV11" s="132">
        <v>132960</v>
      </c>
      <c r="CW11" s="132">
        <v>214512</v>
      </c>
      <c r="CX11" s="132">
        <v>162004</v>
      </c>
      <c r="CZ11" s="132">
        <v>864</v>
      </c>
      <c r="DA11" s="132">
        <v>88616</v>
      </c>
      <c r="DB11" s="132">
        <v>120560</v>
      </c>
      <c r="DC11" s="132">
        <v>20312</v>
      </c>
      <c r="DE11" s="132">
        <v>115568</v>
      </c>
      <c r="DF11" s="132">
        <v>183776</v>
      </c>
      <c r="DG11" s="132">
        <v>14312</v>
      </c>
      <c r="DJ11" s="132">
        <v>27178</v>
      </c>
      <c r="DL11" s="132">
        <v>24720</v>
      </c>
      <c r="DM11" s="132">
        <v>196096</v>
      </c>
      <c r="DN11" s="132">
        <v>15536</v>
      </c>
      <c r="DO11" s="132">
        <v>12320</v>
      </c>
      <c r="DQ11" s="132">
        <v>28336</v>
      </c>
      <c r="DR11" s="132">
        <v>38808</v>
      </c>
      <c r="DS11" s="132">
        <v>232080</v>
      </c>
      <c r="DT11" s="132">
        <v>51920</v>
      </c>
      <c r="DZ11" s="132">
        <v>251244</v>
      </c>
      <c r="EA11" s="132">
        <v>499616</v>
      </c>
      <c r="EB11" s="132">
        <v>430766</v>
      </c>
      <c r="ED11" s="132">
        <v>2134</v>
      </c>
      <c r="EE11" s="132">
        <v>314377</v>
      </c>
      <c r="EF11" s="132">
        <v>204694</v>
      </c>
      <c r="EG11" s="132">
        <v>95554</v>
      </c>
      <c r="EI11" s="132">
        <v>199716</v>
      </c>
      <c r="EJ11" s="132">
        <v>532527</v>
      </c>
      <c r="EK11" s="132">
        <v>44945</v>
      </c>
      <c r="EN11" s="132">
        <v>56859</v>
      </c>
      <c r="EP11" s="132">
        <v>102049</v>
      </c>
      <c r="EQ11" s="132">
        <v>419246</v>
      </c>
      <c r="ER11" s="132">
        <v>64366</v>
      </c>
      <c r="ES11" s="132">
        <v>31277</v>
      </c>
      <c r="EU11" s="132">
        <v>119515</v>
      </c>
      <c r="EV11" s="132">
        <v>64647</v>
      </c>
      <c r="EW11" s="132">
        <v>633198</v>
      </c>
      <c r="EX11" s="132">
        <v>256907</v>
      </c>
      <c r="IP11" s="132">
        <v>102987</v>
      </c>
      <c r="IQ11" s="132">
        <v>154650</v>
      </c>
      <c r="IR11" s="132">
        <v>85383</v>
      </c>
      <c r="IT11" s="132">
        <v>667</v>
      </c>
      <c r="IU11" s="132">
        <v>76004</v>
      </c>
      <c r="IV11" s="132">
        <v>68944</v>
      </c>
      <c r="IW11" s="132">
        <v>90839</v>
      </c>
      <c r="IY11" s="132">
        <v>92759</v>
      </c>
      <c r="IZ11" s="132">
        <v>24870</v>
      </c>
      <c r="JA11" s="132">
        <v>1072</v>
      </c>
      <c r="JD11" s="132">
        <v>63611</v>
      </c>
      <c r="JF11" s="132">
        <v>5798</v>
      </c>
      <c r="JG11" s="132">
        <v>80540</v>
      </c>
      <c r="JH11" s="132">
        <v>11096</v>
      </c>
      <c r="JI11" s="132">
        <v>48681</v>
      </c>
      <c r="JK11" s="132">
        <v>9066</v>
      </c>
      <c r="JL11" s="132">
        <v>48139</v>
      </c>
      <c r="JM11" s="132">
        <v>13208</v>
      </c>
      <c r="JN11" s="132">
        <v>74638</v>
      </c>
    </row>
    <row r="12" spans="1:314" s="132" customFormat="1" x14ac:dyDescent="0.25">
      <c r="A12" s="134" t="s">
        <v>419</v>
      </c>
      <c r="B12" s="134"/>
      <c r="C12" s="134" t="s">
        <v>1069</v>
      </c>
      <c r="D12" s="134"/>
      <c r="E12" s="135"/>
      <c r="F12" s="134"/>
      <c r="G12" s="134" t="s">
        <v>420</v>
      </c>
      <c r="Q12" s="132">
        <v>2544623</v>
      </c>
      <c r="AH12" s="132">
        <v>3935347</v>
      </c>
      <c r="AI12" s="132">
        <v>1900165</v>
      </c>
      <c r="AJ12" s="132">
        <v>666352</v>
      </c>
      <c r="AK12" s="132">
        <v>659407</v>
      </c>
      <c r="AL12" s="132">
        <v>166138</v>
      </c>
      <c r="CU12" s="132">
        <v>34952</v>
      </c>
      <c r="CV12" s="132">
        <v>120436</v>
      </c>
      <c r="CW12" s="132">
        <v>219888</v>
      </c>
      <c r="CX12" s="132">
        <v>597013</v>
      </c>
      <c r="CY12" s="132">
        <v>31760</v>
      </c>
      <c r="CZ12" s="132">
        <v>9952</v>
      </c>
      <c r="DA12" s="132">
        <v>502944</v>
      </c>
      <c r="DB12" s="132">
        <v>46160</v>
      </c>
      <c r="DC12" s="132">
        <v>336898</v>
      </c>
      <c r="DE12" s="132">
        <v>171170</v>
      </c>
      <c r="DF12" s="132">
        <v>557272</v>
      </c>
      <c r="DG12" s="132">
        <v>64768</v>
      </c>
      <c r="DH12" s="132">
        <v>187888</v>
      </c>
      <c r="DJ12" s="132">
        <v>91116</v>
      </c>
      <c r="DL12" s="132">
        <v>134208</v>
      </c>
      <c r="DM12" s="132">
        <v>541336</v>
      </c>
      <c r="DN12" s="132">
        <v>73488</v>
      </c>
      <c r="DO12" s="132">
        <v>34142</v>
      </c>
      <c r="DP12" s="132">
        <v>864</v>
      </c>
      <c r="DQ12" s="132">
        <v>103024</v>
      </c>
      <c r="DR12" s="132">
        <v>156567</v>
      </c>
      <c r="DS12" s="132">
        <v>832512</v>
      </c>
      <c r="DT12" s="132">
        <v>109392</v>
      </c>
      <c r="DY12" s="132">
        <v>63112</v>
      </c>
      <c r="DZ12" s="132">
        <v>256545</v>
      </c>
      <c r="EA12" s="132">
        <v>581813</v>
      </c>
      <c r="EB12" s="132">
        <v>978110</v>
      </c>
      <c r="EC12" s="132">
        <v>231470</v>
      </c>
      <c r="ED12" s="132">
        <v>18112</v>
      </c>
      <c r="EE12" s="132">
        <v>516027</v>
      </c>
      <c r="EF12" s="132">
        <v>52452</v>
      </c>
      <c r="EG12" s="132">
        <v>328552</v>
      </c>
      <c r="EI12" s="132">
        <v>290449</v>
      </c>
      <c r="EJ12" s="132">
        <v>1254619</v>
      </c>
      <c r="EK12" s="132">
        <v>140887</v>
      </c>
      <c r="EL12" s="132">
        <v>1031191</v>
      </c>
      <c r="EN12" s="132">
        <v>403830</v>
      </c>
      <c r="EP12" s="132">
        <v>391289</v>
      </c>
      <c r="EQ12" s="132">
        <v>733889</v>
      </c>
      <c r="ER12" s="132">
        <v>114115</v>
      </c>
      <c r="ES12" s="132">
        <v>49930</v>
      </c>
      <c r="ET12" s="132">
        <v>1400</v>
      </c>
      <c r="EU12" s="132">
        <v>254361</v>
      </c>
      <c r="EV12" s="132">
        <v>182557</v>
      </c>
      <c r="EW12" s="132">
        <v>977689</v>
      </c>
      <c r="EX12" s="132">
        <v>261294</v>
      </c>
      <c r="IO12" s="132">
        <v>33929</v>
      </c>
      <c r="IP12" s="132">
        <v>279123</v>
      </c>
      <c r="IQ12" s="132">
        <v>151889</v>
      </c>
      <c r="IR12" s="132">
        <v>812632</v>
      </c>
      <c r="IS12" s="132">
        <v>442716</v>
      </c>
      <c r="IT12" s="132">
        <v>4976</v>
      </c>
      <c r="IU12" s="132">
        <v>380113</v>
      </c>
      <c r="IV12" s="132">
        <v>31987</v>
      </c>
      <c r="IW12" s="132">
        <v>188364</v>
      </c>
      <c r="IY12" s="132">
        <v>164987</v>
      </c>
      <c r="IZ12" s="132">
        <v>219460</v>
      </c>
      <c r="JA12" s="132">
        <v>17972</v>
      </c>
      <c r="JB12" s="132">
        <v>178464</v>
      </c>
      <c r="JD12" s="132">
        <v>55434</v>
      </c>
      <c r="JF12" s="132">
        <v>70603</v>
      </c>
      <c r="JG12" s="132">
        <v>86658</v>
      </c>
      <c r="JH12" s="132">
        <v>166868</v>
      </c>
      <c r="JI12" s="132">
        <v>42033</v>
      </c>
      <c r="JJ12" s="132">
        <v>546</v>
      </c>
      <c r="JK12" s="132">
        <v>108331</v>
      </c>
      <c r="JL12" s="132">
        <v>93851</v>
      </c>
      <c r="JM12" s="132">
        <v>67889</v>
      </c>
      <c r="JN12" s="132">
        <v>62167</v>
      </c>
    </row>
    <row r="13" spans="1:314" s="132" customFormat="1" x14ac:dyDescent="0.25">
      <c r="A13" s="134" t="s">
        <v>358</v>
      </c>
      <c r="B13" s="134"/>
      <c r="C13" s="134" t="s">
        <v>1069</v>
      </c>
      <c r="D13" s="134"/>
      <c r="E13" s="135"/>
      <c r="F13" s="134"/>
      <c r="G13" s="134" t="s">
        <v>359</v>
      </c>
      <c r="Q13" s="132">
        <v>87192</v>
      </c>
      <c r="AH13" s="132">
        <v>937910</v>
      </c>
      <c r="AI13" s="132">
        <v>942863</v>
      </c>
      <c r="AJ13" s="132">
        <v>196563</v>
      </c>
      <c r="AK13" s="132">
        <v>221820</v>
      </c>
      <c r="AL13" s="132">
        <v>0</v>
      </c>
      <c r="CU13" s="132">
        <v>8080</v>
      </c>
      <c r="CV13" s="132">
        <v>8829</v>
      </c>
      <c r="CW13" s="132">
        <v>136960</v>
      </c>
      <c r="CX13" s="132">
        <v>83384</v>
      </c>
      <c r="DA13" s="132">
        <v>48788</v>
      </c>
      <c r="DB13" s="132">
        <v>4640</v>
      </c>
      <c r="DC13" s="132">
        <v>54440</v>
      </c>
      <c r="DE13" s="132">
        <v>9888</v>
      </c>
      <c r="DF13" s="132">
        <v>209568</v>
      </c>
      <c r="DG13" s="132">
        <v>10704</v>
      </c>
      <c r="DH13" s="132">
        <v>30208</v>
      </c>
      <c r="DJ13" s="132">
        <v>53784</v>
      </c>
      <c r="DL13" s="132">
        <v>96784</v>
      </c>
      <c r="DM13" s="132">
        <v>124144</v>
      </c>
      <c r="DN13" s="132">
        <v>19648</v>
      </c>
      <c r="DP13" s="132">
        <v>1440</v>
      </c>
      <c r="DQ13" s="132">
        <v>55392</v>
      </c>
      <c r="DR13" s="132">
        <v>18912</v>
      </c>
      <c r="DS13" s="132">
        <v>256656</v>
      </c>
      <c r="DT13" s="132">
        <v>40880</v>
      </c>
      <c r="DY13" s="132">
        <v>50682</v>
      </c>
      <c r="DZ13" s="132">
        <v>22271</v>
      </c>
      <c r="EA13" s="132">
        <v>195186</v>
      </c>
      <c r="EB13" s="132">
        <v>181079</v>
      </c>
      <c r="EE13" s="132">
        <v>102707</v>
      </c>
      <c r="EF13" s="132">
        <v>11704</v>
      </c>
      <c r="EG13" s="132">
        <v>69971</v>
      </c>
      <c r="EI13" s="132">
        <v>24943</v>
      </c>
      <c r="EJ13" s="132">
        <v>393657</v>
      </c>
      <c r="EK13" s="132">
        <v>36876</v>
      </c>
      <c r="EL13" s="132">
        <v>140040</v>
      </c>
      <c r="EN13" s="132">
        <v>144340</v>
      </c>
      <c r="EP13" s="132">
        <v>243928</v>
      </c>
      <c r="EQ13" s="132">
        <v>268395</v>
      </c>
      <c r="ER13" s="132">
        <v>77984</v>
      </c>
      <c r="ET13" s="132">
        <v>81751</v>
      </c>
      <c r="EU13" s="132">
        <v>367205</v>
      </c>
      <c r="EV13" s="132">
        <v>76482</v>
      </c>
      <c r="EW13" s="132">
        <v>388059</v>
      </c>
      <c r="EX13" s="132">
        <v>187788</v>
      </c>
      <c r="IO13" s="132">
        <v>6050</v>
      </c>
      <c r="IP13" s="132">
        <v>2315</v>
      </c>
      <c r="IQ13" s="132">
        <v>26479</v>
      </c>
      <c r="IR13" s="132">
        <v>12692</v>
      </c>
      <c r="IU13" s="132">
        <v>3256</v>
      </c>
      <c r="IV13" s="132">
        <v>1217</v>
      </c>
      <c r="IW13" s="132">
        <v>20215</v>
      </c>
      <c r="IY13" s="132">
        <v>2593</v>
      </c>
      <c r="IZ13" s="132">
        <v>17968</v>
      </c>
      <c r="JA13" s="132">
        <v>658</v>
      </c>
      <c r="JB13" s="132">
        <v>10447</v>
      </c>
      <c r="JD13" s="132">
        <v>4163</v>
      </c>
      <c r="JF13" s="132">
        <v>16600</v>
      </c>
      <c r="JG13" s="132">
        <v>6168</v>
      </c>
      <c r="JH13" s="132">
        <v>12230</v>
      </c>
      <c r="JJ13" s="132">
        <v>10218</v>
      </c>
      <c r="JK13" s="132">
        <v>36746</v>
      </c>
      <c r="JL13" s="132">
        <v>2011</v>
      </c>
      <c r="JM13" s="132">
        <v>22356</v>
      </c>
      <c r="JN13" s="132">
        <v>27139</v>
      </c>
    </row>
    <row r="14" spans="1:314" s="132" customFormat="1" x14ac:dyDescent="0.25">
      <c r="A14" s="134" t="s">
        <v>360</v>
      </c>
      <c r="B14" s="134"/>
      <c r="C14" s="134" t="s">
        <v>1069</v>
      </c>
      <c r="D14" s="134"/>
      <c r="E14" s="135"/>
      <c r="F14" s="134"/>
      <c r="G14" s="134" t="s">
        <v>361</v>
      </c>
      <c r="Q14" s="132">
        <v>88927</v>
      </c>
      <c r="AH14" s="132">
        <v>980894</v>
      </c>
      <c r="AI14" s="132">
        <v>286045</v>
      </c>
      <c r="AJ14" s="132">
        <v>104311</v>
      </c>
      <c r="AK14" s="132">
        <v>165483</v>
      </c>
      <c r="AL14" s="132">
        <v>0</v>
      </c>
      <c r="CU14" s="132">
        <v>41760</v>
      </c>
      <c r="CV14" s="132">
        <v>3808</v>
      </c>
      <c r="CW14" s="132">
        <v>39248</v>
      </c>
      <c r="CX14" s="132">
        <v>22102</v>
      </c>
      <c r="CZ14" s="132">
        <v>336</v>
      </c>
      <c r="DA14" s="132">
        <v>22168</v>
      </c>
      <c r="DC14" s="132">
        <v>5808</v>
      </c>
      <c r="DE14" s="132">
        <v>752</v>
      </c>
      <c r="DF14" s="132">
        <v>81536</v>
      </c>
      <c r="DG14" s="132">
        <v>2160</v>
      </c>
      <c r="DJ14" s="132">
        <v>21000</v>
      </c>
      <c r="DL14" s="132">
        <v>0</v>
      </c>
      <c r="DM14" s="132">
        <v>43248</v>
      </c>
      <c r="DQ14" s="132">
        <v>24384</v>
      </c>
      <c r="DR14" s="132">
        <v>2016</v>
      </c>
      <c r="DS14" s="132">
        <v>70224</v>
      </c>
      <c r="DT14" s="132">
        <v>17264</v>
      </c>
      <c r="DY14" s="132">
        <v>191208</v>
      </c>
      <c r="DZ14" s="132">
        <v>41812</v>
      </c>
      <c r="EA14" s="132">
        <v>83783</v>
      </c>
      <c r="EB14" s="132">
        <v>47964</v>
      </c>
      <c r="ED14" s="132">
        <v>838</v>
      </c>
      <c r="EE14" s="132">
        <v>104917</v>
      </c>
      <c r="EG14" s="132">
        <v>12399</v>
      </c>
      <c r="EI14" s="132">
        <v>2055</v>
      </c>
      <c r="EJ14" s="132">
        <v>203384</v>
      </c>
      <c r="EK14" s="132">
        <v>5388</v>
      </c>
      <c r="EN14" s="132">
        <v>25328</v>
      </c>
      <c r="EP14" s="132">
        <v>36331</v>
      </c>
      <c r="EQ14" s="132">
        <v>73812</v>
      </c>
      <c r="EU14" s="132">
        <v>150323</v>
      </c>
      <c r="EV14" s="132">
        <v>4304</v>
      </c>
      <c r="EW14" s="132">
        <v>203555</v>
      </c>
      <c r="EX14" s="132">
        <v>73549</v>
      </c>
      <c r="IO14" s="132">
        <v>114086</v>
      </c>
      <c r="IP14" s="132">
        <v>357</v>
      </c>
      <c r="IQ14" s="132">
        <v>8451</v>
      </c>
      <c r="IR14" s="132">
        <v>2892</v>
      </c>
      <c r="IT14" s="132">
        <v>8</v>
      </c>
      <c r="IU14" s="132">
        <v>4487</v>
      </c>
      <c r="IW14" s="132">
        <v>131</v>
      </c>
      <c r="IY14" s="132">
        <v>79</v>
      </c>
      <c r="IZ14" s="132">
        <v>8159</v>
      </c>
      <c r="JA14" s="132">
        <v>49</v>
      </c>
      <c r="JD14" s="132">
        <v>3228</v>
      </c>
      <c r="JF14" s="132">
        <v>10254</v>
      </c>
      <c r="JG14" s="132">
        <v>2011</v>
      </c>
      <c r="JK14" s="132">
        <v>34784</v>
      </c>
      <c r="JL14" s="132">
        <v>46</v>
      </c>
      <c r="JM14" s="132">
        <v>5977</v>
      </c>
      <c r="JN14" s="132">
        <v>4387</v>
      </c>
    </row>
    <row r="15" spans="1:314" s="132" customFormat="1" x14ac:dyDescent="0.25">
      <c r="A15" s="134" t="s">
        <v>354</v>
      </c>
      <c r="B15" s="134"/>
      <c r="C15" s="134" t="s">
        <v>1069</v>
      </c>
      <c r="D15" s="134"/>
      <c r="E15" s="135"/>
      <c r="F15" s="134"/>
      <c r="G15" s="134" t="s">
        <v>355</v>
      </c>
      <c r="Q15" s="132">
        <v>515755</v>
      </c>
      <c r="AH15" s="132">
        <v>2093426</v>
      </c>
      <c r="AI15" s="132">
        <v>2124960</v>
      </c>
      <c r="AJ15" s="132">
        <v>580151</v>
      </c>
      <c r="AK15" s="132">
        <v>767811</v>
      </c>
      <c r="AL15" s="132">
        <v>0</v>
      </c>
      <c r="CU15" s="132">
        <v>32345</v>
      </c>
      <c r="CV15" s="132">
        <v>60266</v>
      </c>
      <c r="CW15" s="132">
        <v>105312</v>
      </c>
      <c r="CX15" s="132">
        <v>114360</v>
      </c>
      <c r="CZ15" s="132">
        <v>13344</v>
      </c>
      <c r="DA15" s="132">
        <v>181767</v>
      </c>
      <c r="DB15" s="132">
        <v>13115</v>
      </c>
      <c r="DC15" s="132">
        <v>151073</v>
      </c>
      <c r="DE15" s="132">
        <v>76624</v>
      </c>
      <c r="DF15" s="132">
        <v>245360</v>
      </c>
      <c r="DG15" s="132">
        <v>14656</v>
      </c>
      <c r="DH15" s="132">
        <v>6630</v>
      </c>
      <c r="DI15" s="132">
        <v>38752</v>
      </c>
      <c r="DJ15" s="132">
        <v>40491</v>
      </c>
      <c r="DL15" s="132">
        <v>147824</v>
      </c>
      <c r="DM15" s="132">
        <v>173999</v>
      </c>
      <c r="DN15" s="132">
        <v>54656</v>
      </c>
      <c r="DO15" s="132">
        <v>4800</v>
      </c>
      <c r="DP15" s="132">
        <v>15440</v>
      </c>
      <c r="DQ15" s="132">
        <v>39408</v>
      </c>
      <c r="DR15" s="132">
        <v>54960</v>
      </c>
      <c r="DS15" s="132">
        <v>194160</v>
      </c>
      <c r="DT15" s="132">
        <v>58793</v>
      </c>
      <c r="DY15" s="132">
        <v>75513</v>
      </c>
      <c r="DZ15" s="132">
        <v>118008</v>
      </c>
      <c r="EA15" s="132">
        <v>295008</v>
      </c>
      <c r="EB15" s="132">
        <v>445677</v>
      </c>
      <c r="ED15" s="132">
        <v>50940</v>
      </c>
      <c r="EE15" s="132">
        <v>391185</v>
      </c>
      <c r="EF15" s="132">
        <v>171088</v>
      </c>
      <c r="EG15" s="132">
        <v>51128</v>
      </c>
      <c r="EI15" s="132">
        <v>153954</v>
      </c>
      <c r="EJ15" s="132">
        <v>581010</v>
      </c>
      <c r="EK15" s="132">
        <v>44163</v>
      </c>
      <c r="EL15" s="132">
        <v>0</v>
      </c>
      <c r="EM15" s="132">
        <v>274503</v>
      </c>
      <c r="EN15" s="132">
        <v>68708</v>
      </c>
      <c r="EP15" s="132">
        <v>353817</v>
      </c>
      <c r="EQ15" s="132">
        <v>298463</v>
      </c>
      <c r="ER15" s="132">
        <v>119328</v>
      </c>
      <c r="ES15" s="132">
        <v>0</v>
      </c>
      <c r="ET15" s="132">
        <v>75552</v>
      </c>
      <c r="EU15" s="132">
        <v>114831</v>
      </c>
      <c r="EV15" s="132">
        <v>193121</v>
      </c>
      <c r="EW15" s="132">
        <v>430038</v>
      </c>
      <c r="EX15" s="132">
        <v>248835</v>
      </c>
      <c r="IO15" s="132">
        <v>9090</v>
      </c>
      <c r="IP15" s="132">
        <v>80240</v>
      </c>
      <c r="IQ15" s="132">
        <v>49233</v>
      </c>
      <c r="IR15" s="132">
        <v>46844</v>
      </c>
      <c r="IT15" s="132">
        <v>2600</v>
      </c>
      <c r="IU15" s="132">
        <v>159889</v>
      </c>
      <c r="IV15" s="132">
        <v>1942</v>
      </c>
      <c r="IW15" s="132">
        <v>133183</v>
      </c>
      <c r="IY15" s="132">
        <v>10048</v>
      </c>
      <c r="IZ15" s="132">
        <v>58417</v>
      </c>
      <c r="JA15" s="132">
        <v>4656</v>
      </c>
      <c r="JB15" s="132">
        <v>0</v>
      </c>
      <c r="JC15" s="132">
        <v>63695</v>
      </c>
      <c r="JD15" s="132">
        <v>21505</v>
      </c>
      <c r="JF15" s="132">
        <v>92187</v>
      </c>
      <c r="JG15" s="132">
        <v>37589</v>
      </c>
      <c r="JH15" s="132">
        <v>10893</v>
      </c>
      <c r="JI15" s="132">
        <v>80355</v>
      </c>
      <c r="JJ15" s="132">
        <v>120530</v>
      </c>
      <c r="JK15" s="132">
        <v>11878</v>
      </c>
      <c r="JL15" s="132">
        <v>59112</v>
      </c>
      <c r="JM15" s="132">
        <v>43035</v>
      </c>
      <c r="JN15" s="132">
        <v>61073</v>
      </c>
    </row>
    <row r="16" spans="1:314" s="132" customFormat="1" x14ac:dyDescent="0.25">
      <c r="A16" s="134" t="s">
        <v>425</v>
      </c>
      <c r="B16" s="134"/>
      <c r="C16" s="134" t="s">
        <v>1069</v>
      </c>
      <c r="D16" s="134"/>
      <c r="E16" s="135"/>
      <c r="F16" s="134"/>
      <c r="G16" s="134" t="s">
        <v>426</v>
      </c>
      <c r="Q16" s="132">
        <v>1612423</v>
      </c>
      <c r="AH16" s="132">
        <v>4113921</v>
      </c>
      <c r="AI16" s="132">
        <v>1569371</v>
      </c>
      <c r="AJ16" s="132">
        <v>669947</v>
      </c>
      <c r="AK16" s="132">
        <v>332717</v>
      </c>
      <c r="AL16" s="132">
        <v>0</v>
      </c>
      <c r="CU16" s="132">
        <v>10464</v>
      </c>
      <c r="CV16" s="132">
        <v>51872</v>
      </c>
      <c r="CW16" s="132">
        <v>232566</v>
      </c>
      <c r="CX16" s="132">
        <v>94592</v>
      </c>
      <c r="CZ16" s="132">
        <v>8464</v>
      </c>
      <c r="DA16" s="132">
        <v>54960</v>
      </c>
      <c r="DB16" s="132">
        <v>1824</v>
      </c>
      <c r="DC16" s="132">
        <v>93104</v>
      </c>
      <c r="DE16" s="132">
        <v>23856</v>
      </c>
      <c r="DF16" s="132">
        <v>220448</v>
      </c>
      <c r="DG16" s="132">
        <v>25296</v>
      </c>
      <c r="DH16" s="132">
        <v>5776</v>
      </c>
      <c r="DJ16" s="132">
        <v>68112</v>
      </c>
      <c r="DM16" s="132">
        <v>257608</v>
      </c>
      <c r="DO16" s="132">
        <v>4576</v>
      </c>
      <c r="DQ16" s="132">
        <v>47760</v>
      </c>
      <c r="DR16" s="132">
        <v>33712</v>
      </c>
      <c r="DS16" s="132">
        <v>251856</v>
      </c>
      <c r="DT16" s="132">
        <v>66336</v>
      </c>
      <c r="DY16" s="132">
        <v>46940</v>
      </c>
      <c r="DZ16" s="132">
        <v>611302</v>
      </c>
      <c r="EA16" s="132">
        <v>519025</v>
      </c>
      <c r="EB16" s="132">
        <v>398623</v>
      </c>
      <c r="ED16" s="132">
        <v>344604</v>
      </c>
      <c r="EE16" s="132">
        <v>492611</v>
      </c>
      <c r="EF16" s="132">
        <v>10367</v>
      </c>
      <c r="EG16" s="132">
        <v>256487</v>
      </c>
      <c r="EI16" s="132">
        <v>119216</v>
      </c>
      <c r="EJ16" s="132">
        <v>640278</v>
      </c>
      <c r="EK16" s="132">
        <v>72161</v>
      </c>
      <c r="EL16" s="132">
        <v>411073</v>
      </c>
      <c r="EN16" s="132">
        <v>188991</v>
      </c>
      <c r="EQ16" s="132">
        <v>587953</v>
      </c>
      <c r="ES16" s="132">
        <v>55006</v>
      </c>
      <c r="EU16" s="132">
        <v>421496</v>
      </c>
      <c r="EV16" s="132">
        <v>100531</v>
      </c>
      <c r="EW16" s="132">
        <v>449841</v>
      </c>
      <c r="EX16" s="132">
        <v>394319</v>
      </c>
      <c r="IO16" s="132">
        <v>23867</v>
      </c>
      <c r="IP16" s="132">
        <v>511587</v>
      </c>
      <c r="IQ16" s="132">
        <v>153800</v>
      </c>
      <c r="IR16" s="132">
        <v>105779</v>
      </c>
      <c r="IT16" s="132">
        <v>131588</v>
      </c>
      <c r="IU16" s="132">
        <v>341686</v>
      </c>
      <c r="IV16" s="132">
        <v>4574</v>
      </c>
      <c r="IW16" s="132">
        <v>239605</v>
      </c>
      <c r="IY16" s="132">
        <v>53371</v>
      </c>
      <c r="IZ16" s="132">
        <v>169895</v>
      </c>
      <c r="JA16" s="132">
        <v>7287</v>
      </c>
      <c r="JB16" s="132">
        <v>143064</v>
      </c>
      <c r="JD16" s="132">
        <v>51761</v>
      </c>
      <c r="JG16" s="132">
        <v>181648</v>
      </c>
      <c r="JI16" s="132">
        <v>29840</v>
      </c>
      <c r="JK16" s="132">
        <v>155701</v>
      </c>
      <c r="JL16" s="132">
        <v>21039</v>
      </c>
      <c r="JM16" s="132">
        <v>58492</v>
      </c>
      <c r="JN16" s="132">
        <v>96004</v>
      </c>
    </row>
    <row r="17" spans="1:274" s="132" customFormat="1" x14ac:dyDescent="0.25">
      <c r="A17" s="134" t="s">
        <v>452</v>
      </c>
      <c r="B17" s="134"/>
      <c r="C17" s="134" t="s">
        <v>1069</v>
      </c>
      <c r="D17" s="134"/>
      <c r="E17" s="135"/>
      <c r="F17" s="134"/>
      <c r="G17" s="134" t="s">
        <v>453</v>
      </c>
      <c r="Q17" s="132">
        <v>1252287</v>
      </c>
      <c r="AH17" s="132">
        <v>8813273</v>
      </c>
      <c r="AI17" s="132">
        <v>4305935</v>
      </c>
      <c r="AJ17" s="132">
        <v>2898436</v>
      </c>
      <c r="AK17" s="132">
        <v>2635117</v>
      </c>
      <c r="AL17" s="132">
        <v>0</v>
      </c>
      <c r="CU17" s="132">
        <v>26038</v>
      </c>
      <c r="CV17" s="132">
        <v>46442</v>
      </c>
      <c r="CW17" s="132">
        <v>541184</v>
      </c>
      <c r="CX17" s="132">
        <v>510594</v>
      </c>
      <c r="CY17" s="132">
        <v>2064</v>
      </c>
      <c r="CZ17" s="132">
        <v>90273</v>
      </c>
      <c r="DA17" s="132">
        <v>440722</v>
      </c>
      <c r="DB17" s="132">
        <v>3816</v>
      </c>
      <c r="DC17" s="132">
        <v>105548</v>
      </c>
      <c r="DE17" s="132">
        <v>99096</v>
      </c>
      <c r="DF17" s="132">
        <v>1159779</v>
      </c>
      <c r="DG17" s="132">
        <v>184626</v>
      </c>
      <c r="DH17" s="132">
        <v>68406</v>
      </c>
      <c r="DI17" s="132">
        <v>17408</v>
      </c>
      <c r="DJ17" s="132">
        <v>107694</v>
      </c>
      <c r="DK17" s="132">
        <v>42496</v>
      </c>
      <c r="DM17" s="132">
        <v>887808</v>
      </c>
      <c r="DP17" s="132">
        <v>1008</v>
      </c>
      <c r="DQ17" s="132">
        <v>180048</v>
      </c>
      <c r="DR17" s="132">
        <v>230245</v>
      </c>
      <c r="DS17" s="132">
        <v>1199888</v>
      </c>
      <c r="DT17" s="132">
        <v>520172</v>
      </c>
      <c r="DY17" s="132">
        <v>60208</v>
      </c>
      <c r="DZ17" s="132">
        <v>156356</v>
      </c>
      <c r="EA17" s="132">
        <v>1167050</v>
      </c>
      <c r="EB17" s="132">
        <v>1667013</v>
      </c>
      <c r="EC17" s="132">
        <v>3328</v>
      </c>
      <c r="ED17" s="132">
        <v>257387</v>
      </c>
      <c r="EE17" s="132">
        <v>856768</v>
      </c>
      <c r="EF17" s="132">
        <v>6157</v>
      </c>
      <c r="EG17" s="132">
        <v>214800</v>
      </c>
      <c r="EI17" s="132">
        <v>417261</v>
      </c>
      <c r="EJ17" s="132">
        <v>2735098</v>
      </c>
      <c r="EK17" s="132">
        <v>489209</v>
      </c>
      <c r="EL17" s="132">
        <v>389534</v>
      </c>
      <c r="EM17" s="132">
        <v>268108</v>
      </c>
      <c r="EN17" s="132">
        <v>277020</v>
      </c>
      <c r="EO17" s="132">
        <v>186202</v>
      </c>
      <c r="EQ17" s="132">
        <v>1328763</v>
      </c>
      <c r="ET17" s="132">
        <v>1664</v>
      </c>
      <c r="EU17" s="132">
        <v>521568</v>
      </c>
      <c r="EV17" s="132">
        <v>541137</v>
      </c>
      <c r="EW17" s="132">
        <v>2362620</v>
      </c>
      <c r="EX17" s="132">
        <v>1685986</v>
      </c>
      <c r="IO17" s="132">
        <v>20203</v>
      </c>
      <c r="IP17" s="132">
        <v>265895</v>
      </c>
      <c r="IQ17" s="132">
        <v>595075</v>
      </c>
      <c r="IR17" s="132">
        <v>679016</v>
      </c>
      <c r="IS17" s="132">
        <v>7436</v>
      </c>
      <c r="IT17" s="132">
        <v>57783</v>
      </c>
      <c r="IU17" s="132">
        <v>409514</v>
      </c>
      <c r="IV17" s="132">
        <v>13756</v>
      </c>
      <c r="IW17" s="132">
        <v>142360</v>
      </c>
      <c r="IY17" s="132">
        <v>143636</v>
      </c>
      <c r="IZ17" s="132">
        <v>1032225</v>
      </c>
      <c r="JA17" s="132">
        <v>248414</v>
      </c>
      <c r="JB17" s="132">
        <v>99806</v>
      </c>
      <c r="JC17" s="132">
        <v>192854</v>
      </c>
      <c r="JD17" s="132">
        <v>177531</v>
      </c>
      <c r="JE17" s="132">
        <v>82529</v>
      </c>
      <c r="JG17" s="132">
        <v>617655</v>
      </c>
      <c r="JJ17" s="132">
        <v>3718</v>
      </c>
      <c r="JK17" s="132">
        <v>372219</v>
      </c>
      <c r="JL17" s="132">
        <v>820672</v>
      </c>
      <c r="JM17" s="132">
        <v>437073</v>
      </c>
      <c r="JN17" s="132">
        <v>1421898</v>
      </c>
    </row>
    <row r="18" spans="1:274" s="132" customFormat="1" x14ac:dyDescent="0.25">
      <c r="A18" s="134" t="s">
        <v>454</v>
      </c>
      <c r="B18" s="134"/>
      <c r="C18" s="134" t="s">
        <v>1069</v>
      </c>
      <c r="D18" s="134"/>
      <c r="E18" s="135"/>
      <c r="F18" s="134"/>
      <c r="G18" s="134" t="s">
        <v>455</v>
      </c>
      <c r="Q18" s="132">
        <v>7339247</v>
      </c>
      <c r="AH18" s="132">
        <v>46514521</v>
      </c>
      <c r="AI18" s="132">
        <v>17743112</v>
      </c>
      <c r="AJ18" s="132">
        <v>7320440</v>
      </c>
      <c r="AK18" s="132">
        <v>6227024</v>
      </c>
      <c r="AL18" s="132">
        <v>633145</v>
      </c>
      <c r="CU18" s="132">
        <v>88780</v>
      </c>
      <c r="CV18" s="132">
        <v>319227</v>
      </c>
      <c r="CW18" s="132">
        <v>2234528</v>
      </c>
      <c r="CX18" s="132">
        <v>2546994</v>
      </c>
      <c r="CY18" s="132">
        <v>25872</v>
      </c>
      <c r="CZ18" s="132">
        <v>341822</v>
      </c>
      <c r="DA18" s="132">
        <v>2063057</v>
      </c>
      <c r="DB18" s="132">
        <v>186540</v>
      </c>
      <c r="DC18" s="132">
        <v>581011</v>
      </c>
      <c r="DD18" s="132">
        <v>4528</v>
      </c>
      <c r="DE18" s="132">
        <v>634508</v>
      </c>
      <c r="DF18" s="132">
        <v>5294213</v>
      </c>
      <c r="DG18" s="132">
        <v>508626</v>
      </c>
      <c r="DH18" s="132">
        <v>272900</v>
      </c>
      <c r="DJ18" s="132">
        <v>551317</v>
      </c>
      <c r="DK18" s="132">
        <v>52240</v>
      </c>
      <c r="DL18" s="132">
        <v>23264</v>
      </c>
      <c r="DM18" s="132">
        <v>2616440</v>
      </c>
      <c r="DN18" s="132">
        <v>383834</v>
      </c>
      <c r="DO18" s="132">
        <v>164732</v>
      </c>
      <c r="DP18" s="132">
        <v>45282</v>
      </c>
      <c r="DQ18" s="132">
        <v>551496</v>
      </c>
      <c r="DR18" s="132">
        <v>671361</v>
      </c>
      <c r="DS18" s="132">
        <v>3322520</v>
      </c>
      <c r="DT18" s="132">
        <v>1124266</v>
      </c>
      <c r="DY18" s="132">
        <v>548881</v>
      </c>
      <c r="DZ18" s="132">
        <v>437176</v>
      </c>
      <c r="EA18" s="132">
        <v>4913055</v>
      </c>
      <c r="EB18" s="132">
        <v>6269941</v>
      </c>
      <c r="EC18" s="132">
        <v>118578</v>
      </c>
      <c r="ED18" s="132">
        <v>630813</v>
      </c>
      <c r="EE18" s="132">
        <v>7248242</v>
      </c>
      <c r="EF18" s="132">
        <v>738667</v>
      </c>
      <c r="EG18" s="132">
        <v>993427</v>
      </c>
      <c r="EH18" s="132">
        <v>11305</v>
      </c>
      <c r="EI18" s="132">
        <v>874582</v>
      </c>
      <c r="EJ18" s="132">
        <v>14201526</v>
      </c>
      <c r="EK18" s="132">
        <v>1442574</v>
      </c>
      <c r="EL18" s="132">
        <v>1611446</v>
      </c>
      <c r="EN18" s="132">
        <v>1142869</v>
      </c>
      <c r="EO18" s="132">
        <v>169442</v>
      </c>
      <c r="EP18" s="132">
        <v>216662</v>
      </c>
      <c r="EQ18" s="132">
        <v>6205513</v>
      </c>
      <c r="ER18" s="132">
        <v>1628491</v>
      </c>
      <c r="ES18" s="132">
        <v>206561</v>
      </c>
      <c r="ET18" s="132">
        <v>615215</v>
      </c>
      <c r="EU18" s="132">
        <v>1864171</v>
      </c>
      <c r="EV18" s="132">
        <v>871938</v>
      </c>
      <c r="EW18" s="132">
        <v>7614644</v>
      </c>
      <c r="EX18" s="132">
        <v>4677925</v>
      </c>
      <c r="IO18" s="132">
        <v>601319</v>
      </c>
      <c r="IP18" s="132">
        <v>335282</v>
      </c>
      <c r="IQ18" s="132">
        <v>3393092</v>
      </c>
      <c r="IR18" s="132">
        <v>3855301</v>
      </c>
      <c r="IS18" s="132">
        <v>32405</v>
      </c>
      <c r="IT18" s="132">
        <v>2573004</v>
      </c>
      <c r="IU18" s="132">
        <v>3367948</v>
      </c>
      <c r="IV18" s="132">
        <v>1187712</v>
      </c>
      <c r="IW18" s="132">
        <v>395997</v>
      </c>
      <c r="IX18" s="132">
        <v>912</v>
      </c>
      <c r="IY18" s="132">
        <v>710368</v>
      </c>
      <c r="IZ18" s="132">
        <v>5891381</v>
      </c>
      <c r="JA18" s="132">
        <v>400864</v>
      </c>
      <c r="JB18" s="132">
        <v>643596</v>
      </c>
      <c r="JD18" s="132">
        <v>1533186</v>
      </c>
      <c r="JE18" s="132">
        <v>62472</v>
      </c>
      <c r="JF18" s="132">
        <v>39861</v>
      </c>
      <c r="JG18" s="132">
        <v>1545903</v>
      </c>
      <c r="JH18" s="132">
        <v>728954</v>
      </c>
      <c r="JI18" s="132">
        <v>182763</v>
      </c>
      <c r="JJ18" s="132">
        <v>214080</v>
      </c>
      <c r="JK18" s="132">
        <v>1001397</v>
      </c>
      <c r="JL18" s="132">
        <v>922778</v>
      </c>
      <c r="JM18" s="132">
        <v>2049886</v>
      </c>
      <c r="JN18" s="132">
        <v>1775440</v>
      </c>
    </row>
    <row r="19" spans="1:274" s="132" customFormat="1" x14ac:dyDescent="0.25">
      <c r="A19" s="134" t="s">
        <v>364</v>
      </c>
      <c r="B19" s="134"/>
      <c r="C19" s="134" t="s">
        <v>1069</v>
      </c>
      <c r="D19" s="134"/>
      <c r="E19" s="135"/>
      <c r="F19" s="134"/>
      <c r="G19" s="134" t="s">
        <v>365</v>
      </c>
      <c r="Q19" s="132">
        <v>4337997</v>
      </c>
      <c r="AH19" s="132">
        <v>7716692</v>
      </c>
      <c r="AI19" s="132">
        <v>4072415</v>
      </c>
      <c r="AJ19" s="132">
        <v>2523707</v>
      </c>
      <c r="AK19" s="132">
        <v>2785237</v>
      </c>
      <c r="AL19" s="132">
        <v>0</v>
      </c>
      <c r="CV19" s="132">
        <v>182242</v>
      </c>
      <c r="CW19" s="132">
        <v>407744</v>
      </c>
      <c r="CX19" s="132">
        <v>426416</v>
      </c>
      <c r="CZ19" s="132">
        <v>35792</v>
      </c>
      <c r="DA19" s="132">
        <v>303366</v>
      </c>
      <c r="DB19" s="132">
        <v>47737</v>
      </c>
      <c r="DC19" s="132">
        <v>254468</v>
      </c>
      <c r="DE19" s="132">
        <v>143747</v>
      </c>
      <c r="DF19" s="132">
        <v>758986</v>
      </c>
      <c r="DG19" s="132">
        <v>58706</v>
      </c>
      <c r="DH19" s="132">
        <v>256960</v>
      </c>
      <c r="DI19" s="132">
        <v>26081</v>
      </c>
      <c r="DJ19" s="132">
        <v>402647</v>
      </c>
      <c r="DK19" s="132">
        <v>16464</v>
      </c>
      <c r="DL19" s="132">
        <v>97888</v>
      </c>
      <c r="DM19" s="132">
        <v>485893</v>
      </c>
      <c r="DN19" s="132">
        <v>89116</v>
      </c>
      <c r="DO19" s="132">
        <v>96732</v>
      </c>
      <c r="DP19" s="132">
        <v>23496</v>
      </c>
      <c r="DQ19" s="132">
        <v>123072</v>
      </c>
      <c r="DR19" s="132">
        <v>221784</v>
      </c>
      <c r="DS19" s="132">
        <v>520656</v>
      </c>
      <c r="DT19" s="132">
        <v>209478</v>
      </c>
      <c r="DZ19" s="132">
        <v>496805</v>
      </c>
      <c r="EA19" s="132">
        <v>1191491</v>
      </c>
      <c r="EB19" s="132">
        <v>1605400</v>
      </c>
      <c r="ED19" s="132">
        <v>240348</v>
      </c>
      <c r="EE19" s="132">
        <v>958118</v>
      </c>
      <c r="EF19" s="132">
        <v>65233</v>
      </c>
      <c r="EG19" s="132">
        <v>759628</v>
      </c>
      <c r="EI19" s="132">
        <v>581594</v>
      </c>
      <c r="EJ19" s="132">
        <v>3089817</v>
      </c>
      <c r="EK19" s="132">
        <v>142778</v>
      </c>
      <c r="EL19" s="132">
        <v>1609422</v>
      </c>
      <c r="EM19" s="132">
        <v>244829</v>
      </c>
      <c r="EN19" s="132">
        <v>1531391</v>
      </c>
      <c r="EO19" s="132">
        <v>189935</v>
      </c>
      <c r="EP19" s="132">
        <v>495845</v>
      </c>
      <c r="EQ19" s="132">
        <v>1750030</v>
      </c>
      <c r="ER19" s="132">
        <v>353134</v>
      </c>
      <c r="ES19" s="132">
        <v>256078</v>
      </c>
      <c r="ET19" s="132">
        <v>68349</v>
      </c>
      <c r="EU19" s="132">
        <v>440550</v>
      </c>
      <c r="EV19" s="132">
        <v>680425</v>
      </c>
      <c r="EW19" s="132">
        <v>1654168</v>
      </c>
      <c r="EX19" s="132">
        <v>1391416</v>
      </c>
      <c r="IP19" s="132">
        <v>231947</v>
      </c>
      <c r="IQ19" s="132">
        <v>167859</v>
      </c>
      <c r="IR19" s="132">
        <v>266956</v>
      </c>
      <c r="IT19" s="132">
        <v>28217</v>
      </c>
      <c r="IU19" s="132">
        <v>119858</v>
      </c>
      <c r="IV19" s="132">
        <v>63297</v>
      </c>
      <c r="IW19" s="132">
        <v>193279</v>
      </c>
      <c r="IY19" s="132">
        <v>85655</v>
      </c>
      <c r="IZ19" s="132">
        <v>247006</v>
      </c>
      <c r="JA19" s="132">
        <v>103703</v>
      </c>
      <c r="JB19" s="132">
        <v>110255</v>
      </c>
      <c r="JC19" s="132">
        <v>38666</v>
      </c>
      <c r="JD19" s="132">
        <v>236423</v>
      </c>
      <c r="JE19" s="132">
        <v>9893</v>
      </c>
      <c r="JF19" s="132">
        <v>7014</v>
      </c>
      <c r="JG19" s="132">
        <v>182750</v>
      </c>
      <c r="JH19" s="132">
        <v>45421</v>
      </c>
      <c r="JI19" s="132">
        <v>228211</v>
      </c>
      <c r="JJ19" s="132">
        <v>20019</v>
      </c>
      <c r="JK19" s="132">
        <v>41427</v>
      </c>
      <c r="JL19" s="132">
        <v>128953</v>
      </c>
      <c r="JM19" s="132">
        <v>53537</v>
      </c>
      <c r="JN19" s="132">
        <v>224140</v>
      </c>
    </row>
    <row r="20" spans="1:274" s="132" customFormat="1" x14ac:dyDescent="0.25">
      <c r="A20" s="134" t="s">
        <v>439</v>
      </c>
      <c r="B20" s="134"/>
      <c r="C20" s="134" t="s">
        <v>1069</v>
      </c>
      <c r="D20" s="134"/>
      <c r="E20" s="135"/>
      <c r="F20" s="134"/>
      <c r="G20" s="134" t="s">
        <v>440</v>
      </c>
      <c r="Q20" s="132">
        <v>3208436</v>
      </c>
      <c r="AH20" s="132">
        <v>13876094</v>
      </c>
      <c r="AI20" s="132">
        <v>6096747</v>
      </c>
      <c r="AJ20" s="132">
        <v>2247433</v>
      </c>
      <c r="AK20" s="132">
        <v>6758761</v>
      </c>
      <c r="AL20" s="132">
        <v>179368</v>
      </c>
      <c r="CV20" s="132">
        <v>92849</v>
      </c>
      <c r="CW20" s="132">
        <v>753456</v>
      </c>
      <c r="CX20" s="132">
        <v>472614</v>
      </c>
      <c r="CZ20" s="132">
        <v>14700</v>
      </c>
      <c r="DA20" s="132">
        <v>446907</v>
      </c>
      <c r="DC20" s="132">
        <v>285703</v>
      </c>
      <c r="DD20" s="132">
        <v>217668</v>
      </c>
      <c r="DF20" s="132">
        <v>2642382</v>
      </c>
      <c r="DG20" s="132">
        <v>73796</v>
      </c>
      <c r="DH20" s="132">
        <v>161426</v>
      </c>
      <c r="DI20" s="132">
        <v>24976</v>
      </c>
      <c r="DJ20" s="132">
        <v>296710</v>
      </c>
      <c r="DL20" s="132">
        <v>35952</v>
      </c>
      <c r="DM20" s="132">
        <v>1065176</v>
      </c>
      <c r="DN20" s="132">
        <v>89037</v>
      </c>
      <c r="DP20" s="132">
        <v>127590</v>
      </c>
      <c r="DQ20" s="132">
        <v>48512</v>
      </c>
      <c r="DR20" s="132">
        <v>204842</v>
      </c>
      <c r="DS20" s="132">
        <v>1196592</v>
      </c>
      <c r="DT20" s="132">
        <v>298980</v>
      </c>
      <c r="DZ20" s="132">
        <v>870274</v>
      </c>
      <c r="EA20" s="132">
        <v>1537259</v>
      </c>
      <c r="EB20" s="132">
        <v>1036609</v>
      </c>
      <c r="ED20" s="132">
        <v>194103</v>
      </c>
      <c r="EE20" s="132">
        <v>1416440</v>
      </c>
      <c r="EG20" s="132">
        <v>233895</v>
      </c>
      <c r="EH20" s="132">
        <v>9943</v>
      </c>
      <c r="EJ20" s="132">
        <v>6703768</v>
      </c>
      <c r="EK20" s="132">
        <v>288682</v>
      </c>
      <c r="EL20" s="132">
        <v>1346501</v>
      </c>
      <c r="EM20" s="132">
        <v>252920</v>
      </c>
      <c r="EN20" s="132">
        <v>1697243</v>
      </c>
      <c r="EP20" s="132">
        <v>0</v>
      </c>
      <c r="EQ20" s="132">
        <v>2286187</v>
      </c>
      <c r="ER20" s="132">
        <v>250029</v>
      </c>
      <c r="ET20" s="132">
        <v>220194</v>
      </c>
      <c r="EU20" s="132">
        <v>434704</v>
      </c>
      <c r="EV20" s="132">
        <v>530404</v>
      </c>
      <c r="EW20" s="132">
        <v>3037855</v>
      </c>
      <c r="EX20" s="132">
        <v>757513</v>
      </c>
      <c r="IP20" s="132">
        <v>437454</v>
      </c>
      <c r="IQ20" s="132">
        <v>255566</v>
      </c>
      <c r="IR20" s="132">
        <v>302862</v>
      </c>
      <c r="IT20" s="132">
        <v>83187</v>
      </c>
      <c r="IU20" s="132">
        <v>286524</v>
      </c>
      <c r="IW20" s="132">
        <v>82054</v>
      </c>
      <c r="IX20" s="132">
        <v>3561</v>
      </c>
      <c r="IZ20" s="132">
        <v>1117236</v>
      </c>
      <c r="JA20" s="132">
        <v>23208</v>
      </c>
      <c r="JB20" s="132">
        <v>164533</v>
      </c>
      <c r="JC20" s="132">
        <v>25770</v>
      </c>
      <c r="JD20" s="132">
        <v>163385</v>
      </c>
      <c r="JF20" s="132">
        <v>2220</v>
      </c>
      <c r="JG20" s="132">
        <v>358736</v>
      </c>
      <c r="JH20" s="132">
        <v>73768</v>
      </c>
      <c r="JJ20" s="132">
        <v>64039</v>
      </c>
      <c r="JK20" s="132">
        <v>134289</v>
      </c>
      <c r="JL20" s="132">
        <v>151158</v>
      </c>
      <c r="JM20" s="132">
        <v>127218</v>
      </c>
      <c r="JN20" s="132">
        <v>65664</v>
      </c>
    </row>
    <row r="21" spans="1:274" s="132" customFormat="1" x14ac:dyDescent="0.25">
      <c r="A21" s="134" t="s">
        <v>366</v>
      </c>
      <c r="B21" s="134"/>
      <c r="C21" s="134" t="s">
        <v>1069</v>
      </c>
      <c r="D21" s="134"/>
      <c r="E21" s="135"/>
      <c r="F21" s="134"/>
      <c r="G21" s="134" t="s">
        <v>367</v>
      </c>
      <c r="Q21" s="132">
        <v>205716</v>
      </c>
      <c r="AH21" s="132">
        <v>1027778</v>
      </c>
      <c r="AI21" s="132">
        <v>394305</v>
      </c>
      <c r="AJ21" s="132">
        <v>135376</v>
      </c>
      <c r="AK21" s="132">
        <v>404939</v>
      </c>
      <c r="AL21" s="132">
        <v>0</v>
      </c>
      <c r="CU21" s="132">
        <v>24848</v>
      </c>
      <c r="CV21" s="132">
        <v>39548</v>
      </c>
      <c r="CW21" s="132">
        <v>73820</v>
      </c>
      <c r="CX21" s="132">
        <v>65800</v>
      </c>
      <c r="CZ21" s="132">
        <v>376</v>
      </c>
      <c r="DA21" s="132">
        <v>53165</v>
      </c>
      <c r="DB21" s="132">
        <v>4224</v>
      </c>
      <c r="DC21" s="132">
        <v>38269</v>
      </c>
      <c r="DE21" s="132">
        <v>42053</v>
      </c>
      <c r="DF21" s="132">
        <v>72000</v>
      </c>
      <c r="DG21" s="132">
        <v>1458</v>
      </c>
      <c r="DJ21" s="132">
        <v>56823</v>
      </c>
      <c r="DL21" s="132">
        <v>52656</v>
      </c>
      <c r="DM21" s="132">
        <v>47904</v>
      </c>
      <c r="DN21" s="132">
        <v>288</v>
      </c>
      <c r="DO21" s="132">
        <v>210</v>
      </c>
      <c r="DQ21" s="132">
        <v>29890</v>
      </c>
      <c r="DR21" s="132">
        <v>7068</v>
      </c>
      <c r="DS21" s="132">
        <v>88992</v>
      </c>
      <c r="DT21" s="132">
        <v>24339</v>
      </c>
      <c r="DY21" s="132">
        <v>96894</v>
      </c>
      <c r="DZ21" s="132">
        <v>37454</v>
      </c>
      <c r="EA21" s="132">
        <v>151256</v>
      </c>
      <c r="EB21" s="132">
        <v>104350</v>
      </c>
      <c r="ED21" s="132">
        <v>0</v>
      </c>
      <c r="EE21" s="132">
        <v>82526</v>
      </c>
      <c r="EF21" s="132">
        <v>53503</v>
      </c>
      <c r="EG21" s="132">
        <v>128599</v>
      </c>
      <c r="EI21" s="132">
        <v>38679</v>
      </c>
      <c r="EJ21" s="132">
        <v>105849</v>
      </c>
      <c r="EK21" s="132">
        <v>0</v>
      </c>
      <c r="EN21" s="132">
        <v>28000</v>
      </c>
      <c r="EP21" s="132">
        <v>165012</v>
      </c>
      <c r="EQ21" s="132">
        <v>59313</v>
      </c>
      <c r="ER21" s="132">
        <v>0</v>
      </c>
      <c r="ES21" s="132">
        <v>0</v>
      </c>
      <c r="EU21" s="132">
        <v>120741</v>
      </c>
      <c r="EV21" s="132">
        <v>0</v>
      </c>
      <c r="EW21" s="132">
        <v>110988</v>
      </c>
      <c r="EX21" s="132">
        <v>45867</v>
      </c>
      <c r="IO21" s="132">
        <v>21124</v>
      </c>
      <c r="IP21" s="132">
        <v>41125</v>
      </c>
      <c r="IQ21" s="132">
        <v>47111</v>
      </c>
      <c r="IR21" s="132">
        <v>41567</v>
      </c>
      <c r="IT21" s="132">
        <v>829</v>
      </c>
      <c r="IU21" s="132">
        <v>257170</v>
      </c>
      <c r="IV21" s="132">
        <v>44167</v>
      </c>
      <c r="IW21" s="132">
        <v>133537</v>
      </c>
      <c r="IY21" s="132">
        <v>16826</v>
      </c>
      <c r="IZ21" s="132">
        <v>35907</v>
      </c>
      <c r="JA21" s="132">
        <v>3784</v>
      </c>
      <c r="JD21" s="132">
        <v>16415</v>
      </c>
      <c r="JF21" s="132">
        <v>62163</v>
      </c>
      <c r="JG21" s="132">
        <v>49179</v>
      </c>
      <c r="JH21" s="132">
        <v>600</v>
      </c>
      <c r="JI21" s="132">
        <v>408</v>
      </c>
      <c r="JK21" s="132">
        <v>10862</v>
      </c>
      <c r="JL21" s="132">
        <v>5912</v>
      </c>
      <c r="JM21" s="132">
        <v>74452</v>
      </c>
      <c r="JN21" s="132">
        <v>37190</v>
      </c>
    </row>
    <row r="22" spans="1:274" s="132" customFormat="1" x14ac:dyDescent="0.25">
      <c r="A22" s="134" t="s">
        <v>423</v>
      </c>
      <c r="B22" s="134"/>
      <c r="C22" s="134" t="s">
        <v>1069</v>
      </c>
      <c r="D22" s="134"/>
      <c r="E22" s="135"/>
      <c r="F22" s="134"/>
      <c r="G22" s="134" t="s">
        <v>424</v>
      </c>
      <c r="Q22" s="132">
        <v>820570</v>
      </c>
      <c r="AH22" s="132">
        <v>2502432</v>
      </c>
      <c r="AI22" s="132">
        <v>574648</v>
      </c>
      <c r="AJ22" s="132">
        <v>307639</v>
      </c>
      <c r="AK22" s="132">
        <v>1089254</v>
      </c>
      <c r="AL22" s="132">
        <v>0</v>
      </c>
      <c r="CV22" s="132">
        <v>9792</v>
      </c>
      <c r="CW22" s="132">
        <v>113872</v>
      </c>
      <c r="CX22" s="132">
        <v>52272</v>
      </c>
      <c r="CZ22" s="132">
        <v>408</v>
      </c>
      <c r="DA22" s="132">
        <v>51756</v>
      </c>
      <c r="DC22" s="132">
        <v>38451</v>
      </c>
      <c r="DE22" s="132">
        <v>3586</v>
      </c>
      <c r="DF22" s="132">
        <v>157832</v>
      </c>
      <c r="DG22" s="132">
        <v>11204</v>
      </c>
      <c r="DH22" s="132">
        <v>100560</v>
      </c>
      <c r="DJ22" s="132">
        <v>178493</v>
      </c>
      <c r="DL22" s="132">
        <v>23216</v>
      </c>
      <c r="DM22" s="132">
        <v>135680</v>
      </c>
      <c r="DO22" s="132">
        <v>3328</v>
      </c>
      <c r="DQ22" s="132">
        <v>44832</v>
      </c>
      <c r="DR22" s="132">
        <v>33921</v>
      </c>
      <c r="DS22" s="132">
        <v>138000</v>
      </c>
      <c r="DT22" s="132">
        <v>52328</v>
      </c>
      <c r="DZ22" s="132">
        <v>15080</v>
      </c>
      <c r="EA22" s="132">
        <v>332219</v>
      </c>
      <c r="EB22" s="132">
        <v>162693</v>
      </c>
      <c r="ED22" s="132">
        <v>0</v>
      </c>
      <c r="EE22" s="132">
        <v>205832</v>
      </c>
      <c r="EG22" s="132">
        <v>132077</v>
      </c>
      <c r="EI22" s="132">
        <v>43293</v>
      </c>
      <c r="EJ22" s="132">
        <v>373034</v>
      </c>
      <c r="EK22" s="132">
        <v>14996</v>
      </c>
      <c r="EL22" s="132">
        <v>608139</v>
      </c>
      <c r="EN22" s="132">
        <v>136398</v>
      </c>
      <c r="EP22" s="132">
        <v>105457</v>
      </c>
      <c r="EQ22" s="132">
        <v>223511</v>
      </c>
      <c r="ES22" s="132">
        <v>0</v>
      </c>
      <c r="EU22" s="132">
        <v>220946</v>
      </c>
      <c r="EV22" s="132">
        <v>132081</v>
      </c>
      <c r="EW22" s="132">
        <v>398097</v>
      </c>
      <c r="EX22" s="132">
        <v>181442</v>
      </c>
      <c r="IP22" s="132">
        <v>12724</v>
      </c>
      <c r="IQ22" s="132">
        <v>22344</v>
      </c>
      <c r="IR22" s="132">
        <v>12910</v>
      </c>
      <c r="IT22" s="132">
        <v>18781</v>
      </c>
      <c r="IU22" s="132">
        <v>56482</v>
      </c>
      <c r="IW22" s="132">
        <v>47215</v>
      </c>
      <c r="IY22" s="132">
        <v>14262</v>
      </c>
      <c r="IZ22" s="132">
        <v>35608</v>
      </c>
      <c r="JA22" s="132">
        <v>174</v>
      </c>
      <c r="JB22" s="132">
        <v>13925</v>
      </c>
      <c r="JD22" s="132">
        <v>487065</v>
      </c>
      <c r="JF22" s="132">
        <v>2203</v>
      </c>
      <c r="JG22" s="132">
        <v>24653</v>
      </c>
      <c r="JI22" s="132">
        <v>39527</v>
      </c>
      <c r="JK22" s="132">
        <v>284518</v>
      </c>
      <c r="JL22" s="132">
        <v>15236</v>
      </c>
      <c r="JM22" s="132">
        <v>13957</v>
      </c>
      <c r="JN22" s="132">
        <v>13695</v>
      </c>
    </row>
    <row r="23" spans="1:274" s="132" customFormat="1" x14ac:dyDescent="0.25">
      <c r="A23" s="134" t="s">
        <v>368</v>
      </c>
      <c r="B23" s="134"/>
      <c r="C23" s="134" t="s">
        <v>1069</v>
      </c>
      <c r="D23" s="134"/>
      <c r="E23" s="135"/>
      <c r="F23" s="134"/>
      <c r="G23" s="134" t="s">
        <v>369</v>
      </c>
      <c r="Q23" s="132">
        <v>809380</v>
      </c>
      <c r="AH23" s="132">
        <v>1562178</v>
      </c>
      <c r="AI23" s="132">
        <v>875777</v>
      </c>
      <c r="AJ23" s="132">
        <v>272712</v>
      </c>
      <c r="AK23" s="132">
        <v>410658</v>
      </c>
      <c r="AL23" s="132">
        <v>43376</v>
      </c>
      <c r="CU23" s="132">
        <v>19988</v>
      </c>
      <c r="CV23" s="132">
        <v>42348</v>
      </c>
      <c r="CW23" s="132">
        <v>219686</v>
      </c>
      <c r="CX23" s="132">
        <v>90366</v>
      </c>
      <c r="CZ23" s="132">
        <v>1472</v>
      </c>
      <c r="DA23" s="132">
        <v>71556</v>
      </c>
      <c r="DB23" s="132">
        <v>960</v>
      </c>
      <c r="DC23" s="132">
        <v>81329</v>
      </c>
      <c r="DD23" s="132">
        <v>864</v>
      </c>
      <c r="DE23" s="132">
        <v>88154</v>
      </c>
      <c r="DF23" s="132">
        <v>234427</v>
      </c>
      <c r="DG23" s="132">
        <v>17769</v>
      </c>
      <c r="DH23" s="132">
        <v>177852</v>
      </c>
      <c r="DJ23" s="132">
        <v>74224</v>
      </c>
      <c r="DL23" s="132">
        <v>54064</v>
      </c>
      <c r="DM23" s="132">
        <v>156390</v>
      </c>
      <c r="DN23" s="132">
        <v>22672</v>
      </c>
      <c r="DO23" s="132">
        <v>12800</v>
      </c>
      <c r="DP23" s="132">
        <v>448</v>
      </c>
      <c r="DQ23" s="132">
        <v>27012</v>
      </c>
      <c r="DR23" s="132">
        <v>56062</v>
      </c>
      <c r="DS23" s="132">
        <v>261552</v>
      </c>
      <c r="DT23" s="132">
        <v>79248</v>
      </c>
      <c r="DY23" s="132">
        <v>59013</v>
      </c>
      <c r="DZ23" s="132">
        <v>150969</v>
      </c>
      <c r="EA23" s="132">
        <v>427931</v>
      </c>
      <c r="EB23" s="132">
        <v>284810</v>
      </c>
      <c r="ED23" s="132">
        <v>1260</v>
      </c>
      <c r="EE23" s="132">
        <v>306052</v>
      </c>
      <c r="EF23" s="132">
        <v>1060</v>
      </c>
      <c r="EG23" s="132">
        <v>150538</v>
      </c>
      <c r="EH23" s="132">
        <v>1260</v>
      </c>
      <c r="EI23" s="132">
        <v>273830</v>
      </c>
      <c r="EJ23" s="132">
        <v>567684</v>
      </c>
      <c r="EK23" s="132">
        <v>44382</v>
      </c>
      <c r="EL23" s="132">
        <v>863710</v>
      </c>
      <c r="EN23" s="132">
        <v>177454</v>
      </c>
      <c r="EP23" s="132">
        <v>165810</v>
      </c>
      <c r="EQ23" s="132">
        <v>321994</v>
      </c>
      <c r="ER23" s="132">
        <v>68322</v>
      </c>
      <c r="ES23" s="132">
        <v>0</v>
      </c>
      <c r="ET23" s="132">
        <v>1450</v>
      </c>
      <c r="EU23" s="132">
        <v>194980</v>
      </c>
      <c r="EV23" s="132">
        <v>207656</v>
      </c>
      <c r="EW23" s="132">
        <v>572199</v>
      </c>
      <c r="EX23" s="132">
        <v>243179</v>
      </c>
      <c r="IO23" s="132">
        <v>12729</v>
      </c>
      <c r="IP23" s="132">
        <v>52568</v>
      </c>
      <c r="IQ23" s="132">
        <v>92945</v>
      </c>
      <c r="IR23" s="132">
        <v>20136</v>
      </c>
      <c r="IT23" s="132">
        <v>0</v>
      </c>
      <c r="IU23" s="132">
        <v>29256</v>
      </c>
      <c r="IV23" s="132">
        <v>210</v>
      </c>
      <c r="IW23" s="132">
        <v>36953</v>
      </c>
      <c r="IX23" s="132">
        <v>0</v>
      </c>
      <c r="IY23" s="132">
        <v>46942</v>
      </c>
      <c r="IZ23" s="132">
        <v>133077</v>
      </c>
      <c r="JA23" s="132">
        <v>2335</v>
      </c>
      <c r="JB23" s="132">
        <v>139617</v>
      </c>
      <c r="JD23" s="132">
        <v>11058</v>
      </c>
      <c r="JF23" s="132">
        <v>11123</v>
      </c>
      <c r="JG23" s="132">
        <v>38176</v>
      </c>
      <c r="JI23" s="132">
        <v>1445</v>
      </c>
      <c r="JJ23" s="132">
        <v>316</v>
      </c>
      <c r="JK23" s="132">
        <v>5025</v>
      </c>
      <c r="JL23" s="132">
        <v>18558</v>
      </c>
      <c r="JM23" s="132">
        <v>15717</v>
      </c>
      <c r="JN23" s="132">
        <v>25006</v>
      </c>
    </row>
    <row r="24" spans="1:274" s="132" customFormat="1" x14ac:dyDescent="0.25">
      <c r="A24" s="134" t="s">
        <v>372</v>
      </c>
      <c r="B24" s="134"/>
      <c r="C24" s="134" t="s">
        <v>1069</v>
      </c>
      <c r="D24" s="134"/>
      <c r="E24" s="135"/>
      <c r="F24" s="134"/>
      <c r="G24" s="134" t="s">
        <v>373</v>
      </c>
      <c r="Q24" s="132">
        <v>103436</v>
      </c>
      <c r="AH24" s="132">
        <v>1311068</v>
      </c>
      <c r="AI24" s="132">
        <v>812115</v>
      </c>
      <c r="AJ24" s="132">
        <v>609707</v>
      </c>
      <c r="AK24" s="132">
        <v>361228</v>
      </c>
      <c r="AL24" s="132">
        <v>0</v>
      </c>
      <c r="CU24" s="132">
        <v>9712</v>
      </c>
      <c r="CV24" s="132">
        <v>40181</v>
      </c>
      <c r="CW24" s="132">
        <v>83760</v>
      </c>
      <c r="CX24" s="132">
        <v>107018</v>
      </c>
      <c r="CZ24" s="132">
        <v>7008</v>
      </c>
      <c r="DA24" s="132">
        <v>109396</v>
      </c>
      <c r="DB24" s="132">
        <v>608</v>
      </c>
      <c r="DC24" s="132">
        <v>142192</v>
      </c>
      <c r="DE24" s="132">
        <v>24768</v>
      </c>
      <c r="DF24" s="132">
        <v>199008</v>
      </c>
      <c r="DG24" s="132">
        <v>29624</v>
      </c>
      <c r="DJ24" s="132">
        <v>75170</v>
      </c>
      <c r="DL24" s="132">
        <v>100064</v>
      </c>
      <c r="DM24" s="132">
        <v>142624</v>
      </c>
      <c r="DN24" s="132">
        <v>39124</v>
      </c>
      <c r="DO24" s="132">
        <v>288</v>
      </c>
      <c r="DP24" s="132">
        <v>112</v>
      </c>
      <c r="DQ24" s="132">
        <v>50048</v>
      </c>
      <c r="DR24" s="132">
        <v>64154</v>
      </c>
      <c r="DS24" s="132">
        <v>151728</v>
      </c>
      <c r="DT24" s="132">
        <v>80016</v>
      </c>
      <c r="DY24" s="132">
        <v>45347</v>
      </c>
      <c r="DZ24" s="132">
        <v>158720</v>
      </c>
      <c r="EA24" s="132">
        <v>216705</v>
      </c>
      <c r="EB24" s="132">
        <v>48736</v>
      </c>
      <c r="ED24" s="132">
        <v>16773</v>
      </c>
      <c r="EE24" s="132">
        <v>402546</v>
      </c>
      <c r="EF24" s="132">
        <v>1050</v>
      </c>
      <c r="EG24" s="132">
        <v>234664</v>
      </c>
      <c r="EI24" s="132">
        <v>75928</v>
      </c>
      <c r="EJ24" s="132">
        <v>362234</v>
      </c>
      <c r="EK24" s="132">
        <v>68293</v>
      </c>
      <c r="EN24" s="132">
        <v>107952</v>
      </c>
      <c r="EP24" s="132">
        <v>373907</v>
      </c>
      <c r="EQ24" s="132">
        <v>196846</v>
      </c>
      <c r="ER24" s="132">
        <v>125680</v>
      </c>
      <c r="ES24" s="132">
        <v>525</v>
      </c>
      <c r="ET24" s="132">
        <v>525</v>
      </c>
      <c r="EU24" s="132">
        <v>229460</v>
      </c>
      <c r="EV24" s="132">
        <v>171703</v>
      </c>
      <c r="EW24" s="132">
        <v>333503</v>
      </c>
      <c r="EX24" s="132">
        <v>224534</v>
      </c>
      <c r="IO24" s="132">
        <v>8617</v>
      </c>
      <c r="IP24" s="132">
        <v>37346</v>
      </c>
      <c r="IQ24" s="132">
        <v>21725</v>
      </c>
      <c r="IR24" s="132">
        <v>6435</v>
      </c>
      <c r="IT24" s="132">
        <v>1290</v>
      </c>
      <c r="IU24" s="132">
        <v>91118</v>
      </c>
      <c r="IV24" s="132">
        <v>100</v>
      </c>
      <c r="IW24" s="132">
        <v>17467</v>
      </c>
      <c r="IY24" s="132">
        <v>9171</v>
      </c>
      <c r="IZ24" s="132">
        <v>46410</v>
      </c>
      <c r="JA24" s="132">
        <v>2674</v>
      </c>
      <c r="JD24" s="132">
        <v>33135</v>
      </c>
      <c r="JF24" s="132">
        <v>40246</v>
      </c>
      <c r="JG24" s="132">
        <v>19314</v>
      </c>
      <c r="JH24" s="132">
        <v>33765</v>
      </c>
      <c r="JI24" s="132">
        <v>50</v>
      </c>
      <c r="JJ24" s="132">
        <v>50</v>
      </c>
      <c r="JK24" s="132">
        <v>9089</v>
      </c>
      <c r="JL24" s="132">
        <v>25969</v>
      </c>
      <c r="JM24" s="132">
        <v>17537</v>
      </c>
      <c r="JN24" s="132">
        <v>40573</v>
      </c>
    </row>
    <row r="25" spans="1:274" s="132" customFormat="1" x14ac:dyDescent="0.25">
      <c r="A25" s="134" t="s">
        <v>441</v>
      </c>
      <c r="B25" s="134"/>
      <c r="C25" s="134" t="s">
        <v>1069</v>
      </c>
      <c r="D25" s="134"/>
      <c r="E25" s="135"/>
      <c r="F25" s="134"/>
      <c r="G25" s="134" t="s">
        <v>442</v>
      </c>
      <c r="Q25" s="132">
        <v>16383172</v>
      </c>
      <c r="AH25" s="132">
        <v>34434219</v>
      </c>
      <c r="AI25" s="132">
        <v>19928534</v>
      </c>
      <c r="AJ25" s="132">
        <v>4135671</v>
      </c>
      <c r="AK25" s="132">
        <v>2721848</v>
      </c>
      <c r="AL25" s="132">
        <v>0</v>
      </c>
      <c r="CU25" s="132">
        <v>89936</v>
      </c>
      <c r="CV25" s="132">
        <v>669834</v>
      </c>
      <c r="CW25" s="132">
        <v>1733024</v>
      </c>
      <c r="CX25" s="132">
        <v>1617525</v>
      </c>
      <c r="CZ25" s="132">
        <v>422204</v>
      </c>
      <c r="DA25" s="132">
        <v>606984</v>
      </c>
      <c r="DB25" s="132">
        <v>566286</v>
      </c>
      <c r="DC25" s="132">
        <v>589497</v>
      </c>
      <c r="DE25" s="132">
        <v>331558</v>
      </c>
      <c r="DF25" s="132">
        <v>3266112</v>
      </c>
      <c r="DG25" s="132">
        <v>283788</v>
      </c>
      <c r="DH25" s="132">
        <v>244840</v>
      </c>
      <c r="DJ25" s="132">
        <v>748333</v>
      </c>
      <c r="DK25" s="132">
        <v>31968</v>
      </c>
      <c r="DL25" s="132">
        <v>113344</v>
      </c>
      <c r="DM25" s="132">
        <v>1937920</v>
      </c>
      <c r="DN25" s="132">
        <v>249710</v>
      </c>
      <c r="DO25" s="132">
        <v>933340</v>
      </c>
      <c r="DP25" s="132">
        <v>37096</v>
      </c>
      <c r="DQ25" s="132">
        <v>43824</v>
      </c>
      <c r="DR25" s="132">
        <v>310333</v>
      </c>
      <c r="DS25" s="132">
        <v>2811464</v>
      </c>
      <c r="DT25" s="132">
        <v>713225</v>
      </c>
      <c r="DY25" s="132">
        <v>249057</v>
      </c>
      <c r="DZ25" s="132">
        <v>733087</v>
      </c>
      <c r="EA25" s="132">
        <v>4997348</v>
      </c>
      <c r="EB25" s="132">
        <v>4779345</v>
      </c>
      <c r="ED25" s="132">
        <v>677415</v>
      </c>
      <c r="EE25" s="132">
        <v>3239379</v>
      </c>
      <c r="EF25" s="132">
        <v>1014923</v>
      </c>
      <c r="EG25" s="132">
        <v>1347945</v>
      </c>
      <c r="EI25" s="132">
        <v>1704772</v>
      </c>
      <c r="EJ25" s="132">
        <v>10178728</v>
      </c>
      <c r="EK25" s="132">
        <v>850843</v>
      </c>
      <c r="EL25" s="132">
        <v>1845406</v>
      </c>
      <c r="EN25" s="132">
        <v>3116592</v>
      </c>
      <c r="EO25" s="132">
        <v>375119</v>
      </c>
      <c r="EP25" s="132">
        <v>664245</v>
      </c>
      <c r="EQ25" s="132">
        <v>5372063</v>
      </c>
      <c r="ER25" s="132">
        <v>1238102</v>
      </c>
      <c r="ES25" s="132">
        <v>9072</v>
      </c>
      <c r="ET25" s="132">
        <v>687775</v>
      </c>
      <c r="EU25" s="132">
        <v>250502</v>
      </c>
      <c r="EV25" s="132">
        <v>2784197</v>
      </c>
      <c r="EW25" s="132">
        <v>7766922</v>
      </c>
      <c r="EX25" s="132">
        <v>3255233</v>
      </c>
      <c r="IO25" s="132">
        <v>240888</v>
      </c>
      <c r="IP25" s="132">
        <v>449675</v>
      </c>
      <c r="IQ25" s="132">
        <v>1267788</v>
      </c>
      <c r="IR25" s="132">
        <v>758345</v>
      </c>
      <c r="IT25" s="132">
        <v>3752477</v>
      </c>
      <c r="IU25" s="132">
        <v>3344720</v>
      </c>
      <c r="IV25" s="132">
        <v>851505</v>
      </c>
      <c r="IW25" s="132">
        <v>649128</v>
      </c>
      <c r="IY25" s="132">
        <v>1049290</v>
      </c>
      <c r="IZ25" s="132">
        <v>1282565</v>
      </c>
      <c r="JA25" s="132">
        <v>156715</v>
      </c>
      <c r="JB25" s="132">
        <v>473272</v>
      </c>
      <c r="JD25" s="132">
        <v>548212</v>
      </c>
      <c r="JE25" s="132">
        <v>72374</v>
      </c>
      <c r="JF25" s="132">
        <v>108316</v>
      </c>
      <c r="JG25" s="132">
        <v>536069</v>
      </c>
      <c r="JH25" s="132">
        <v>608470</v>
      </c>
      <c r="JI25" s="132">
        <v>5679661</v>
      </c>
      <c r="JJ25" s="132">
        <v>131403</v>
      </c>
      <c r="JK25" s="132">
        <v>172672</v>
      </c>
      <c r="JL25" s="132">
        <v>946365</v>
      </c>
      <c r="JM25" s="132">
        <v>457812</v>
      </c>
      <c r="JN25" s="132">
        <v>976835</v>
      </c>
    </row>
    <row r="26" spans="1:274" s="132" customFormat="1" ht="15" customHeight="1" x14ac:dyDescent="0.25">
      <c r="A26" s="134" t="s">
        <v>374</v>
      </c>
      <c r="B26" s="134"/>
      <c r="C26" s="134" t="s">
        <v>1069</v>
      </c>
      <c r="D26" s="134"/>
      <c r="E26" s="135"/>
      <c r="F26" s="134"/>
      <c r="G26" s="134" t="s">
        <v>375</v>
      </c>
      <c r="Q26" s="132">
        <v>729822</v>
      </c>
      <c r="AH26" s="132">
        <v>2662695</v>
      </c>
      <c r="AI26" s="132">
        <v>867439</v>
      </c>
      <c r="AJ26" s="132">
        <v>187816</v>
      </c>
      <c r="AK26" s="132">
        <v>440280</v>
      </c>
      <c r="AL26" s="132">
        <v>0</v>
      </c>
      <c r="CU26" s="132">
        <v>67793</v>
      </c>
      <c r="CV26" s="132">
        <v>51669</v>
      </c>
      <c r="CW26" s="132">
        <v>105672</v>
      </c>
      <c r="CX26" s="132">
        <v>197833</v>
      </c>
      <c r="CZ26" s="132">
        <v>8192</v>
      </c>
      <c r="DA26" s="132">
        <v>224308</v>
      </c>
      <c r="DB26" s="132">
        <v>103422</v>
      </c>
      <c r="DC26" s="132">
        <v>169222</v>
      </c>
      <c r="DE26" s="132">
        <v>102699</v>
      </c>
      <c r="DF26" s="132">
        <v>260942</v>
      </c>
      <c r="DG26" s="132">
        <v>13056</v>
      </c>
      <c r="DH26" s="132">
        <v>22431</v>
      </c>
      <c r="DI26" s="132">
        <v>21872</v>
      </c>
      <c r="DJ26" s="132">
        <v>127194</v>
      </c>
      <c r="DK26" s="132">
        <v>15416</v>
      </c>
      <c r="DL26" s="132">
        <v>56816</v>
      </c>
      <c r="DM26" s="132">
        <v>115592</v>
      </c>
      <c r="DO26" s="132">
        <v>5376</v>
      </c>
      <c r="DP26" s="132">
        <v>7287</v>
      </c>
      <c r="DQ26" s="132">
        <v>39920</v>
      </c>
      <c r="DR26" s="132">
        <v>73355</v>
      </c>
      <c r="DS26" s="132">
        <v>183270</v>
      </c>
      <c r="DT26" s="132">
        <v>38528</v>
      </c>
      <c r="DY26" s="132">
        <v>177816</v>
      </c>
      <c r="DZ26" s="132">
        <v>150776</v>
      </c>
      <c r="EA26" s="132">
        <v>347340</v>
      </c>
      <c r="EB26" s="132">
        <v>325005</v>
      </c>
      <c r="ED26" s="132">
        <v>3722</v>
      </c>
      <c r="EE26" s="132">
        <v>504591</v>
      </c>
      <c r="EF26" s="132">
        <v>315019</v>
      </c>
      <c r="EG26" s="132">
        <v>188313</v>
      </c>
      <c r="EI26" s="132">
        <v>266162</v>
      </c>
      <c r="EJ26" s="132">
        <v>538546</v>
      </c>
      <c r="EK26" s="132">
        <v>20730</v>
      </c>
      <c r="EL26" s="132">
        <v>169306</v>
      </c>
      <c r="EM26" s="132">
        <v>163670</v>
      </c>
      <c r="EN26" s="132">
        <v>240784</v>
      </c>
      <c r="EO26" s="132">
        <v>94953</v>
      </c>
      <c r="EP26" s="132">
        <v>265722</v>
      </c>
      <c r="EQ26" s="132">
        <v>263367</v>
      </c>
      <c r="ES26" s="132">
        <v>2443</v>
      </c>
      <c r="ET26" s="132">
        <v>3311</v>
      </c>
      <c r="EU26" s="132">
        <v>370096</v>
      </c>
      <c r="EV26" s="132">
        <v>152134</v>
      </c>
      <c r="EW26" s="132">
        <v>324625</v>
      </c>
      <c r="EX26" s="132">
        <v>158201</v>
      </c>
      <c r="IO26" s="132">
        <v>79986</v>
      </c>
      <c r="IP26" s="132">
        <v>36811</v>
      </c>
      <c r="IQ26" s="132">
        <v>53515</v>
      </c>
      <c r="IR26" s="132">
        <v>69741</v>
      </c>
      <c r="IT26" s="132">
        <v>3286</v>
      </c>
      <c r="IU26" s="132">
        <v>216143</v>
      </c>
      <c r="IV26" s="132">
        <v>56118</v>
      </c>
      <c r="IW26" s="132">
        <v>61794</v>
      </c>
      <c r="IY26" s="132">
        <v>63352</v>
      </c>
      <c r="IZ26" s="132">
        <v>232260</v>
      </c>
      <c r="JA26" s="132">
        <v>2342</v>
      </c>
      <c r="JB26" s="132">
        <v>54907</v>
      </c>
      <c r="JC26" s="132">
        <v>56657</v>
      </c>
      <c r="JD26" s="132">
        <v>226900</v>
      </c>
      <c r="JE26" s="132">
        <v>18422</v>
      </c>
      <c r="JF26" s="132">
        <v>40976</v>
      </c>
      <c r="JG26" s="132">
        <v>63568</v>
      </c>
      <c r="JI26" s="132">
        <v>2739</v>
      </c>
      <c r="JJ26" s="132">
        <v>2824</v>
      </c>
      <c r="JK26" s="132">
        <v>64583</v>
      </c>
      <c r="JL26" s="132">
        <v>59159</v>
      </c>
      <c r="JM26" s="132">
        <v>38427</v>
      </c>
      <c r="JN26" s="132">
        <v>37217</v>
      </c>
    </row>
    <row r="27" spans="1:274" s="132" customFormat="1" x14ac:dyDescent="0.25">
      <c r="A27" s="134" t="s">
        <v>376</v>
      </c>
      <c r="B27" s="134"/>
      <c r="C27" s="134" t="s">
        <v>1069</v>
      </c>
      <c r="D27" s="134"/>
      <c r="E27" s="135"/>
      <c r="F27" s="134"/>
      <c r="G27" s="134" t="s">
        <v>377</v>
      </c>
      <c r="Q27" s="132">
        <v>912066</v>
      </c>
      <c r="AH27" s="132">
        <v>2598706</v>
      </c>
      <c r="AI27" s="132">
        <v>1107377</v>
      </c>
      <c r="AJ27" s="132">
        <v>389113</v>
      </c>
      <c r="AK27" s="132">
        <v>1593595</v>
      </c>
      <c r="AL27" s="132">
        <v>0</v>
      </c>
      <c r="CU27" s="132">
        <v>6674</v>
      </c>
      <c r="CV27" s="132">
        <v>49084</v>
      </c>
      <c r="CW27" s="132">
        <v>198448</v>
      </c>
      <c r="CX27" s="132">
        <v>175787</v>
      </c>
      <c r="CZ27" s="132">
        <v>11328</v>
      </c>
      <c r="DA27" s="132">
        <v>134270</v>
      </c>
      <c r="DB27" s="132">
        <v>45764</v>
      </c>
      <c r="DC27" s="132">
        <v>236280</v>
      </c>
      <c r="DD27" s="132">
        <v>880</v>
      </c>
      <c r="DE27" s="132">
        <v>90553</v>
      </c>
      <c r="DF27" s="132">
        <v>334882</v>
      </c>
      <c r="DG27" s="132">
        <v>17472</v>
      </c>
      <c r="DH27" s="132">
        <v>84880</v>
      </c>
      <c r="DJ27" s="132">
        <v>141868</v>
      </c>
      <c r="DL27" s="132">
        <v>73456</v>
      </c>
      <c r="DM27" s="132">
        <v>245464</v>
      </c>
      <c r="DN27" s="132">
        <v>16704</v>
      </c>
      <c r="DO27" s="132">
        <v>11862</v>
      </c>
      <c r="DQ27" s="132">
        <v>93360</v>
      </c>
      <c r="DR27" s="132">
        <v>336397</v>
      </c>
      <c r="DS27" s="132">
        <v>327792</v>
      </c>
      <c r="DT27" s="132">
        <v>184742</v>
      </c>
      <c r="DY27" s="132">
        <v>48382</v>
      </c>
      <c r="DZ27" s="132">
        <v>102921</v>
      </c>
      <c r="EA27" s="132">
        <v>572024</v>
      </c>
      <c r="EB27" s="132">
        <v>488503</v>
      </c>
      <c r="ED27" s="132">
        <v>72284</v>
      </c>
      <c r="EE27" s="132">
        <v>256442</v>
      </c>
      <c r="EF27" s="132">
        <v>47134</v>
      </c>
      <c r="EG27" s="132">
        <v>295953</v>
      </c>
      <c r="EH27" s="132">
        <v>35155</v>
      </c>
      <c r="EI27" s="132">
        <v>333992</v>
      </c>
      <c r="EJ27" s="132">
        <v>721928</v>
      </c>
      <c r="EK27" s="132">
        <v>160654</v>
      </c>
      <c r="EL27" s="132">
        <v>478373</v>
      </c>
      <c r="EN27" s="132">
        <v>440770</v>
      </c>
      <c r="EP27" s="132">
        <v>209005</v>
      </c>
      <c r="EQ27" s="132">
        <v>501623</v>
      </c>
      <c r="ER27" s="132">
        <v>79005</v>
      </c>
      <c r="ES27" s="132">
        <v>80377</v>
      </c>
      <c r="EU27" s="132">
        <v>396826</v>
      </c>
      <c r="EV27" s="132">
        <v>663453</v>
      </c>
      <c r="EW27" s="132">
        <v>641796</v>
      </c>
      <c r="EX27" s="132">
        <v>661374</v>
      </c>
      <c r="IO27" s="132">
        <v>4736</v>
      </c>
      <c r="IP27" s="132">
        <v>15890</v>
      </c>
      <c r="IQ27" s="132">
        <v>90796</v>
      </c>
      <c r="IR27" s="132">
        <v>68850</v>
      </c>
      <c r="IT27" s="132">
        <v>36525</v>
      </c>
      <c r="IU27" s="132">
        <v>48003</v>
      </c>
      <c r="IV27" s="132">
        <v>34087</v>
      </c>
      <c r="IW27" s="132">
        <v>23867</v>
      </c>
      <c r="IX27" s="132">
        <v>2056</v>
      </c>
      <c r="IY27" s="132">
        <v>47488</v>
      </c>
      <c r="IZ27" s="132">
        <v>34107</v>
      </c>
      <c r="JA27" s="132">
        <v>4194</v>
      </c>
      <c r="JB27" s="132">
        <v>80641</v>
      </c>
      <c r="JD27" s="132">
        <v>51778</v>
      </c>
      <c r="JF27" s="132">
        <v>6575</v>
      </c>
      <c r="JG27" s="132">
        <v>14604</v>
      </c>
      <c r="JH27" s="132">
        <v>115546</v>
      </c>
      <c r="JI27" s="132">
        <v>57652</v>
      </c>
      <c r="JK27" s="132">
        <v>23498</v>
      </c>
      <c r="JL27" s="132">
        <v>682734</v>
      </c>
      <c r="JM27" s="132">
        <v>23423</v>
      </c>
      <c r="JN27" s="132">
        <v>223955</v>
      </c>
    </row>
    <row r="28" spans="1:274" s="132" customFormat="1" x14ac:dyDescent="0.25">
      <c r="A28" s="134" t="s">
        <v>1073</v>
      </c>
      <c r="B28" s="134"/>
      <c r="C28" s="134" t="s">
        <v>1069</v>
      </c>
      <c r="D28" s="134"/>
      <c r="E28" s="135"/>
      <c r="F28" s="134"/>
      <c r="G28" s="134" t="s">
        <v>458</v>
      </c>
      <c r="Q28" s="132">
        <v>1470025</v>
      </c>
      <c r="AH28" s="132">
        <v>1496429</v>
      </c>
      <c r="AI28" s="132">
        <v>966518</v>
      </c>
      <c r="AJ28" s="132">
        <v>240000</v>
      </c>
      <c r="AK28" s="132">
        <v>318806</v>
      </c>
      <c r="AL28" s="132">
        <v>0</v>
      </c>
      <c r="CV28" s="132">
        <v>130448</v>
      </c>
      <c r="CW28" s="132">
        <v>132976</v>
      </c>
      <c r="CX28" s="132">
        <v>153328</v>
      </c>
      <c r="DA28" s="132">
        <v>68368</v>
      </c>
      <c r="DB28" s="132">
        <v>23776</v>
      </c>
      <c r="DC28" s="132">
        <v>20224</v>
      </c>
      <c r="DE28" s="132">
        <v>187536</v>
      </c>
      <c r="DF28" s="132">
        <v>48720</v>
      </c>
      <c r="DI28" s="132">
        <v>27728</v>
      </c>
      <c r="DJ28" s="132">
        <v>150768</v>
      </c>
      <c r="DK28" s="132">
        <v>33760</v>
      </c>
      <c r="DM28" s="132">
        <v>75360</v>
      </c>
      <c r="DN28" s="132">
        <v>13584</v>
      </c>
      <c r="DO28" s="132">
        <v>22752</v>
      </c>
      <c r="DP28" s="132">
        <v>1728</v>
      </c>
      <c r="DR28" s="132">
        <v>44800</v>
      </c>
      <c r="DS28" s="132">
        <v>28656</v>
      </c>
      <c r="DT28" s="132">
        <v>35664</v>
      </c>
      <c r="DZ28" s="132">
        <v>456708</v>
      </c>
      <c r="EA28" s="132">
        <v>465558</v>
      </c>
      <c r="EB28" s="132">
        <v>536812</v>
      </c>
      <c r="EE28" s="132">
        <v>239361</v>
      </c>
      <c r="EF28" s="132">
        <v>83241</v>
      </c>
      <c r="EG28" s="132">
        <v>70806</v>
      </c>
      <c r="EI28" s="132">
        <v>656577</v>
      </c>
      <c r="EJ28" s="132">
        <v>170572</v>
      </c>
      <c r="EM28" s="132">
        <v>97078</v>
      </c>
      <c r="EN28" s="132">
        <v>527849</v>
      </c>
      <c r="EO28" s="132">
        <v>118196</v>
      </c>
      <c r="EQ28" s="132">
        <v>263841</v>
      </c>
      <c r="ER28" s="132">
        <v>47559</v>
      </c>
      <c r="ES28" s="132">
        <v>79656</v>
      </c>
      <c r="ET28" s="132">
        <v>6050</v>
      </c>
      <c r="EV28" s="132">
        <v>156848</v>
      </c>
      <c r="EW28" s="132">
        <v>100327</v>
      </c>
      <c r="EX28" s="132">
        <v>124862</v>
      </c>
      <c r="IP28" s="132">
        <v>429148</v>
      </c>
      <c r="IQ28" s="132">
        <v>437464</v>
      </c>
      <c r="IR28" s="132">
        <v>504418</v>
      </c>
      <c r="IU28" s="132">
        <v>224916</v>
      </c>
      <c r="IV28" s="132">
        <v>78218</v>
      </c>
      <c r="IW28" s="132">
        <v>66533</v>
      </c>
      <c r="IY28" s="132">
        <v>616956</v>
      </c>
      <c r="IZ28" s="132">
        <v>160279</v>
      </c>
      <c r="JC28" s="132">
        <v>91219</v>
      </c>
      <c r="JD28" s="132">
        <v>495997</v>
      </c>
      <c r="JE28" s="132">
        <v>111064</v>
      </c>
      <c r="JG28" s="132">
        <v>247919</v>
      </c>
      <c r="JH28" s="132">
        <v>44688</v>
      </c>
      <c r="JI28" s="132">
        <v>74849</v>
      </c>
      <c r="JJ28" s="132">
        <v>5685</v>
      </c>
      <c r="JL28" s="132">
        <v>147384</v>
      </c>
      <c r="JM28" s="132">
        <v>94273</v>
      </c>
      <c r="JN28" s="132">
        <v>117327</v>
      </c>
    </row>
    <row r="29" spans="1:274" s="132" customFormat="1" x14ac:dyDescent="0.25">
      <c r="A29" s="134" t="s">
        <v>450</v>
      </c>
      <c r="B29" s="134"/>
      <c r="C29" s="134" t="s">
        <v>1069</v>
      </c>
      <c r="D29" s="134"/>
      <c r="E29" s="135"/>
      <c r="F29" s="134"/>
      <c r="G29" s="134" t="s">
        <v>451</v>
      </c>
      <c r="Q29" s="132">
        <v>274738</v>
      </c>
      <c r="AH29" s="132">
        <v>1346832</v>
      </c>
      <c r="AI29" s="132">
        <v>531841</v>
      </c>
      <c r="AJ29" s="132">
        <v>537886</v>
      </c>
      <c r="AK29" s="132">
        <v>330971</v>
      </c>
      <c r="AL29" s="132">
        <v>0</v>
      </c>
      <c r="CU29" s="132">
        <v>1808</v>
      </c>
      <c r="CW29" s="132">
        <v>84832</v>
      </c>
      <c r="CX29" s="132">
        <v>76768</v>
      </c>
      <c r="CZ29" s="132">
        <v>656</v>
      </c>
      <c r="DA29" s="132">
        <v>50576</v>
      </c>
      <c r="DC29" s="132">
        <v>7872</v>
      </c>
      <c r="DE29" s="132">
        <v>9440</v>
      </c>
      <c r="DF29" s="132">
        <v>110976</v>
      </c>
      <c r="DG29" s="132">
        <v>5232</v>
      </c>
      <c r="DH29" s="132">
        <v>63536</v>
      </c>
      <c r="DJ29" s="132">
        <v>55376</v>
      </c>
      <c r="DL29" s="132">
        <v>127680</v>
      </c>
      <c r="DM29" s="132">
        <v>60656</v>
      </c>
      <c r="DQ29" s="132">
        <v>27696</v>
      </c>
      <c r="DR29" s="132">
        <v>12624</v>
      </c>
      <c r="DS29" s="132">
        <v>92640</v>
      </c>
      <c r="DT29" s="132">
        <v>19136</v>
      </c>
      <c r="DY29" s="132">
        <v>5741</v>
      </c>
      <c r="EA29" s="132">
        <v>269366</v>
      </c>
      <c r="EB29" s="132">
        <v>243761</v>
      </c>
      <c r="ED29" s="132">
        <v>2083</v>
      </c>
      <c r="EE29" s="132">
        <v>160594</v>
      </c>
      <c r="EG29" s="132">
        <v>24995</v>
      </c>
      <c r="EI29" s="132">
        <v>29975</v>
      </c>
      <c r="EJ29" s="132">
        <v>352381</v>
      </c>
      <c r="EK29" s="132">
        <v>16613</v>
      </c>
      <c r="EL29" s="132">
        <v>201745</v>
      </c>
      <c r="EN29" s="132">
        <v>175835</v>
      </c>
      <c r="EP29" s="132">
        <v>405421</v>
      </c>
      <c r="EQ29" s="132">
        <v>192602</v>
      </c>
      <c r="EU29" s="132">
        <v>87943</v>
      </c>
      <c r="EV29" s="132">
        <v>40085</v>
      </c>
      <c r="EW29" s="132">
        <v>294159</v>
      </c>
      <c r="EX29" s="132">
        <v>60761</v>
      </c>
      <c r="IO29" s="132">
        <v>1133</v>
      </c>
      <c r="IQ29" s="132">
        <v>53166</v>
      </c>
      <c r="IR29" s="132">
        <v>48112</v>
      </c>
      <c r="IT29" s="132">
        <v>411</v>
      </c>
      <c r="IU29" s="132">
        <v>31696</v>
      </c>
      <c r="IW29" s="132">
        <v>4934</v>
      </c>
      <c r="IY29" s="132">
        <v>5916</v>
      </c>
      <c r="IZ29" s="132">
        <v>69551</v>
      </c>
      <c r="JA29" s="132">
        <v>3279</v>
      </c>
      <c r="JB29" s="132">
        <v>39820</v>
      </c>
      <c r="JD29" s="132">
        <v>34705</v>
      </c>
      <c r="JF29" s="132">
        <v>80020</v>
      </c>
      <c r="JG29" s="132">
        <v>38014</v>
      </c>
      <c r="JK29" s="132">
        <v>17358</v>
      </c>
      <c r="JL29" s="132">
        <v>7912</v>
      </c>
      <c r="JM29" s="132">
        <v>58059</v>
      </c>
      <c r="JN29" s="132">
        <v>11993</v>
      </c>
    </row>
    <row r="30" spans="1:274" s="132" customFormat="1" x14ac:dyDescent="0.25">
      <c r="A30" s="134" t="s">
        <v>448</v>
      </c>
      <c r="B30" s="134"/>
      <c r="C30" s="134" t="s">
        <v>1069</v>
      </c>
      <c r="D30" s="134"/>
      <c r="E30" s="135"/>
      <c r="F30" s="134"/>
      <c r="G30" s="134" t="s">
        <v>449</v>
      </c>
      <c r="Q30" s="132">
        <v>691586</v>
      </c>
      <c r="AH30" s="132">
        <v>2508791</v>
      </c>
      <c r="AI30" s="132">
        <v>839725</v>
      </c>
      <c r="AJ30" s="132">
        <v>448394</v>
      </c>
      <c r="AK30" s="132">
        <v>217688</v>
      </c>
      <c r="AL30" s="132">
        <v>0</v>
      </c>
      <c r="CW30" s="132">
        <v>5119</v>
      </c>
      <c r="CX30" s="132">
        <v>5873</v>
      </c>
      <c r="CZ30" s="132">
        <v>18</v>
      </c>
      <c r="DA30" s="132">
        <v>5178</v>
      </c>
      <c r="DC30" s="132">
        <v>2864</v>
      </c>
      <c r="DE30" s="132">
        <v>905</v>
      </c>
      <c r="DF30" s="132">
        <v>8925</v>
      </c>
      <c r="DG30" s="132">
        <v>156</v>
      </c>
      <c r="DI30" s="132">
        <v>788</v>
      </c>
      <c r="DJ30" s="132">
        <v>2770</v>
      </c>
      <c r="DL30" s="132">
        <v>2562</v>
      </c>
      <c r="DM30" s="132">
        <v>7026</v>
      </c>
      <c r="DN30" s="132">
        <v>1360</v>
      </c>
      <c r="DQ30" s="132">
        <v>139</v>
      </c>
      <c r="DR30" s="132">
        <v>1260</v>
      </c>
      <c r="DS30" s="132">
        <v>8457</v>
      </c>
      <c r="DT30" s="132">
        <v>1884</v>
      </c>
      <c r="EA30" s="132">
        <v>405297</v>
      </c>
      <c r="EB30" s="132">
        <v>464994</v>
      </c>
      <c r="ED30" s="132">
        <v>1425</v>
      </c>
      <c r="EE30" s="132">
        <v>409968</v>
      </c>
      <c r="EG30" s="132">
        <v>226757</v>
      </c>
      <c r="EI30" s="132">
        <v>71653</v>
      </c>
      <c r="EJ30" s="132">
        <v>706636</v>
      </c>
      <c r="EK30" s="132">
        <v>12351</v>
      </c>
      <c r="EM30" s="132">
        <v>62390</v>
      </c>
      <c r="EN30" s="132">
        <v>219315</v>
      </c>
      <c r="EP30" s="132">
        <v>202846</v>
      </c>
      <c r="EQ30" s="132">
        <v>556283</v>
      </c>
      <c r="ER30" s="132">
        <v>107678</v>
      </c>
      <c r="EU30" s="132">
        <v>11005</v>
      </c>
      <c r="EV30" s="132">
        <v>99760</v>
      </c>
      <c r="EW30" s="132">
        <v>669583</v>
      </c>
      <c r="EX30" s="132">
        <v>149166</v>
      </c>
      <c r="IQ30" s="132">
        <v>214338</v>
      </c>
      <c r="IR30" s="132">
        <v>245908</v>
      </c>
      <c r="IT30" s="132">
        <v>754</v>
      </c>
      <c r="IU30" s="132">
        <v>216811</v>
      </c>
      <c r="IW30" s="132">
        <v>119919</v>
      </c>
      <c r="IY30" s="132">
        <v>37893</v>
      </c>
      <c r="IZ30" s="132">
        <v>373699</v>
      </c>
      <c r="JA30" s="132">
        <v>6531</v>
      </c>
      <c r="JC30" s="132">
        <v>32995</v>
      </c>
      <c r="JD30" s="132">
        <v>115983</v>
      </c>
      <c r="JF30" s="132">
        <v>107273</v>
      </c>
      <c r="JG30" s="132">
        <v>294185</v>
      </c>
      <c r="JH30" s="132">
        <v>56945</v>
      </c>
      <c r="JK30" s="132">
        <v>5819</v>
      </c>
      <c r="JL30" s="132">
        <v>52757</v>
      </c>
      <c r="JM30" s="132">
        <v>354103</v>
      </c>
      <c r="JN30" s="132">
        <v>78884</v>
      </c>
    </row>
    <row r="31" spans="1:274" s="132" customFormat="1" x14ac:dyDescent="0.25">
      <c r="A31" s="134" t="s">
        <v>378</v>
      </c>
      <c r="B31" s="134"/>
      <c r="C31" s="134" t="s">
        <v>1069</v>
      </c>
      <c r="D31" s="134"/>
      <c r="E31" s="135"/>
      <c r="F31" s="134"/>
      <c r="G31" s="134" t="s">
        <v>379</v>
      </c>
      <c r="Q31" s="132">
        <v>2186895</v>
      </c>
      <c r="AH31" s="132">
        <v>4587624</v>
      </c>
      <c r="AI31" s="132">
        <v>2845647</v>
      </c>
      <c r="AJ31" s="132">
        <v>1037167</v>
      </c>
      <c r="AK31" s="132">
        <v>788402</v>
      </c>
      <c r="AL31" s="132">
        <v>0</v>
      </c>
      <c r="CW31" s="132">
        <v>248960</v>
      </c>
      <c r="CX31" s="132">
        <v>395792</v>
      </c>
      <c r="CZ31" s="132">
        <v>135952</v>
      </c>
      <c r="DA31" s="132">
        <v>256128</v>
      </c>
      <c r="DB31" s="132">
        <v>67536</v>
      </c>
      <c r="DF31" s="132">
        <v>386192</v>
      </c>
      <c r="DG31" s="132">
        <v>135872</v>
      </c>
      <c r="DH31" s="132">
        <v>92848</v>
      </c>
      <c r="DJ31" s="132">
        <v>136096</v>
      </c>
      <c r="DL31" s="132">
        <v>49504</v>
      </c>
      <c r="DM31" s="132">
        <v>335536</v>
      </c>
      <c r="DN31" s="132">
        <v>27520</v>
      </c>
      <c r="DP31" s="132">
        <v>52224</v>
      </c>
      <c r="DQ31" s="132">
        <v>101776</v>
      </c>
      <c r="DR31" s="132">
        <v>138992</v>
      </c>
      <c r="DS31" s="132">
        <v>437232</v>
      </c>
      <c r="DT31" s="132">
        <v>192848</v>
      </c>
      <c r="EA31" s="132">
        <v>714795</v>
      </c>
      <c r="EB31" s="132">
        <v>1348974</v>
      </c>
      <c r="ED31" s="132">
        <v>362202</v>
      </c>
      <c r="EE31" s="132">
        <v>773509</v>
      </c>
      <c r="EF31" s="132">
        <v>367060</v>
      </c>
      <c r="EJ31" s="132">
        <v>1527226</v>
      </c>
      <c r="EK31" s="132">
        <v>427821</v>
      </c>
      <c r="EL31" s="132">
        <v>666023</v>
      </c>
      <c r="EN31" s="132">
        <v>635268</v>
      </c>
      <c r="EP31" s="132">
        <v>253106</v>
      </c>
      <c r="EQ31" s="132">
        <v>952195</v>
      </c>
      <c r="ER31" s="132">
        <v>138601</v>
      </c>
      <c r="ET31" s="132">
        <v>157756</v>
      </c>
      <c r="EU31" s="132">
        <v>284801</v>
      </c>
      <c r="EV31" s="132">
        <v>456814</v>
      </c>
      <c r="EW31" s="132">
        <v>1056906</v>
      </c>
      <c r="EX31" s="132">
        <v>743420</v>
      </c>
      <c r="IQ31" s="132">
        <v>215412</v>
      </c>
      <c r="IR31" s="132">
        <v>362768</v>
      </c>
      <c r="IT31" s="132">
        <v>23819</v>
      </c>
      <c r="IU31" s="132">
        <v>136560</v>
      </c>
      <c r="IV31" s="132">
        <v>89519</v>
      </c>
      <c r="IZ31" s="132">
        <v>113559</v>
      </c>
      <c r="JA31" s="132">
        <v>26090</v>
      </c>
      <c r="JB31" s="132">
        <v>40433</v>
      </c>
      <c r="JD31" s="132">
        <v>40404</v>
      </c>
      <c r="JF31" s="132">
        <v>29711</v>
      </c>
      <c r="JG31" s="132">
        <v>47159</v>
      </c>
      <c r="JH31" s="132">
        <v>34670</v>
      </c>
      <c r="JJ31" s="132">
        <v>27851</v>
      </c>
      <c r="JK31" s="132">
        <v>10266</v>
      </c>
      <c r="JL31" s="132">
        <v>59346</v>
      </c>
      <c r="JM31" s="132">
        <v>29222</v>
      </c>
      <c r="JN31" s="132">
        <v>142012</v>
      </c>
    </row>
    <row r="32" spans="1:274" s="132" customFormat="1" x14ac:dyDescent="0.25">
      <c r="A32" s="134" t="s">
        <v>380</v>
      </c>
      <c r="B32" s="134"/>
      <c r="C32" s="134" t="s">
        <v>1069</v>
      </c>
      <c r="D32" s="134"/>
      <c r="E32" s="135"/>
      <c r="F32" s="134"/>
      <c r="G32" s="134" t="s">
        <v>381</v>
      </c>
      <c r="Q32" s="132">
        <v>2283136</v>
      </c>
      <c r="AH32" s="132">
        <v>5418760</v>
      </c>
      <c r="AI32" s="132">
        <v>1373821</v>
      </c>
      <c r="AJ32" s="132">
        <v>680022</v>
      </c>
      <c r="AK32" s="132">
        <v>1358874</v>
      </c>
      <c r="AL32" s="132">
        <v>0</v>
      </c>
      <c r="CU32" s="132">
        <v>68480</v>
      </c>
      <c r="CV32" s="132">
        <v>187472</v>
      </c>
      <c r="CW32" s="132">
        <v>295536</v>
      </c>
      <c r="CX32" s="132">
        <v>386112</v>
      </c>
      <c r="CY32" s="132">
        <v>50616</v>
      </c>
      <c r="CZ32" s="132">
        <v>14624</v>
      </c>
      <c r="DA32" s="132">
        <v>186968</v>
      </c>
      <c r="DB32" s="132">
        <v>59616</v>
      </c>
      <c r="DC32" s="132">
        <v>18258</v>
      </c>
      <c r="DE32" s="132">
        <v>227668</v>
      </c>
      <c r="DF32" s="132">
        <v>316075</v>
      </c>
      <c r="DG32" s="132">
        <v>43008</v>
      </c>
      <c r="DH32" s="132">
        <v>82720</v>
      </c>
      <c r="DJ32" s="132">
        <v>90352</v>
      </c>
      <c r="DL32" s="132">
        <v>45568</v>
      </c>
      <c r="DM32" s="132">
        <v>222000</v>
      </c>
      <c r="DN32" s="132">
        <v>50816</v>
      </c>
      <c r="DO32" s="132">
        <v>20992</v>
      </c>
      <c r="DQ32" s="132">
        <v>123404</v>
      </c>
      <c r="DR32" s="132">
        <v>11216</v>
      </c>
      <c r="DS32" s="132">
        <v>304560</v>
      </c>
      <c r="DT32" s="132">
        <v>91760</v>
      </c>
      <c r="DY32" s="132">
        <v>124092</v>
      </c>
      <c r="DZ32" s="132">
        <v>778466</v>
      </c>
      <c r="EA32" s="132">
        <v>844903</v>
      </c>
      <c r="EB32" s="132">
        <v>860243</v>
      </c>
      <c r="EC32" s="132">
        <v>116993</v>
      </c>
      <c r="ED32" s="132">
        <v>98991</v>
      </c>
      <c r="EE32" s="132">
        <v>661138</v>
      </c>
      <c r="EF32" s="132">
        <v>555024</v>
      </c>
      <c r="EG32" s="132">
        <v>267435</v>
      </c>
      <c r="EI32" s="132">
        <v>332349</v>
      </c>
      <c r="EJ32" s="132">
        <v>1389240</v>
      </c>
      <c r="EK32" s="132">
        <v>216343</v>
      </c>
      <c r="EL32" s="132">
        <v>643836</v>
      </c>
      <c r="EN32" s="132">
        <v>258627</v>
      </c>
      <c r="EP32" s="132">
        <v>232504</v>
      </c>
      <c r="EQ32" s="132">
        <v>894046</v>
      </c>
      <c r="ER32" s="132">
        <v>137482</v>
      </c>
      <c r="ES32" s="132">
        <v>170879</v>
      </c>
      <c r="EU32" s="132">
        <v>389634</v>
      </c>
      <c r="EV32" s="132">
        <v>90853</v>
      </c>
      <c r="EW32" s="132">
        <v>1261067</v>
      </c>
      <c r="EX32" s="132">
        <v>471647</v>
      </c>
      <c r="IO32" s="132">
        <v>12468</v>
      </c>
      <c r="IP32" s="132">
        <v>98565</v>
      </c>
      <c r="IQ32" s="132">
        <v>178275</v>
      </c>
      <c r="IR32" s="132">
        <v>65953</v>
      </c>
      <c r="IS32" s="132">
        <v>0</v>
      </c>
      <c r="IT32" s="132">
        <v>22661</v>
      </c>
      <c r="IU32" s="132">
        <v>238390</v>
      </c>
      <c r="IV32" s="132">
        <v>92080</v>
      </c>
      <c r="IW32" s="132">
        <v>77086</v>
      </c>
      <c r="IY32" s="132">
        <v>30942</v>
      </c>
      <c r="IZ32" s="132">
        <v>67653</v>
      </c>
      <c r="JA32" s="132">
        <v>5447</v>
      </c>
      <c r="JB32" s="132">
        <v>23212</v>
      </c>
      <c r="JD32" s="132">
        <v>32211</v>
      </c>
      <c r="JF32" s="132">
        <v>11545</v>
      </c>
      <c r="JG32" s="132">
        <v>123366</v>
      </c>
      <c r="JH32" s="132">
        <v>2447</v>
      </c>
      <c r="JI32" s="132">
        <v>6020</v>
      </c>
      <c r="JK32" s="132">
        <v>148725</v>
      </c>
      <c r="JL32" s="132">
        <v>1123</v>
      </c>
      <c r="JM32" s="132">
        <v>39490</v>
      </c>
      <c r="JN32" s="132">
        <v>160768</v>
      </c>
    </row>
    <row r="33" spans="1:274" s="132" customFormat="1" ht="15" customHeight="1" x14ac:dyDescent="0.25">
      <c r="A33" s="134" t="s">
        <v>382</v>
      </c>
      <c r="B33" s="134"/>
      <c r="C33" s="134" t="s">
        <v>1069</v>
      </c>
      <c r="D33" s="134"/>
      <c r="E33" s="135"/>
      <c r="F33" s="134"/>
      <c r="G33" s="134" t="s">
        <v>383</v>
      </c>
      <c r="Q33" s="132">
        <v>509007</v>
      </c>
      <c r="AH33" s="132">
        <v>3812497</v>
      </c>
      <c r="AI33" s="132">
        <v>1331434</v>
      </c>
      <c r="AJ33" s="132">
        <v>1150462</v>
      </c>
      <c r="AK33" s="132">
        <v>410587</v>
      </c>
      <c r="AL33" s="132">
        <v>0</v>
      </c>
      <c r="CV33" s="132">
        <v>7528</v>
      </c>
      <c r="CW33" s="132">
        <v>245476</v>
      </c>
      <c r="CX33" s="132">
        <v>280305</v>
      </c>
      <c r="CZ33" s="132">
        <v>26850</v>
      </c>
      <c r="DA33" s="132">
        <v>140278</v>
      </c>
      <c r="DB33" s="132">
        <v>75362</v>
      </c>
      <c r="DC33" s="132">
        <v>222211</v>
      </c>
      <c r="DF33" s="132">
        <v>460992</v>
      </c>
      <c r="DG33" s="132">
        <v>54352</v>
      </c>
      <c r="DH33" s="132">
        <v>170693</v>
      </c>
      <c r="DJ33" s="132">
        <v>327825</v>
      </c>
      <c r="DK33" s="132">
        <v>11656</v>
      </c>
      <c r="DL33" s="132">
        <v>109216</v>
      </c>
      <c r="DM33" s="132">
        <v>264680</v>
      </c>
      <c r="DO33" s="132">
        <v>22860</v>
      </c>
      <c r="DQ33" s="132">
        <v>97824</v>
      </c>
      <c r="DR33" s="132">
        <v>118576</v>
      </c>
      <c r="DS33" s="132">
        <v>466512</v>
      </c>
      <c r="DT33" s="132">
        <v>271676</v>
      </c>
      <c r="DZ33" s="132">
        <v>415354</v>
      </c>
      <c r="EA33" s="132">
        <v>535720</v>
      </c>
      <c r="EB33" s="132">
        <v>778286</v>
      </c>
      <c r="ED33" s="132">
        <v>40090</v>
      </c>
      <c r="EE33" s="132">
        <v>881052</v>
      </c>
      <c r="EF33" s="132">
        <v>27066</v>
      </c>
      <c r="EG33" s="132">
        <v>456935</v>
      </c>
      <c r="EJ33" s="132">
        <v>1372419</v>
      </c>
      <c r="EK33" s="132">
        <v>121674</v>
      </c>
      <c r="EL33" s="132">
        <v>1164441</v>
      </c>
      <c r="EN33" s="132">
        <v>879364</v>
      </c>
      <c r="EO33" s="132">
        <v>98855</v>
      </c>
      <c r="EP33" s="132">
        <v>278255</v>
      </c>
      <c r="EQ33" s="132">
        <v>559570</v>
      </c>
      <c r="ES33" s="132">
        <v>0</v>
      </c>
      <c r="EU33" s="132">
        <v>522858</v>
      </c>
      <c r="EV33" s="132">
        <v>118362</v>
      </c>
      <c r="EW33" s="132">
        <v>677059</v>
      </c>
      <c r="EX33" s="132">
        <v>833625</v>
      </c>
      <c r="IP33" s="132">
        <v>74445</v>
      </c>
      <c r="IQ33" s="132">
        <v>50092</v>
      </c>
      <c r="IR33" s="132">
        <v>198165</v>
      </c>
      <c r="IT33" s="132">
        <v>7053</v>
      </c>
      <c r="IU33" s="132">
        <v>220789</v>
      </c>
      <c r="IV33" s="132">
        <v>119316</v>
      </c>
      <c r="IW33" s="132">
        <v>727575</v>
      </c>
      <c r="IZ33" s="132">
        <v>98372</v>
      </c>
      <c r="JA33" s="132">
        <v>18166</v>
      </c>
      <c r="JB33" s="132">
        <v>133105</v>
      </c>
      <c r="JD33" s="132">
        <v>253520</v>
      </c>
      <c r="JE33" s="132">
        <v>14013</v>
      </c>
      <c r="JF33" s="132">
        <v>18976</v>
      </c>
      <c r="JG33" s="132">
        <v>82675</v>
      </c>
      <c r="JI33" s="132">
        <v>0</v>
      </c>
      <c r="JK33" s="132">
        <v>62562</v>
      </c>
      <c r="JL33" s="132">
        <v>353151</v>
      </c>
      <c r="JM33" s="132">
        <v>44499</v>
      </c>
      <c r="JN33" s="132">
        <v>161669</v>
      </c>
    </row>
    <row r="34" spans="1:274" s="132" customFormat="1" x14ac:dyDescent="0.25">
      <c r="A34" s="134" t="s">
        <v>433</v>
      </c>
      <c r="B34" s="134"/>
      <c r="C34" s="134" t="s">
        <v>1069</v>
      </c>
      <c r="D34" s="134"/>
      <c r="E34" s="135"/>
      <c r="F34" s="134"/>
      <c r="G34" s="134" t="s">
        <v>434</v>
      </c>
      <c r="Q34" s="132">
        <v>1536338</v>
      </c>
      <c r="AH34" s="132">
        <v>2542238</v>
      </c>
      <c r="AI34" s="132">
        <v>1514715</v>
      </c>
      <c r="AJ34" s="132">
        <v>553232</v>
      </c>
      <c r="AK34" s="132">
        <v>2412743</v>
      </c>
      <c r="AL34" s="132">
        <v>276591</v>
      </c>
      <c r="CU34" s="132">
        <v>5488</v>
      </c>
      <c r="CV34" s="132">
        <v>65711</v>
      </c>
      <c r="CW34" s="132">
        <v>284192</v>
      </c>
      <c r="CX34" s="132">
        <v>163899</v>
      </c>
      <c r="CY34" s="132">
        <v>13188</v>
      </c>
      <c r="CZ34" s="132">
        <v>16840</v>
      </c>
      <c r="DA34" s="132">
        <v>103718</v>
      </c>
      <c r="DC34" s="132">
        <v>32996</v>
      </c>
      <c r="DD34" s="132">
        <v>2914</v>
      </c>
      <c r="DE34" s="132">
        <v>109961</v>
      </c>
      <c r="DF34" s="132">
        <v>365544</v>
      </c>
      <c r="DG34" s="132">
        <v>65552</v>
      </c>
      <c r="DH34" s="132">
        <v>69093</v>
      </c>
      <c r="DJ34" s="132">
        <v>158941</v>
      </c>
      <c r="DK34" s="132">
        <v>9416</v>
      </c>
      <c r="DL34" s="132">
        <v>42706</v>
      </c>
      <c r="DM34" s="132">
        <v>154572</v>
      </c>
      <c r="DN34" s="132">
        <v>40520</v>
      </c>
      <c r="DO34" s="132">
        <v>37624</v>
      </c>
      <c r="DQ34" s="132">
        <v>60384</v>
      </c>
      <c r="DR34" s="132">
        <v>94920</v>
      </c>
      <c r="DS34" s="132">
        <v>328510</v>
      </c>
      <c r="DT34" s="132">
        <v>119664</v>
      </c>
      <c r="DY34" s="132">
        <v>41528</v>
      </c>
      <c r="DZ34" s="132">
        <v>232385</v>
      </c>
      <c r="EA34" s="132">
        <v>444132</v>
      </c>
      <c r="EB34" s="132">
        <v>392473</v>
      </c>
      <c r="EC34" s="132">
        <v>107336</v>
      </c>
      <c r="ED34" s="132">
        <v>104220</v>
      </c>
      <c r="EE34" s="132">
        <v>237844</v>
      </c>
      <c r="EG34" s="132">
        <v>56411</v>
      </c>
      <c r="EH34" s="132">
        <v>657</v>
      </c>
      <c r="EI34" s="132">
        <v>246267</v>
      </c>
      <c r="EJ34" s="132">
        <v>952021</v>
      </c>
      <c r="EK34" s="132">
        <v>109409</v>
      </c>
      <c r="EL34" s="132">
        <v>449921</v>
      </c>
      <c r="EN34" s="132">
        <v>509618</v>
      </c>
      <c r="EO34" s="132">
        <v>116457</v>
      </c>
      <c r="EP34" s="132">
        <v>261262</v>
      </c>
      <c r="EQ34" s="132">
        <v>459600</v>
      </c>
      <c r="ER34" s="132">
        <v>136234</v>
      </c>
      <c r="ES34" s="132">
        <v>198521</v>
      </c>
      <c r="EU34" s="132">
        <v>396855</v>
      </c>
      <c r="EV34" s="132">
        <v>180521</v>
      </c>
      <c r="EW34" s="132">
        <v>839893</v>
      </c>
      <c r="EX34" s="132">
        <v>442401</v>
      </c>
      <c r="IO34" s="132">
        <v>42359</v>
      </c>
      <c r="IP34" s="132">
        <v>105334</v>
      </c>
      <c r="IQ34" s="132">
        <v>260798</v>
      </c>
      <c r="IR34" s="132">
        <v>298038</v>
      </c>
      <c r="IS34" s="132">
        <v>20922</v>
      </c>
      <c r="IT34" s="132">
        <v>41683</v>
      </c>
      <c r="IU34" s="132">
        <v>165755</v>
      </c>
      <c r="IW34" s="132">
        <v>21245</v>
      </c>
      <c r="IX34" s="132">
        <v>1974</v>
      </c>
      <c r="IY34" s="132">
        <v>162055</v>
      </c>
      <c r="IZ34" s="132">
        <v>180153</v>
      </c>
      <c r="JA34" s="132">
        <v>46280</v>
      </c>
      <c r="JB34" s="132">
        <v>87582</v>
      </c>
      <c r="JD34" s="132">
        <v>271843</v>
      </c>
      <c r="JE34" s="132">
        <v>14844</v>
      </c>
      <c r="JF34" s="132">
        <v>25462</v>
      </c>
      <c r="JG34" s="132">
        <v>102231</v>
      </c>
      <c r="JH34" s="132">
        <v>49781</v>
      </c>
      <c r="JI34" s="132">
        <v>343736</v>
      </c>
      <c r="JK34" s="132">
        <v>32431</v>
      </c>
      <c r="JL34" s="132">
        <v>66360</v>
      </c>
      <c r="JM34" s="132">
        <v>35362</v>
      </c>
      <c r="JN34" s="132">
        <v>40780</v>
      </c>
    </row>
    <row r="35" spans="1:274" s="132" customFormat="1" ht="15" customHeight="1" x14ac:dyDescent="0.25">
      <c r="A35" s="134" t="s">
        <v>384</v>
      </c>
      <c r="B35" s="134"/>
      <c r="C35" s="134" t="s">
        <v>1069</v>
      </c>
      <c r="D35" s="134"/>
      <c r="E35" s="135"/>
      <c r="F35" s="134"/>
      <c r="G35" s="134" t="s">
        <v>385</v>
      </c>
      <c r="Q35" s="132">
        <v>998656</v>
      </c>
      <c r="AH35" s="132">
        <v>2207219</v>
      </c>
      <c r="AI35" s="132">
        <v>1416578</v>
      </c>
      <c r="AJ35" s="132">
        <v>1087379</v>
      </c>
      <c r="AK35" s="132">
        <v>1082608</v>
      </c>
      <c r="AL35" s="132">
        <v>0</v>
      </c>
      <c r="CU35" s="132">
        <v>9124</v>
      </c>
      <c r="CV35" s="132">
        <v>18992</v>
      </c>
      <c r="CW35" s="132">
        <v>228992</v>
      </c>
      <c r="CX35" s="132">
        <v>241678</v>
      </c>
      <c r="CZ35" s="132">
        <v>26096</v>
      </c>
      <c r="DA35" s="132">
        <v>235682</v>
      </c>
      <c r="DC35" s="132">
        <v>62512</v>
      </c>
      <c r="DD35" s="132">
        <v>896</v>
      </c>
      <c r="DE35" s="132">
        <v>10641</v>
      </c>
      <c r="DF35" s="132">
        <v>453226</v>
      </c>
      <c r="DG35" s="132">
        <v>14638</v>
      </c>
      <c r="DH35" s="132">
        <v>68648</v>
      </c>
      <c r="DJ35" s="132">
        <v>75955</v>
      </c>
      <c r="DL35" s="132">
        <v>111360</v>
      </c>
      <c r="DM35" s="132">
        <v>267500</v>
      </c>
      <c r="DN35" s="132">
        <v>1350</v>
      </c>
      <c r="DO35" s="132">
        <v>43880</v>
      </c>
      <c r="DQ35" s="132">
        <v>106416</v>
      </c>
      <c r="DR35" s="132">
        <v>122692</v>
      </c>
      <c r="DS35" s="132">
        <v>326962</v>
      </c>
      <c r="DT35" s="132">
        <v>121968</v>
      </c>
      <c r="DY35" s="132">
        <v>46270</v>
      </c>
      <c r="DZ35" s="132">
        <v>46265</v>
      </c>
      <c r="EA35" s="132">
        <v>468804</v>
      </c>
      <c r="EB35" s="132">
        <v>502836</v>
      </c>
      <c r="ED35" s="132">
        <v>48470</v>
      </c>
      <c r="EE35" s="132">
        <v>481719</v>
      </c>
      <c r="EG35" s="132">
        <v>99049</v>
      </c>
      <c r="EH35" s="132">
        <v>9224</v>
      </c>
      <c r="EI35" s="132">
        <v>55819</v>
      </c>
      <c r="EJ35" s="132">
        <v>1001954</v>
      </c>
      <c r="EK35" s="132">
        <v>27256</v>
      </c>
      <c r="EL35" s="132">
        <v>486199</v>
      </c>
      <c r="EN35" s="132">
        <v>215414</v>
      </c>
      <c r="EP35" s="132">
        <v>322711</v>
      </c>
      <c r="EQ35" s="132">
        <v>546335</v>
      </c>
      <c r="ER35" s="132">
        <v>0</v>
      </c>
      <c r="ES35" s="132">
        <v>142492</v>
      </c>
      <c r="EU35" s="132">
        <v>311009</v>
      </c>
      <c r="EV35" s="132">
        <v>291970</v>
      </c>
      <c r="EW35" s="132">
        <v>578576</v>
      </c>
      <c r="EX35" s="132">
        <v>369536</v>
      </c>
      <c r="IO35" s="132">
        <v>6158</v>
      </c>
      <c r="IP35" s="132">
        <v>12817</v>
      </c>
      <c r="IQ35" s="132">
        <v>44580</v>
      </c>
      <c r="IR35" s="132">
        <v>31657</v>
      </c>
      <c r="IT35" s="132">
        <v>103899</v>
      </c>
      <c r="IU35" s="132">
        <v>57010</v>
      </c>
      <c r="IW35" s="132">
        <v>3380</v>
      </c>
      <c r="IX35" s="132">
        <v>0</v>
      </c>
      <c r="IY35" s="132">
        <v>9346</v>
      </c>
      <c r="IZ35" s="132">
        <v>54626</v>
      </c>
      <c r="JA35" s="132">
        <v>555</v>
      </c>
      <c r="JB35" s="132">
        <v>40605</v>
      </c>
      <c r="JD35" s="132">
        <v>23438</v>
      </c>
      <c r="JF35" s="132">
        <v>56139</v>
      </c>
      <c r="JG35" s="132">
        <v>17127</v>
      </c>
      <c r="JH35" s="132">
        <v>0</v>
      </c>
      <c r="JI35" s="132">
        <v>31671</v>
      </c>
      <c r="JK35" s="132">
        <v>27190</v>
      </c>
      <c r="JL35" s="132">
        <v>42723</v>
      </c>
      <c r="JM35" s="132">
        <v>89413</v>
      </c>
      <c r="JN35" s="132">
        <v>75650</v>
      </c>
    </row>
    <row r="36" spans="1:274" s="132" customFormat="1" x14ac:dyDescent="0.25">
      <c r="A36" s="134" t="s">
        <v>362</v>
      </c>
      <c r="B36" s="134"/>
      <c r="C36" s="134" t="s">
        <v>1069</v>
      </c>
      <c r="D36" s="134"/>
      <c r="E36" s="135"/>
      <c r="F36" s="134"/>
      <c r="G36" s="134" t="s">
        <v>363</v>
      </c>
      <c r="Q36" s="132">
        <v>426975</v>
      </c>
      <c r="AH36" s="132">
        <v>1703896</v>
      </c>
      <c r="AI36" s="132">
        <v>771553</v>
      </c>
      <c r="AJ36" s="132">
        <v>341106</v>
      </c>
      <c r="AK36" s="132">
        <v>1033499</v>
      </c>
      <c r="AL36" s="132">
        <v>0</v>
      </c>
      <c r="CU36" s="132">
        <v>40092</v>
      </c>
      <c r="CV36" s="132">
        <v>18272</v>
      </c>
      <c r="CW36" s="132">
        <v>172400</v>
      </c>
      <c r="CX36" s="132">
        <v>88454</v>
      </c>
      <c r="DA36" s="132">
        <v>124045</v>
      </c>
      <c r="DC36" s="132">
        <v>62406</v>
      </c>
      <c r="DE36" s="132">
        <v>17172</v>
      </c>
      <c r="DF36" s="132">
        <v>312048</v>
      </c>
      <c r="DG36" s="132">
        <v>35072</v>
      </c>
      <c r="DH36" s="132">
        <v>73232</v>
      </c>
      <c r="DJ36" s="132">
        <v>59653</v>
      </c>
      <c r="DL36" s="132">
        <v>156464</v>
      </c>
      <c r="DM36" s="132">
        <v>241488</v>
      </c>
      <c r="DQ36" s="132">
        <v>64896</v>
      </c>
      <c r="DR36" s="132">
        <v>29280</v>
      </c>
      <c r="DS36" s="132">
        <v>487776</v>
      </c>
      <c r="DT36" s="132">
        <v>85064</v>
      </c>
      <c r="DY36" s="132">
        <v>174486</v>
      </c>
      <c r="DZ36" s="132">
        <v>98059</v>
      </c>
      <c r="EA36" s="132">
        <v>342085</v>
      </c>
      <c r="EB36" s="132">
        <v>130143</v>
      </c>
      <c r="EE36" s="132">
        <v>319295</v>
      </c>
      <c r="EG36" s="132">
        <v>80018</v>
      </c>
      <c r="EI36" s="132">
        <v>57736</v>
      </c>
      <c r="EJ36" s="132">
        <v>695254</v>
      </c>
      <c r="EK36" s="132">
        <v>98907</v>
      </c>
      <c r="EL36" s="132">
        <v>330340</v>
      </c>
      <c r="EN36" s="132">
        <v>213461</v>
      </c>
      <c r="EP36" s="132">
        <v>415177</v>
      </c>
      <c r="EQ36" s="132">
        <v>439227</v>
      </c>
      <c r="EU36" s="132">
        <v>220709</v>
      </c>
      <c r="EV36" s="132">
        <v>81062</v>
      </c>
      <c r="EW36" s="132">
        <v>795603</v>
      </c>
      <c r="EX36" s="132">
        <v>215846</v>
      </c>
      <c r="IO36" s="132">
        <v>122666</v>
      </c>
      <c r="IP36" s="132">
        <v>19430</v>
      </c>
      <c r="IQ36" s="132">
        <v>74499</v>
      </c>
      <c r="IR36" s="132">
        <v>49194</v>
      </c>
      <c r="IU36" s="132">
        <v>382475</v>
      </c>
      <c r="IW36" s="132">
        <v>22569</v>
      </c>
      <c r="IY36" s="132">
        <v>62650</v>
      </c>
      <c r="IZ36" s="132">
        <v>56547</v>
      </c>
      <c r="JA36" s="132">
        <v>16300</v>
      </c>
      <c r="JB36" s="132">
        <v>28742</v>
      </c>
      <c r="JD36" s="132">
        <v>60172</v>
      </c>
      <c r="JF36" s="132">
        <v>55851</v>
      </c>
      <c r="JG36" s="132">
        <v>21263</v>
      </c>
      <c r="JK36" s="132">
        <v>14371</v>
      </c>
      <c r="JL36" s="132">
        <v>2766</v>
      </c>
      <c r="JM36" s="132">
        <v>68495</v>
      </c>
      <c r="JN36" s="132">
        <v>50995</v>
      </c>
    </row>
    <row r="37" spans="1:274" s="132" customFormat="1" x14ac:dyDescent="0.25">
      <c r="A37" s="134" t="s">
        <v>443</v>
      </c>
      <c r="B37" s="134"/>
      <c r="C37" s="134" t="s">
        <v>1069</v>
      </c>
      <c r="D37" s="134"/>
      <c r="E37" s="135"/>
      <c r="F37" s="134"/>
      <c r="G37" s="134" t="s">
        <v>1074</v>
      </c>
      <c r="Q37" s="132">
        <v>4625228</v>
      </c>
      <c r="AH37" s="132">
        <v>15428719</v>
      </c>
      <c r="AI37" s="132">
        <v>7939313</v>
      </c>
      <c r="AJ37" s="132">
        <v>4090176</v>
      </c>
      <c r="AK37" s="132">
        <v>11607316</v>
      </c>
      <c r="AL37" s="132">
        <v>0</v>
      </c>
      <c r="CU37" s="132">
        <v>12192</v>
      </c>
      <c r="CV37" s="132">
        <v>223706</v>
      </c>
      <c r="CW37" s="132">
        <v>1259696</v>
      </c>
      <c r="CX37" s="132">
        <v>895424</v>
      </c>
      <c r="CY37" s="132">
        <v>884</v>
      </c>
      <c r="CZ37" s="132">
        <v>89144</v>
      </c>
      <c r="DA37" s="132">
        <v>891683</v>
      </c>
      <c r="DB37" s="132">
        <v>2310</v>
      </c>
      <c r="DC37" s="132">
        <v>233789</v>
      </c>
      <c r="DD37" s="132">
        <v>2368</v>
      </c>
      <c r="DE37" s="132">
        <v>165116</v>
      </c>
      <c r="DF37" s="132">
        <v>2325470</v>
      </c>
      <c r="DG37" s="132">
        <v>231780</v>
      </c>
      <c r="DH37" s="132">
        <v>156558</v>
      </c>
      <c r="DJ37" s="132">
        <v>353965</v>
      </c>
      <c r="DK37" s="132">
        <v>30464</v>
      </c>
      <c r="DL37" s="132">
        <v>126144</v>
      </c>
      <c r="DM37" s="132">
        <v>1777492</v>
      </c>
      <c r="DN37" s="132">
        <v>34584</v>
      </c>
      <c r="DO37" s="132">
        <v>49968</v>
      </c>
      <c r="DP37" s="132">
        <v>12794</v>
      </c>
      <c r="DQ37" s="132">
        <v>293232</v>
      </c>
      <c r="DR37" s="132">
        <v>178210</v>
      </c>
      <c r="DS37" s="132">
        <v>2205216</v>
      </c>
      <c r="DT37" s="132">
        <v>526816</v>
      </c>
      <c r="DY37" s="132">
        <v>49804</v>
      </c>
      <c r="DZ37" s="132">
        <v>713473</v>
      </c>
      <c r="EA37" s="132">
        <v>3250164</v>
      </c>
      <c r="EB37" s="132">
        <v>2276293</v>
      </c>
      <c r="EC37" s="132">
        <v>9281</v>
      </c>
      <c r="ED37" s="132">
        <v>214919</v>
      </c>
      <c r="EE37" s="132">
        <v>2962173</v>
      </c>
      <c r="EF37" s="132">
        <v>7893</v>
      </c>
      <c r="EG37" s="132">
        <v>627171</v>
      </c>
      <c r="EH37" s="132">
        <v>7748</v>
      </c>
      <c r="EI37" s="132">
        <v>505122</v>
      </c>
      <c r="EJ37" s="132">
        <v>4172679</v>
      </c>
      <c r="EK37" s="132">
        <v>440275</v>
      </c>
      <c r="EL37" s="132">
        <v>1048353</v>
      </c>
      <c r="EN37" s="132">
        <v>1171230</v>
      </c>
      <c r="EO37" s="132">
        <v>193361</v>
      </c>
      <c r="EP37" s="132">
        <v>491057</v>
      </c>
      <c r="EQ37" s="132">
        <v>3621295</v>
      </c>
      <c r="ER37" s="132">
        <v>151937</v>
      </c>
      <c r="ES37" s="132">
        <v>220558</v>
      </c>
      <c r="ET37" s="132">
        <v>54449</v>
      </c>
      <c r="EU37" s="132">
        <v>935966</v>
      </c>
      <c r="EV37" s="132">
        <v>341204</v>
      </c>
      <c r="EW37" s="132">
        <v>4790069</v>
      </c>
      <c r="EX37" s="132">
        <v>1967097</v>
      </c>
      <c r="IO37" s="132">
        <v>31911</v>
      </c>
      <c r="IP37" s="132">
        <v>236985</v>
      </c>
      <c r="IQ37" s="132">
        <v>1056587</v>
      </c>
      <c r="IR37" s="132">
        <v>545674</v>
      </c>
      <c r="IS37" s="132">
        <v>815</v>
      </c>
      <c r="IT37" s="132">
        <v>68747</v>
      </c>
      <c r="IU37" s="132">
        <v>543271</v>
      </c>
      <c r="IV37" s="132">
        <v>2496</v>
      </c>
      <c r="IW37" s="132">
        <v>129627</v>
      </c>
      <c r="IX37" s="132">
        <v>2059</v>
      </c>
      <c r="IY37" s="132">
        <v>137905</v>
      </c>
      <c r="IZ37" s="132">
        <v>1377172</v>
      </c>
      <c r="JA37" s="132">
        <v>71336</v>
      </c>
      <c r="JB37" s="132">
        <v>149384</v>
      </c>
      <c r="JD37" s="132">
        <v>449975</v>
      </c>
      <c r="JE37" s="132">
        <v>42566</v>
      </c>
      <c r="JF37" s="132">
        <v>96454</v>
      </c>
      <c r="JG37" s="132">
        <v>624655</v>
      </c>
      <c r="JH37" s="132">
        <v>34292</v>
      </c>
      <c r="JI37" s="132">
        <v>77810</v>
      </c>
      <c r="JJ37" s="132">
        <v>24391</v>
      </c>
      <c r="JK37" s="132">
        <v>285529</v>
      </c>
      <c r="JL37" s="132">
        <v>53081</v>
      </c>
      <c r="JM37" s="132">
        <v>720262</v>
      </c>
      <c r="JN37" s="132">
        <v>514838</v>
      </c>
    </row>
    <row r="38" spans="1:274" s="132" customFormat="1" x14ac:dyDescent="0.25">
      <c r="A38" s="134" t="s">
        <v>446</v>
      </c>
      <c r="B38" s="134"/>
      <c r="C38" s="134" t="s">
        <v>1069</v>
      </c>
      <c r="D38" s="134"/>
      <c r="E38" s="135"/>
      <c r="F38" s="134"/>
      <c r="G38" s="134" t="s">
        <v>447</v>
      </c>
      <c r="Q38" s="132">
        <v>263775</v>
      </c>
      <c r="AH38" s="132">
        <v>1736779</v>
      </c>
      <c r="AI38" s="132">
        <v>505240</v>
      </c>
      <c r="AJ38" s="132">
        <v>238250</v>
      </c>
      <c r="AK38" s="132">
        <v>424610</v>
      </c>
      <c r="AL38" s="132">
        <v>36132</v>
      </c>
      <c r="CU38" s="132">
        <v>19576</v>
      </c>
      <c r="CV38" s="132">
        <v>16896</v>
      </c>
      <c r="CW38" s="132">
        <v>126992</v>
      </c>
      <c r="CX38" s="132">
        <v>83583</v>
      </c>
      <c r="CZ38" s="132">
        <v>2932</v>
      </c>
      <c r="DA38" s="132">
        <v>63299</v>
      </c>
      <c r="DB38" s="132">
        <v>1680</v>
      </c>
      <c r="DC38" s="132">
        <v>39815</v>
      </c>
      <c r="DE38" s="132">
        <v>992</v>
      </c>
      <c r="DF38" s="132">
        <v>146744</v>
      </c>
      <c r="DG38" s="132">
        <v>10240</v>
      </c>
      <c r="DH38" s="132">
        <v>31569</v>
      </c>
      <c r="DI38" s="132">
        <v>0</v>
      </c>
      <c r="DJ38" s="132">
        <v>38800</v>
      </c>
      <c r="DL38" s="132">
        <v>36176</v>
      </c>
      <c r="DM38" s="132">
        <v>98192</v>
      </c>
      <c r="DN38" s="132">
        <v>11152</v>
      </c>
      <c r="DO38" s="132">
        <v>22940</v>
      </c>
      <c r="DQ38" s="132">
        <v>38848</v>
      </c>
      <c r="DR38" s="132">
        <v>37612</v>
      </c>
      <c r="DS38" s="132">
        <v>172704</v>
      </c>
      <c r="DT38" s="132">
        <v>34656</v>
      </c>
      <c r="DY38" s="132">
        <v>48878</v>
      </c>
      <c r="DZ38" s="132">
        <v>85624</v>
      </c>
      <c r="EA38" s="132">
        <v>391464</v>
      </c>
      <c r="EB38" s="132">
        <v>229928</v>
      </c>
      <c r="ED38" s="132">
        <v>37381</v>
      </c>
      <c r="EE38" s="132">
        <v>218317</v>
      </c>
      <c r="EF38" s="132">
        <v>8027</v>
      </c>
      <c r="EG38" s="132">
        <v>47541</v>
      </c>
      <c r="EI38" s="132">
        <v>2530</v>
      </c>
      <c r="EJ38" s="132">
        <v>373836</v>
      </c>
      <c r="EK38" s="132">
        <v>48935</v>
      </c>
      <c r="EL38" s="132">
        <v>211561</v>
      </c>
      <c r="EM38" s="132">
        <v>0</v>
      </c>
      <c r="EN38" s="132">
        <v>70686</v>
      </c>
      <c r="EP38" s="132">
        <v>139588</v>
      </c>
      <c r="EQ38" s="132">
        <v>279855</v>
      </c>
      <c r="ER38" s="132">
        <v>56191</v>
      </c>
      <c r="ES38" s="132">
        <v>98178</v>
      </c>
      <c r="EU38" s="132">
        <v>115674</v>
      </c>
      <c r="EV38" s="132">
        <v>181968</v>
      </c>
      <c r="EW38" s="132">
        <v>366787</v>
      </c>
      <c r="EX38" s="132">
        <v>225217</v>
      </c>
      <c r="IO38" s="132">
        <v>5239</v>
      </c>
      <c r="IP38" s="132">
        <v>28825</v>
      </c>
      <c r="IQ38" s="132">
        <v>44102</v>
      </c>
      <c r="IR38" s="132">
        <v>8241</v>
      </c>
      <c r="IT38" s="132">
        <v>557</v>
      </c>
      <c r="IU38" s="132">
        <v>23190</v>
      </c>
      <c r="IV38" s="132">
        <v>2702</v>
      </c>
      <c r="IW38" s="132">
        <v>7780</v>
      </c>
      <c r="IY38" s="132">
        <v>276</v>
      </c>
      <c r="IZ38" s="132">
        <v>15607</v>
      </c>
      <c r="JA38" s="132">
        <v>1380</v>
      </c>
      <c r="JB38" s="132">
        <v>16917</v>
      </c>
      <c r="JC38" s="132">
        <v>2493</v>
      </c>
      <c r="JD38" s="132">
        <v>5358</v>
      </c>
      <c r="JF38" s="132">
        <v>12898</v>
      </c>
      <c r="JG38" s="132">
        <v>10369</v>
      </c>
      <c r="JH38" s="132">
        <v>18916</v>
      </c>
      <c r="JI38" s="132">
        <v>59189</v>
      </c>
      <c r="JK38" s="132">
        <v>2634</v>
      </c>
      <c r="JL38" s="132">
        <v>11838</v>
      </c>
      <c r="JM38" s="132">
        <v>12547</v>
      </c>
      <c r="JN38" s="132">
        <v>19962</v>
      </c>
    </row>
    <row r="39" spans="1:274" s="132" customFormat="1" x14ac:dyDescent="0.25">
      <c r="A39" s="134" t="s">
        <v>386</v>
      </c>
      <c r="B39" s="134"/>
      <c r="C39" s="134" t="s">
        <v>1069</v>
      </c>
      <c r="D39" s="134"/>
      <c r="E39" s="135"/>
      <c r="F39" s="134"/>
      <c r="G39" s="134" t="s">
        <v>387</v>
      </c>
      <c r="Q39" s="132">
        <v>1228779</v>
      </c>
      <c r="AH39" s="132">
        <v>2535657</v>
      </c>
      <c r="AI39" s="132">
        <v>1820672</v>
      </c>
      <c r="AJ39" s="132">
        <v>488656</v>
      </c>
      <c r="AK39" s="132">
        <v>1215099</v>
      </c>
      <c r="AL39" s="132">
        <v>347516</v>
      </c>
      <c r="CU39" s="132">
        <v>16800</v>
      </c>
      <c r="CV39" s="132">
        <v>33404</v>
      </c>
      <c r="CW39" s="132">
        <v>165024</v>
      </c>
      <c r="CX39" s="132">
        <v>121115</v>
      </c>
      <c r="CZ39" s="132">
        <v>1886</v>
      </c>
      <c r="DA39" s="132">
        <v>108118</v>
      </c>
      <c r="DB39" s="132">
        <v>18449</v>
      </c>
      <c r="DC39" s="132">
        <v>148378</v>
      </c>
      <c r="DE39" s="132">
        <v>59014</v>
      </c>
      <c r="DF39" s="132">
        <v>394043</v>
      </c>
      <c r="DG39" s="132">
        <v>21229</v>
      </c>
      <c r="DH39" s="132">
        <v>123142</v>
      </c>
      <c r="DJ39" s="132">
        <v>154578</v>
      </c>
      <c r="DK39" s="132">
        <v>6528</v>
      </c>
      <c r="DL39" s="132">
        <v>94390</v>
      </c>
      <c r="DM39" s="132">
        <v>196560</v>
      </c>
      <c r="DN39" s="132">
        <v>25856</v>
      </c>
      <c r="DO39" s="132">
        <v>38732</v>
      </c>
      <c r="DP39" s="132">
        <v>10878</v>
      </c>
      <c r="DQ39" s="132">
        <v>110672</v>
      </c>
      <c r="DR39" s="132">
        <v>99250</v>
      </c>
      <c r="DS39" s="132">
        <v>258816</v>
      </c>
      <c r="DT39" s="132">
        <v>77680</v>
      </c>
      <c r="DY39" s="132">
        <v>42781</v>
      </c>
      <c r="DZ39" s="132">
        <v>142640</v>
      </c>
      <c r="EA39" s="132">
        <v>394218</v>
      </c>
      <c r="EB39" s="132">
        <v>385061</v>
      </c>
      <c r="ED39" s="132">
        <v>2081</v>
      </c>
      <c r="EE39" s="132">
        <v>315811</v>
      </c>
      <c r="EF39" s="132">
        <v>28142</v>
      </c>
      <c r="EG39" s="132">
        <v>468486</v>
      </c>
      <c r="EI39" s="132">
        <v>233120</v>
      </c>
      <c r="EJ39" s="132">
        <v>932129</v>
      </c>
      <c r="EK39" s="132">
        <v>53215</v>
      </c>
      <c r="EL39" s="132">
        <v>628086</v>
      </c>
      <c r="EN39" s="132">
        <v>684442</v>
      </c>
      <c r="EO39" s="132">
        <v>102147</v>
      </c>
      <c r="EP39" s="132">
        <v>211763</v>
      </c>
      <c r="EQ39" s="132">
        <v>516445</v>
      </c>
      <c r="ER39" s="132">
        <v>6672</v>
      </c>
      <c r="ES39" s="132">
        <v>74322</v>
      </c>
      <c r="ET39" s="132">
        <v>20369</v>
      </c>
      <c r="EU39" s="132">
        <v>269649</v>
      </c>
      <c r="EV39" s="132">
        <v>350959</v>
      </c>
      <c r="EW39" s="132">
        <v>717741</v>
      </c>
      <c r="EX39" s="132">
        <v>447484</v>
      </c>
      <c r="IO39" s="132">
        <v>7836</v>
      </c>
      <c r="IP39" s="132">
        <v>69452</v>
      </c>
      <c r="IQ39" s="132">
        <v>71091</v>
      </c>
      <c r="IR39" s="132">
        <v>72202</v>
      </c>
      <c r="IT39" s="132">
        <v>14100</v>
      </c>
      <c r="IU39" s="132">
        <v>136554</v>
      </c>
      <c r="IV39" s="132">
        <v>1539</v>
      </c>
      <c r="IW39" s="132">
        <v>86784</v>
      </c>
      <c r="IY39" s="132">
        <v>64665</v>
      </c>
      <c r="IZ39" s="132">
        <v>111349</v>
      </c>
      <c r="JA39" s="132">
        <v>7698</v>
      </c>
      <c r="JB39" s="132">
        <v>146738</v>
      </c>
      <c r="JD39" s="132">
        <v>89131</v>
      </c>
      <c r="JE39" s="132">
        <v>6892</v>
      </c>
      <c r="JF39" s="132">
        <v>54740</v>
      </c>
      <c r="JG39" s="132">
        <v>71890</v>
      </c>
      <c r="JH39" s="132">
        <v>83476</v>
      </c>
      <c r="JI39" s="132">
        <v>455802</v>
      </c>
      <c r="JJ39" s="132">
        <v>9077</v>
      </c>
      <c r="JK39" s="132">
        <v>74713</v>
      </c>
      <c r="JL39" s="132">
        <v>66218</v>
      </c>
      <c r="JM39" s="132">
        <v>35618</v>
      </c>
      <c r="JN39" s="132">
        <v>100952</v>
      </c>
    </row>
    <row r="40" spans="1:274" s="132" customFormat="1" x14ac:dyDescent="0.25">
      <c r="A40" s="134" t="s">
        <v>388</v>
      </c>
      <c r="B40" s="134"/>
      <c r="C40" s="134" t="s">
        <v>1069</v>
      </c>
      <c r="D40" s="134"/>
      <c r="E40" s="135"/>
      <c r="F40" s="134"/>
      <c r="G40" s="134" t="s">
        <v>389</v>
      </c>
      <c r="Q40" s="132">
        <v>611873</v>
      </c>
      <c r="AH40" s="132">
        <v>1098744</v>
      </c>
      <c r="AI40" s="132">
        <v>758880</v>
      </c>
      <c r="AJ40" s="132">
        <v>346709</v>
      </c>
      <c r="AK40" s="132">
        <v>804857</v>
      </c>
      <c r="AL40" s="132">
        <v>0</v>
      </c>
      <c r="CU40" s="132">
        <v>24946</v>
      </c>
      <c r="CV40" s="132">
        <v>9884</v>
      </c>
      <c r="CW40" s="132">
        <v>95040</v>
      </c>
      <c r="CX40" s="132">
        <v>45700</v>
      </c>
      <c r="CZ40" s="132">
        <v>6404</v>
      </c>
      <c r="DA40" s="132">
        <v>33094</v>
      </c>
      <c r="DB40" s="132">
        <v>444</v>
      </c>
      <c r="DC40" s="132">
        <v>75520</v>
      </c>
      <c r="DE40" s="132">
        <v>72</v>
      </c>
      <c r="DF40" s="132">
        <v>102887</v>
      </c>
      <c r="DG40" s="132">
        <v>4680</v>
      </c>
      <c r="DH40" s="132">
        <v>52256</v>
      </c>
      <c r="DJ40" s="132">
        <v>66981</v>
      </c>
      <c r="DL40" s="132">
        <v>99152</v>
      </c>
      <c r="DM40" s="132">
        <v>68992</v>
      </c>
      <c r="DQ40" s="132">
        <v>36432</v>
      </c>
      <c r="DR40" s="132">
        <v>48</v>
      </c>
      <c r="DS40" s="132">
        <v>122552</v>
      </c>
      <c r="DT40" s="132">
        <v>51499</v>
      </c>
      <c r="DY40" s="132">
        <v>117790</v>
      </c>
      <c r="DZ40" s="132">
        <v>56366</v>
      </c>
      <c r="EA40" s="132">
        <v>190957</v>
      </c>
      <c r="EB40" s="132">
        <v>209981</v>
      </c>
      <c r="ED40" s="132">
        <v>40494</v>
      </c>
      <c r="EE40" s="132">
        <v>136497</v>
      </c>
      <c r="EF40" s="132">
        <v>17452</v>
      </c>
      <c r="EG40" s="132">
        <v>121966</v>
      </c>
      <c r="EI40" s="132">
        <v>55</v>
      </c>
      <c r="EJ40" s="132">
        <v>540092</v>
      </c>
      <c r="EK40" s="132">
        <v>29449</v>
      </c>
      <c r="EL40" s="132">
        <v>334548</v>
      </c>
      <c r="EN40" s="132">
        <v>239825</v>
      </c>
      <c r="EP40" s="132">
        <v>279369</v>
      </c>
      <c r="EQ40" s="132">
        <v>125248</v>
      </c>
      <c r="EU40" s="132">
        <v>144092</v>
      </c>
      <c r="EV40" s="132">
        <v>610</v>
      </c>
      <c r="EW40" s="132">
        <v>328396</v>
      </c>
      <c r="EX40" s="132">
        <v>193830</v>
      </c>
      <c r="IO40" s="132">
        <v>7990</v>
      </c>
      <c r="IP40" s="132">
        <v>11139</v>
      </c>
      <c r="IQ40" s="132">
        <v>29920</v>
      </c>
      <c r="IR40" s="132">
        <v>42657</v>
      </c>
      <c r="IT40" s="132">
        <v>8086</v>
      </c>
      <c r="IU40" s="132">
        <v>34254</v>
      </c>
      <c r="IV40" s="132">
        <v>156516</v>
      </c>
      <c r="IW40" s="132">
        <v>18377</v>
      </c>
      <c r="IY40" s="132">
        <v>192</v>
      </c>
      <c r="IZ40" s="132">
        <v>229065</v>
      </c>
      <c r="JA40" s="132">
        <v>3705</v>
      </c>
      <c r="JB40" s="132">
        <v>116717</v>
      </c>
      <c r="JD40" s="132">
        <v>391903</v>
      </c>
      <c r="JF40" s="132">
        <v>43201</v>
      </c>
      <c r="JG40" s="132">
        <v>10813</v>
      </c>
      <c r="JK40" s="132">
        <v>19111</v>
      </c>
      <c r="JL40" s="132">
        <v>2</v>
      </c>
      <c r="JM40" s="132">
        <v>91002</v>
      </c>
      <c r="JN40" s="132">
        <v>27403</v>
      </c>
    </row>
    <row r="41" spans="1:274" s="132" customFormat="1" x14ac:dyDescent="0.25">
      <c r="A41" s="134" t="s">
        <v>390</v>
      </c>
      <c r="B41" s="134"/>
      <c r="C41" s="134" t="s">
        <v>1069</v>
      </c>
      <c r="D41" s="134"/>
      <c r="E41" s="135"/>
      <c r="F41" s="134"/>
      <c r="G41" s="134" t="s">
        <v>391</v>
      </c>
      <c r="Q41" s="132">
        <v>814042</v>
      </c>
      <c r="AH41" s="132">
        <v>2118543</v>
      </c>
      <c r="AI41" s="132">
        <v>669050</v>
      </c>
      <c r="AJ41" s="132">
        <v>352369</v>
      </c>
      <c r="AK41" s="132">
        <v>510167</v>
      </c>
      <c r="AL41" s="132">
        <v>18918</v>
      </c>
      <c r="CU41" s="132">
        <v>7029</v>
      </c>
      <c r="CV41" s="132">
        <v>154001</v>
      </c>
      <c r="CW41" s="132">
        <v>231934</v>
      </c>
      <c r="CX41" s="132">
        <v>114362</v>
      </c>
      <c r="CZ41" s="132">
        <v>4218</v>
      </c>
      <c r="DA41" s="132">
        <v>97326</v>
      </c>
      <c r="DC41" s="132">
        <v>28770</v>
      </c>
      <c r="DE41" s="132">
        <v>16102</v>
      </c>
      <c r="DF41" s="132">
        <v>267067</v>
      </c>
      <c r="DG41" s="132">
        <v>23828</v>
      </c>
      <c r="DH41" s="132">
        <v>25990</v>
      </c>
      <c r="DJ41" s="132">
        <v>30768</v>
      </c>
      <c r="DL41" s="132">
        <v>57014</v>
      </c>
      <c r="DM41" s="132">
        <v>293552</v>
      </c>
      <c r="DP41" s="132">
        <v>34520</v>
      </c>
      <c r="DQ41" s="132">
        <v>75704</v>
      </c>
      <c r="DS41" s="132">
        <v>236021</v>
      </c>
      <c r="DT41" s="132">
        <v>117973</v>
      </c>
      <c r="DY41" s="132">
        <v>41141</v>
      </c>
      <c r="DZ41" s="132">
        <v>594841</v>
      </c>
      <c r="EA41" s="132">
        <v>326998</v>
      </c>
      <c r="EB41" s="132">
        <v>334826</v>
      </c>
      <c r="ED41" s="132">
        <v>37133</v>
      </c>
      <c r="EE41" s="132">
        <v>168880</v>
      </c>
      <c r="EG41" s="132">
        <v>74077</v>
      </c>
      <c r="EI41" s="132">
        <v>94340</v>
      </c>
      <c r="EJ41" s="132">
        <v>519994</v>
      </c>
      <c r="EK41" s="132">
        <v>45179</v>
      </c>
      <c r="EL41" s="132">
        <v>218770</v>
      </c>
      <c r="EN41" s="132">
        <v>29171</v>
      </c>
      <c r="EP41" s="132">
        <v>396420</v>
      </c>
      <c r="EQ41" s="132">
        <v>494849</v>
      </c>
      <c r="ET41" s="132">
        <v>73686</v>
      </c>
      <c r="EU41" s="132">
        <v>178374</v>
      </c>
      <c r="EW41" s="132">
        <v>399624</v>
      </c>
      <c r="EX41" s="132">
        <v>400921</v>
      </c>
      <c r="IO41" s="132">
        <v>11678</v>
      </c>
      <c r="IP41" s="132">
        <v>151615</v>
      </c>
      <c r="IQ41" s="132">
        <v>35454</v>
      </c>
      <c r="IR41" s="132">
        <v>20670</v>
      </c>
      <c r="IT41" s="132">
        <v>4525</v>
      </c>
      <c r="IU41" s="132">
        <v>10318</v>
      </c>
      <c r="IW41" s="132">
        <v>9891</v>
      </c>
      <c r="IY41" s="132">
        <v>24061</v>
      </c>
      <c r="IZ41" s="132">
        <v>20126</v>
      </c>
      <c r="JA41" s="132">
        <v>240</v>
      </c>
      <c r="JB41" s="132">
        <v>24298</v>
      </c>
      <c r="JD41" s="132">
        <v>61750</v>
      </c>
      <c r="JF41" s="132">
        <v>10750</v>
      </c>
      <c r="JG41" s="132">
        <v>46631</v>
      </c>
      <c r="JJ41" s="132">
        <v>25744</v>
      </c>
      <c r="JK41" s="132">
        <v>22738</v>
      </c>
      <c r="JM41" s="132">
        <v>8638</v>
      </c>
      <c r="JN41" s="132">
        <v>129254</v>
      </c>
    </row>
    <row r="42" spans="1:274" s="132" customFormat="1" x14ac:dyDescent="0.25">
      <c r="A42" s="134" t="s">
        <v>392</v>
      </c>
      <c r="B42" s="134"/>
      <c r="C42" s="134" t="s">
        <v>1069</v>
      </c>
      <c r="D42" s="134"/>
      <c r="E42" s="135"/>
      <c r="F42" s="134"/>
      <c r="G42" s="134" t="s">
        <v>393</v>
      </c>
      <c r="Q42" s="132">
        <v>112640</v>
      </c>
      <c r="AH42" s="132">
        <v>676952</v>
      </c>
      <c r="AI42" s="132">
        <v>259992</v>
      </c>
      <c r="AJ42" s="132">
        <v>88319</v>
      </c>
      <c r="AK42" s="132">
        <v>145617</v>
      </c>
      <c r="AL42" s="132">
        <v>0</v>
      </c>
      <c r="CV42" s="132">
        <v>10464</v>
      </c>
      <c r="CW42" s="132">
        <v>28128</v>
      </c>
      <c r="CX42" s="132">
        <v>14416</v>
      </c>
      <c r="CZ42" s="132">
        <v>2160</v>
      </c>
      <c r="DA42" s="132">
        <v>26048</v>
      </c>
      <c r="DC42" s="132">
        <v>33088</v>
      </c>
      <c r="DF42" s="132">
        <v>87632</v>
      </c>
      <c r="DG42" s="132">
        <v>3840</v>
      </c>
      <c r="DJ42" s="132">
        <v>7440</v>
      </c>
      <c r="DL42" s="132">
        <v>78192</v>
      </c>
      <c r="DM42" s="132">
        <v>28176</v>
      </c>
      <c r="DN42" s="132">
        <v>3936</v>
      </c>
      <c r="DQ42" s="132">
        <v>36592</v>
      </c>
      <c r="DR42" s="132">
        <v>432</v>
      </c>
      <c r="DS42" s="132">
        <v>50784</v>
      </c>
      <c r="DT42" s="132">
        <v>23856</v>
      </c>
      <c r="DZ42" s="132">
        <v>36305</v>
      </c>
      <c r="EA42" s="132">
        <v>52452</v>
      </c>
      <c r="EB42" s="132">
        <v>43367</v>
      </c>
      <c r="ED42" s="132">
        <v>1800</v>
      </c>
      <c r="EE42" s="132">
        <v>64947</v>
      </c>
      <c r="EG42" s="132">
        <v>51229</v>
      </c>
      <c r="EJ42" s="132">
        <v>191253</v>
      </c>
      <c r="EK42" s="132">
        <v>3015</v>
      </c>
      <c r="EN42" s="132">
        <v>16689</v>
      </c>
      <c r="EP42" s="132">
        <v>164034</v>
      </c>
      <c r="EQ42" s="132">
        <v>77372</v>
      </c>
      <c r="ER42" s="132">
        <v>32736</v>
      </c>
      <c r="EU42" s="132">
        <v>356847</v>
      </c>
      <c r="EV42" s="132">
        <v>1172</v>
      </c>
      <c r="EW42" s="132">
        <v>66322</v>
      </c>
      <c r="EX42" s="132">
        <v>74539</v>
      </c>
      <c r="IP42" s="132">
        <v>6595</v>
      </c>
      <c r="IQ42" s="132">
        <v>1467</v>
      </c>
      <c r="IR42" s="132">
        <v>1921</v>
      </c>
      <c r="IT42" s="132">
        <v>234</v>
      </c>
      <c r="IU42" s="132">
        <v>12270</v>
      </c>
      <c r="IW42" s="132">
        <v>44034</v>
      </c>
      <c r="IZ42" s="132">
        <v>5758</v>
      </c>
      <c r="JA42" s="132">
        <v>397</v>
      </c>
      <c r="JD42" s="132">
        <v>4163</v>
      </c>
      <c r="JF42" s="132">
        <v>12548</v>
      </c>
      <c r="JG42" s="132">
        <v>5272</v>
      </c>
      <c r="JH42" s="132">
        <v>2812</v>
      </c>
      <c r="JK42" s="132">
        <v>6578</v>
      </c>
      <c r="JL42" s="132">
        <v>394</v>
      </c>
      <c r="JM42" s="132">
        <v>4942</v>
      </c>
      <c r="JN42" s="132">
        <v>9058</v>
      </c>
    </row>
    <row r="43" spans="1:274" s="132" customFormat="1" ht="15" customHeight="1" x14ac:dyDescent="0.25">
      <c r="A43" s="134" t="s">
        <v>396</v>
      </c>
      <c r="B43" s="134"/>
      <c r="C43" s="134" t="s">
        <v>1069</v>
      </c>
      <c r="D43" s="134"/>
      <c r="E43" s="135"/>
      <c r="F43" s="134"/>
      <c r="G43" s="134" t="s">
        <v>397</v>
      </c>
      <c r="Q43" s="132">
        <v>4467750</v>
      </c>
      <c r="AH43" s="132">
        <v>10831892</v>
      </c>
      <c r="AI43" s="132">
        <v>6888486</v>
      </c>
      <c r="AJ43" s="132">
        <v>2046610</v>
      </c>
      <c r="AK43" s="132">
        <v>4568821</v>
      </c>
      <c r="AL43" s="132">
        <v>0</v>
      </c>
      <c r="CU43" s="132">
        <v>6432</v>
      </c>
      <c r="CV43" s="132">
        <v>253992</v>
      </c>
      <c r="CW43" s="132">
        <v>986888</v>
      </c>
      <c r="CX43" s="132">
        <v>596798</v>
      </c>
      <c r="CY43" s="132">
        <v>66227</v>
      </c>
      <c r="CZ43" s="132">
        <v>47650</v>
      </c>
      <c r="DA43" s="132">
        <v>548392</v>
      </c>
      <c r="DB43" s="132">
        <v>82860</v>
      </c>
      <c r="DC43" s="132">
        <v>559584</v>
      </c>
      <c r="DD43" s="132">
        <v>87342</v>
      </c>
      <c r="DE43" s="132">
        <v>126386</v>
      </c>
      <c r="DF43" s="132">
        <v>1372886</v>
      </c>
      <c r="DG43" s="132">
        <v>98856</v>
      </c>
      <c r="DH43" s="132">
        <v>305312</v>
      </c>
      <c r="DJ43" s="132">
        <v>547768</v>
      </c>
      <c r="DK43" s="132">
        <v>16480</v>
      </c>
      <c r="DL43" s="132">
        <v>316100</v>
      </c>
      <c r="DM43" s="132">
        <v>1152752</v>
      </c>
      <c r="DN43" s="132">
        <v>211824</v>
      </c>
      <c r="DO43" s="132">
        <v>60163</v>
      </c>
      <c r="DP43" s="132">
        <v>9808</v>
      </c>
      <c r="DQ43" s="132">
        <v>376464</v>
      </c>
      <c r="DR43" s="132">
        <v>172062</v>
      </c>
      <c r="DS43" s="132">
        <v>1367082</v>
      </c>
      <c r="DT43" s="132">
        <v>489007</v>
      </c>
      <c r="DY43" s="132">
        <v>15404</v>
      </c>
      <c r="DZ43" s="132">
        <v>333834</v>
      </c>
      <c r="EA43" s="132">
        <v>2363479</v>
      </c>
      <c r="EB43" s="132">
        <v>1510795</v>
      </c>
      <c r="EC43" s="132">
        <v>268912</v>
      </c>
      <c r="ED43" s="132">
        <v>225346</v>
      </c>
      <c r="EE43" s="132">
        <v>1649717</v>
      </c>
      <c r="EF43" s="132">
        <v>222211</v>
      </c>
      <c r="EG43" s="132">
        <v>1704301</v>
      </c>
      <c r="EH43" s="132">
        <v>507153</v>
      </c>
      <c r="EI43" s="132">
        <v>733866</v>
      </c>
      <c r="EJ43" s="132">
        <v>3918812</v>
      </c>
      <c r="EK43" s="132">
        <v>267993</v>
      </c>
      <c r="EL43" s="132">
        <v>1367455</v>
      </c>
      <c r="EN43" s="132">
        <v>2203548</v>
      </c>
      <c r="EO43" s="132">
        <v>140431</v>
      </c>
      <c r="EP43" s="132">
        <v>1059483</v>
      </c>
      <c r="EQ43" s="132">
        <v>3032265</v>
      </c>
      <c r="ER43" s="132">
        <v>892447</v>
      </c>
      <c r="ES43" s="132">
        <v>529193</v>
      </c>
      <c r="ET43" s="132">
        <v>15002</v>
      </c>
      <c r="EU43" s="132">
        <v>1345909</v>
      </c>
      <c r="EV43" s="132">
        <v>549749</v>
      </c>
      <c r="EW43" s="132">
        <v>3200262</v>
      </c>
      <c r="EX43" s="132">
        <v>1742364</v>
      </c>
      <c r="IO43" s="132">
        <v>341</v>
      </c>
      <c r="IP43" s="132">
        <v>233316</v>
      </c>
      <c r="IQ43" s="132">
        <v>525442</v>
      </c>
      <c r="IR43" s="132">
        <v>503147</v>
      </c>
      <c r="IS43" s="132">
        <v>615400</v>
      </c>
      <c r="IT43" s="132">
        <v>102490</v>
      </c>
      <c r="IU43" s="132">
        <v>958297</v>
      </c>
      <c r="IV43" s="132">
        <v>14861</v>
      </c>
      <c r="IW43" s="132">
        <v>513491</v>
      </c>
      <c r="IX43" s="132">
        <v>554539</v>
      </c>
      <c r="IY43" s="132">
        <v>311122</v>
      </c>
      <c r="IZ43" s="132">
        <v>601315</v>
      </c>
      <c r="JA43" s="132">
        <v>57049</v>
      </c>
      <c r="JB43" s="132">
        <v>195911</v>
      </c>
      <c r="JD43" s="132">
        <v>511875</v>
      </c>
      <c r="JE43" s="132">
        <v>23000</v>
      </c>
      <c r="JF43" s="132">
        <v>189623</v>
      </c>
      <c r="JG43" s="132">
        <v>515647</v>
      </c>
      <c r="JH43" s="132">
        <v>345428</v>
      </c>
      <c r="JI43" s="132">
        <v>185160</v>
      </c>
      <c r="JJ43" s="132">
        <v>0</v>
      </c>
      <c r="JK43" s="132">
        <v>363719</v>
      </c>
      <c r="JL43" s="132">
        <v>144955</v>
      </c>
      <c r="JM43" s="132">
        <v>408401</v>
      </c>
      <c r="JN43" s="132">
        <v>594772</v>
      </c>
    </row>
    <row r="44" spans="1:274" s="132" customFormat="1" x14ac:dyDescent="0.25">
      <c r="A44" s="134" t="s">
        <v>398</v>
      </c>
      <c r="B44" s="134"/>
      <c r="C44" s="134" t="s">
        <v>1069</v>
      </c>
      <c r="D44" s="134"/>
      <c r="E44" s="135"/>
      <c r="F44" s="134"/>
      <c r="G44" s="134" t="s">
        <v>399</v>
      </c>
      <c r="Q44" s="132">
        <v>2996287</v>
      </c>
      <c r="AH44" s="132">
        <v>3541225</v>
      </c>
      <c r="AI44" s="132">
        <v>2155554</v>
      </c>
      <c r="AJ44" s="132">
        <v>594819</v>
      </c>
      <c r="AK44" s="132">
        <v>473774</v>
      </c>
      <c r="AL44" s="132">
        <v>327748</v>
      </c>
      <c r="CU44" s="132">
        <v>31500</v>
      </c>
      <c r="CV44" s="132">
        <v>32432</v>
      </c>
      <c r="CW44" s="132">
        <v>403952</v>
      </c>
      <c r="CX44" s="132">
        <v>167454</v>
      </c>
      <c r="CZ44" s="132">
        <v>73982</v>
      </c>
      <c r="DA44" s="132">
        <v>230976</v>
      </c>
      <c r="DB44" s="132">
        <v>14585</v>
      </c>
      <c r="DC44" s="132">
        <v>135193</v>
      </c>
      <c r="DD44" s="132">
        <v>768</v>
      </c>
      <c r="DE44" s="132">
        <v>48824</v>
      </c>
      <c r="DF44" s="132">
        <v>506480</v>
      </c>
      <c r="DG44" s="132">
        <v>93376</v>
      </c>
      <c r="DH44" s="132">
        <v>93560</v>
      </c>
      <c r="DJ44" s="132">
        <v>200037</v>
      </c>
      <c r="DK44" s="132">
        <v>31920</v>
      </c>
      <c r="DL44" s="132">
        <v>166288</v>
      </c>
      <c r="DM44" s="132">
        <v>519264</v>
      </c>
      <c r="DN44" s="132">
        <v>83972</v>
      </c>
      <c r="DO44" s="132">
        <v>14200</v>
      </c>
      <c r="DP44" s="132">
        <v>18368</v>
      </c>
      <c r="DQ44" s="132">
        <v>82944</v>
      </c>
      <c r="DR44" s="132">
        <v>64742</v>
      </c>
      <c r="DS44" s="132">
        <v>610672</v>
      </c>
      <c r="DT44" s="132">
        <v>217276</v>
      </c>
      <c r="DY44" s="132">
        <v>144001</v>
      </c>
      <c r="DZ44" s="132">
        <v>180486</v>
      </c>
      <c r="EA44" s="132">
        <v>820305</v>
      </c>
      <c r="EB44" s="132">
        <v>624756</v>
      </c>
      <c r="ED44" s="132">
        <v>301158</v>
      </c>
      <c r="EE44" s="132">
        <v>591825</v>
      </c>
      <c r="EF44" s="132">
        <v>54054</v>
      </c>
      <c r="EG44" s="132">
        <v>242380</v>
      </c>
      <c r="EH44" s="132">
        <v>3556</v>
      </c>
      <c r="EI44" s="132">
        <v>248984</v>
      </c>
      <c r="EJ44" s="132">
        <v>1759135</v>
      </c>
      <c r="EK44" s="132">
        <v>244715</v>
      </c>
      <c r="EL44" s="132">
        <v>357018</v>
      </c>
      <c r="EN44" s="132">
        <v>391006</v>
      </c>
      <c r="EO44" s="132">
        <v>76326</v>
      </c>
      <c r="EP44" s="132">
        <v>404966</v>
      </c>
      <c r="EQ44" s="132">
        <v>1110974</v>
      </c>
      <c r="ER44" s="132">
        <v>192091</v>
      </c>
      <c r="ES44" s="132">
        <v>62754</v>
      </c>
      <c r="ET44" s="132">
        <v>72472</v>
      </c>
      <c r="EU44" s="132">
        <v>471852</v>
      </c>
      <c r="EV44" s="132">
        <v>280815</v>
      </c>
      <c r="EW44" s="132">
        <v>1490110</v>
      </c>
      <c r="EX44" s="132">
        <v>1181422</v>
      </c>
      <c r="IO44" s="132">
        <v>83172</v>
      </c>
      <c r="IP44" s="132">
        <v>84298</v>
      </c>
      <c r="IQ44" s="132">
        <v>196887</v>
      </c>
      <c r="IR44" s="132">
        <v>69936</v>
      </c>
      <c r="IT44" s="132">
        <v>199734</v>
      </c>
      <c r="IU44" s="132">
        <v>118897</v>
      </c>
      <c r="IV44" s="132">
        <v>1754</v>
      </c>
      <c r="IW44" s="132">
        <v>47247</v>
      </c>
      <c r="IX44" s="132">
        <v>3586</v>
      </c>
      <c r="IY44" s="132">
        <v>70279</v>
      </c>
      <c r="IZ44" s="132">
        <v>74051</v>
      </c>
      <c r="JA44" s="132">
        <v>14980</v>
      </c>
      <c r="JB44" s="132">
        <v>108362</v>
      </c>
      <c r="JD44" s="132">
        <v>293048</v>
      </c>
      <c r="JE44" s="132">
        <v>17611</v>
      </c>
      <c r="JF44" s="132">
        <v>55150</v>
      </c>
      <c r="JG44" s="132">
        <v>74310</v>
      </c>
      <c r="JH44" s="132">
        <v>48928</v>
      </c>
      <c r="JI44" s="132">
        <v>322112</v>
      </c>
      <c r="JJ44" s="132">
        <v>31993</v>
      </c>
      <c r="JK44" s="132">
        <v>94023</v>
      </c>
      <c r="JL44" s="132">
        <v>56024</v>
      </c>
      <c r="JM44" s="132">
        <v>98460</v>
      </c>
      <c r="JN44" s="132">
        <v>117738</v>
      </c>
    </row>
    <row r="45" spans="1:274" s="132" customFormat="1" x14ac:dyDescent="0.25">
      <c r="A45" s="134" t="s">
        <v>1072</v>
      </c>
      <c r="B45" s="134"/>
      <c r="C45" s="134" t="s">
        <v>1069</v>
      </c>
      <c r="D45" s="134"/>
      <c r="E45" s="135"/>
      <c r="F45" s="134"/>
      <c r="G45" s="134" t="s">
        <v>456</v>
      </c>
      <c r="Q45" s="132">
        <v>3178640</v>
      </c>
      <c r="AH45" s="132">
        <v>9445663</v>
      </c>
      <c r="AI45" s="132">
        <v>4801775</v>
      </c>
      <c r="AJ45" s="132">
        <v>1303044</v>
      </c>
      <c r="AK45" s="132">
        <v>2252817</v>
      </c>
      <c r="AL45" s="132">
        <v>0</v>
      </c>
      <c r="CU45" s="132">
        <v>3920</v>
      </c>
      <c r="CV45" s="132">
        <v>105680</v>
      </c>
      <c r="CW45" s="132">
        <v>582240</v>
      </c>
      <c r="CX45" s="132">
        <v>311680</v>
      </c>
      <c r="CZ45" s="132">
        <v>576</v>
      </c>
      <c r="DA45" s="132">
        <v>463824</v>
      </c>
      <c r="DC45" s="132">
        <v>193760</v>
      </c>
      <c r="DD45" s="132">
        <v>3856</v>
      </c>
      <c r="DE45" s="132">
        <v>175040</v>
      </c>
      <c r="DF45" s="132">
        <v>1050656</v>
      </c>
      <c r="DG45" s="132">
        <v>194496</v>
      </c>
      <c r="DH45" s="132">
        <v>124816</v>
      </c>
      <c r="DJ45" s="132">
        <v>303360</v>
      </c>
      <c r="DL45" s="132">
        <v>115536</v>
      </c>
      <c r="DM45" s="132">
        <v>786144</v>
      </c>
      <c r="DN45" s="132">
        <v>124880</v>
      </c>
      <c r="DO45" s="132">
        <v>17392</v>
      </c>
      <c r="DP45" s="132">
        <v>18896</v>
      </c>
      <c r="DQ45" s="132">
        <v>71024</v>
      </c>
      <c r="DR45" s="132">
        <v>122768</v>
      </c>
      <c r="DS45" s="132">
        <v>765744</v>
      </c>
      <c r="DT45" s="132">
        <v>159472</v>
      </c>
      <c r="DY45" s="132">
        <v>36000</v>
      </c>
      <c r="DZ45" s="132">
        <v>307578</v>
      </c>
      <c r="EA45" s="132">
        <v>1501097</v>
      </c>
      <c r="EB45" s="132">
        <v>734488</v>
      </c>
      <c r="ED45" s="132">
        <v>18000</v>
      </c>
      <c r="EE45" s="132">
        <v>1303876</v>
      </c>
      <c r="EG45" s="132">
        <v>478724</v>
      </c>
      <c r="EH45" s="132">
        <v>0</v>
      </c>
      <c r="EI45" s="132">
        <v>273347</v>
      </c>
      <c r="EJ45" s="132">
        <v>3034466</v>
      </c>
      <c r="EK45" s="132">
        <v>572595</v>
      </c>
      <c r="EL45" s="132">
        <v>633906</v>
      </c>
      <c r="EN45" s="132">
        <v>1251905</v>
      </c>
      <c r="EP45" s="132">
        <v>505573</v>
      </c>
      <c r="EQ45" s="132">
        <v>1906780</v>
      </c>
      <c r="ER45" s="132">
        <v>421230</v>
      </c>
      <c r="ES45" s="132">
        <v>35248</v>
      </c>
      <c r="ET45" s="132">
        <v>402783</v>
      </c>
      <c r="EU45" s="132">
        <v>335368</v>
      </c>
      <c r="EV45" s="132">
        <v>440073</v>
      </c>
      <c r="EW45" s="132">
        <v>1767078</v>
      </c>
      <c r="EX45" s="132">
        <v>450056</v>
      </c>
      <c r="IO45" s="132">
        <v>7500</v>
      </c>
      <c r="IP45" s="132">
        <v>245869</v>
      </c>
      <c r="IQ45" s="132">
        <v>1043882</v>
      </c>
      <c r="IR45" s="132">
        <v>249826</v>
      </c>
      <c r="IT45" s="132">
        <v>1500</v>
      </c>
      <c r="IU45" s="132">
        <v>1702051</v>
      </c>
      <c r="IW45" s="132">
        <v>63014</v>
      </c>
      <c r="IX45" s="132">
        <v>2447</v>
      </c>
      <c r="IY45" s="132">
        <v>160700</v>
      </c>
      <c r="IZ45" s="132">
        <v>477841</v>
      </c>
      <c r="JA45" s="132">
        <v>25620</v>
      </c>
      <c r="JB45" s="132">
        <v>42874</v>
      </c>
      <c r="JD45" s="132">
        <v>315838</v>
      </c>
      <c r="JF45" s="132">
        <v>82163</v>
      </c>
      <c r="JG45" s="132">
        <v>76169</v>
      </c>
      <c r="JH45" s="132">
        <v>520551</v>
      </c>
      <c r="JI45" s="132">
        <v>2820</v>
      </c>
      <c r="JJ45" s="132">
        <v>158864</v>
      </c>
      <c r="JK45" s="132">
        <v>140411</v>
      </c>
      <c r="JL45" s="132">
        <v>46184</v>
      </c>
      <c r="JM45" s="132">
        <v>110473</v>
      </c>
      <c r="JN45" s="132">
        <v>42464</v>
      </c>
    </row>
    <row r="46" spans="1:274" s="132" customFormat="1" x14ac:dyDescent="0.25">
      <c r="A46" s="134" t="s">
        <v>400</v>
      </c>
      <c r="B46" s="134"/>
      <c r="C46" s="134" t="s">
        <v>1069</v>
      </c>
      <c r="D46" s="134"/>
      <c r="E46" s="135"/>
      <c r="F46" s="134"/>
      <c r="G46" s="134" t="s">
        <v>401</v>
      </c>
      <c r="Q46" s="132">
        <v>288231</v>
      </c>
      <c r="AH46" s="132">
        <v>2243851</v>
      </c>
      <c r="AI46" s="132">
        <v>829361</v>
      </c>
      <c r="AJ46" s="132">
        <v>480314</v>
      </c>
      <c r="AK46" s="132">
        <v>1044293</v>
      </c>
      <c r="AL46" s="132">
        <v>0</v>
      </c>
      <c r="CU46" s="132">
        <v>20272</v>
      </c>
      <c r="CW46" s="132">
        <v>156144</v>
      </c>
      <c r="CX46" s="132">
        <v>162181</v>
      </c>
      <c r="CY46" s="132">
        <v>6448</v>
      </c>
      <c r="CZ46" s="132">
        <v>7312</v>
      </c>
      <c r="DA46" s="132">
        <v>102443</v>
      </c>
      <c r="DB46" s="132">
        <v>0</v>
      </c>
      <c r="DC46" s="132">
        <v>108000</v>
      </c>
      <c r="DE46" s="132">
        <v>13472</v>
      </c>
      <c r="DF46" s="132">
        <v>315648</v>
      </c>
      <c r="DG46" s="132">
        <v>18064</v>
      </c>
      <c r="DJ46" s="132">
        <v>4348</v>
      </c>
      <c r="DL46" s="132">
        <v>67920</v>
      </c>
      <c r="DM46" s="132">
        <v>164400</v>
      </c>
      <c r="DN46" s="132">
        <v>29568</v>
      </c>
      <c r="DO46" s="132">
        <v>40048</v>
      </c>
      <c r="DP46" s="132">
        <v>1504</v>
      </c>
      <c r="DQ46" s="132">
        <v>74922</v>
      </c>
      <c r="DR46" s="132">
        <v>59468</v>
      </c>
      <c r="DS46" s="132">
        <v>310224</v>
      </c>
      <c r="DT46" s="132">
        <v>61680</v>
      </c>
      <c r="DY46" s="132">
        <v>114337</v>
      </c>
      <c r="EA46" s="132">
        <v>405887</v>
      </c>
      <c r="EB46" s="132">
        <v>551949</v>
      </c>
      <c r="EC46" s="132">
        <v>48252</v>
      </c>
      <c r="ED46" s="132">
        <v>36259</v>
      </c>
      <c r="EE46" s="132">
        <v>120957</v>
      </c>
      <c r="EG46" s="132">
        <v>155551</v>
      </c>
      <c r="EI46" s="132">
        <v>89602</v>
      </c>
      <c r="EJ46" s="132">
        <v>883414</v>
      </c>
      <c r="EK46" s="132">
        <v>58698</v>
      </c>
      <c r="EN46" s="132">
        <v>0</v>
      </c>
      <c r="EP46" s="132">
        <v>220180</v>
      </c>
      <c r="EQ46" s="132">
        <v>338926</v>
      </c>
      <c r="ER46" s="132">
        <v>79189</v>
      </c>
      <c r="ES46" s="132">
        <v>0</v>
      </c>
      <c r="ET46" s="132">
        <v>0</v>
      </c>
      <c r="EU46" s="132">
        <v>185319</v>
      </c>
      <c r="EV46" s="132">
        <v>99067</v>
      </c>
      <c r="EW46" s="132">
        <v>777185</v>
      </c>
      <c r="EX46" s="132">
        <v>141357</v>
      </c>
      <c r="IO46" s="132">
        <v>18284</v>
      </c>
      <c r="IQ46" s="132">
        <v>63808</v>
      </c>
      <c r="IR46" s="132">
        <v>267926</v>
      </c>
      <c r="IS46" s="132">
        <v>29185</v>
      </c>
      <c r="IT46" s="132">
        <v>4292</v>
      </c>
      <c r="IU46" s="132">
        <v>6545</v>
      </c>
      <c r="IW46" s="132">
        <v>126529</v>
      </c>
      <c r="IY46" s="132">
        <v>12355</v>
      </c>
      <c r="IZ46" s="132">
        <v>106120</v>
      </c>
      <c r="JA46" s="132">
        <v>4376</v>
      </c>
      <c r="JD46" s="132">
        <v>66903</v>
      </c>
      <c r="JF46" s="132">
        <v>71215</v>
      </c>
      <c r="JG46" s="132">
        <v>81110</v>
      </c>
      <c r="JH46" s="132">
        <v>33822</v>
      </c>
      <c r="JI46" s="132">
        <v>734055</v>
      </c>
      <c r="JJ46" s="132">
        <v>4247</v>
      </c>
      <c r="JK46" s="132">
        <v>69764</v>
      </c>
      <c r="JL46" s="132">
        <v>106499</v>
      </c>
      <c r="JM46" s="132">
        <v>36204</v>
      </c>
      <c r="JN46" s="132">
        <v>12295</v>
      </c>
    </row>
    <row r="47" spans="1:274" s="132" customFormat="1" x14ac:dyDescent="0.25">
      <c r="A47" s="134" t="s">
        <v>1070</v>
      </c>
      <c r="B47" s="134"/>
      <c r="C47" s="134" t="s">
        <v>1069</v>
      </c>
      <c r="D47" s="134"/>
      <c r="E47" s="135"/>
      <c r="F47" s="134"/>
      <c r="G47" s="134" t="s">
        <v>402</v>
      </c>
      <c r="Q47" s="132">
        <v>8091479</v>
      </c>
      <c r="AH47" s="132">
        <v>13943462</v>
      </c>
      <c r="AI47" s="132">
        <v>10043738</v>
      </c>
      <c r="AJ47" s="132">
        <v>4757445</v>
      </c>
      <c r="AK47" s="132">
        <v>2556037</v>
      </c>
      <c r="AL47" s="132">
        <v>0</v>
      </c>
      <c r="CU47" s="132">
        <v>13552</v>
      </c>
      <c r="CV47" s="132">
        <v>113840</v>
      </c>
      <c r="CW47" s="132">
        <v>1455104</v>
      </c>
      <c r="CX47" s="132">
        <v>754736</v>
      </c>
      <c r="CZ47" s="132">
        <v>52848</v>
      </c>
      <c r="DA47" s="132">
        <v>629120</v>
      </c>
      <c r="DC47" s="132">
        <v>122976</v>
      </c>
      <c r="DE47" s="132">
        <v>172112</v>
      </c>
      <c r="DF47" s="132">
        <v>1797264</v>
      </c>
      <c r="DG47" s="132">
        <v>349424</v>
      </c>
      <c r="DH47" s="132">
        <v>189584</v>
      </c>
      <c r="DI47" s="132">
        <v>37856</v>
      </c>
      <c r="DJ47" s="132">
        <v>267472</v>
      </c>
      <c r="DK47" s="132">
        <v>24128</v>
      </c>
      <c r="DM47" s="132">
        <v>1359488</v>
      </c>
      <c r="DN47" s="132">
        <v>79008</v>
      </c>
      <c r="DO47" s="132">
        <v>193552</v>
      </c>
      <c r="DP47" s="132">
        <v>5824</v>
      </c>
      <c r="DQ47" s="132">
        <v>339456</v>
      </c>
      <c r="DR47" s="132">
        <v>161840</v>
      </c>
      <c r="DS47" s="132">
        <v>2331520</v>
      </c>
      <c r="DT47" s="132">
        <v>634016</v>
      </c>
      <c r="DY47" s="132">
        <v>88087</v>
      </c>
      <c r="DZ47" s="132">
        <v>758583</v>
      </c>
      <c r="EA47" s="132">
        <v>3673552</v>
      </c>
      <c r="EB47" s="132">
        <v>3078900</v>
      </c>
      <c r="ED47" s="132">
        <v>208564</v>
      </c>
      <c r="EE47" s="132">
        <v>2386257</v>
      </c>
      <c r="EG47" s="132">
        <v>224635</v>
      </c>
      <c r="EI47" s="132">
        <v>555915</v>
      </c>
      <c r="EJ47" s="132">
        <v>5373184</v>
      </c>
      <c r="EK47" s="132">
        <v>927750</v>
      </c>
      <c r="EL47" s="132">
        <v>1592954</v>
      </c>
      <c r="EM47" s="132">
        <v>358197</v>
      </c>
      <c r="EN47" s="132">
        <v>1248435</v>
      </c>
      <c r="EO47" s="132">
        <v>243434</v>
      </c>
      <c r="EQ47" s="132">
        <v>3287435</v>
      </c>
      <c r="ER47" s="132">
        <v>469047</v>
      </c>
      <c r="ES47" s="132">
        <v>734032</v>
      </c>
      <c r="ET47" s="132">
        <v>30643</v>
      </c>
      <c r="EU47" s="132">
        <v>1298809</v>
      </c>
      <c r="EV47" s="132">
        <v>859386</v>
      </c>
      <c r="EW47" s="132">
        <v>4717415</v>
      </c>
      <c r="EX47" s="132">
        <v>2345723</v>
      </c>
      <c r="IO47" s="132">
        <v>24125</v>
      </c>
      <c r="IP47" s="132">
        <v>197120</v>
      </c>
      <c r="IQ47" s="132">
        <v>2086381</v>
      </c>
      <c r="IR47" s="132">
        <v>749202</v>
      </c>
      <c r="IT47" s="132">
        <v>111503</v>
      </c>
      <c r="IU47" s="132">
        <v>991053</v>
      </c>
      <c r="IW47" s="132">
        <v>52535</v>
      </c>
      <c r="IY47" s="132">
        <v>386155</v>
      </c>
      <c r="IZ47" s="132">
        <v>2059691</v>
      </c>
      <c r="JA47" s="132">
        <v>150189</v>
      </c>
      <c r="JB47" s="132">
        <v>247928</v>
      </c>
      <c r="JD47" s="132">
        <v>124007</v>
      </c>
      <c r="JE47" s="132">
        <v>19368</v>
      </c>
      <c r="JG47" s="132">
        <v>1009438</v>
      </c>
      <c r="JH47" s="132">
        <v>115301</v>
      </c>
      <c r="JI47" s="132">
        <v>720325</v>
      </c>
      <c r="JJ47" s="132">
        <v>30282</v>
      </c>
      <c r="JK47" s="132">
        <v>164347</v>
      </c>
      <c r="JL47" s="132">
        <v>233368</v>
      </c>
      <c r="JM47" s="132">
        <v>542991</v>
      </c>
      <c r="JN47" s="132">
        <v>299435</v>
      </c>
    </row>
    <row r="48" spans="1:274" s="132" customFormat="1" x14ac:dyDescent="0.25">
      <c r="A48" s="134" t="s">
        <v>403</v>
      </c>
      <c r="B48" s="134"/>
      <c r="C48" s="134" t="s">
        <v>1069</v>
      </c>
      <c r="D48" s="134"/>
      <c r="E48" s="135"/>
      <c r="F48" s="134"/>
      <c r="G48" s="134" t="s">
        <v>404</v>
      </c>
      <c r="Q48" s="132">
        <v>1004508</v>
      </c>
      <c r="AH48" s="132">
        <v>3087817</v>
      </c>
      <c r="AI48" s="132">
        <v>639017</v>
      </c>
      <c r="AJ48" s="132">
        <v>525350</v>
      </c>
      <c r="AK48" s="132">
        <v>221323</v>
      </c>
      <c r="AL48" s="132">
        <v>0</v>
      </c>
      <c r="CU48" s="132">
        <v>11752</v>
      </c>
      <c r="CV48" s="132">
        <v>40733</v>
      </c>
      <c r="CW48" s="132">
        <v>159488</v>
      </c>
      <c r="CX48" s="132">
        <v>171608</v>
      </c>
      <c r="CZ48" s="132">
        <v>448</v>
      </c>
      <c r="DA48" s="132">
        <v>119156</v>
      </c>
      <c r="DB48" s="132">
        <v>1620</v>
      </c>
      <c r="DC48" s="132">
        <v>14432</v>
      </c>
      <c r="DD48" s="132">
        <v>3979</v>
      </c>
      <c r="DE48" s="132">
        <v>25960</v>
      </c>
      <c r="DF48" s="132">
        <v>229096</v>
      </c>
      <c r="DG48" s="132">
        <v>19336</v>
      </c>
      <c r="DH48" s="132">
        <v>78736</v>
      </c>
      <c r="DI48" s="132">
        <v>17456</v>
      </c>
      <c r="DJ48" s="132">
        <v>98510</v>
      </c>
      <c r="DK48" s="132">
        <v>15054</v>
      </c>
      <c r="DL48" s="132">
        <v>84260</v>
      </c>
      <c r="DM48" s="132">
        <v>120800</v>
      </c>
      <c r="DN48" s="132">
        <v>13088</v>
      </c>
      <c r="DP48" s="132">
        <v>48</v>
      </c>
      <c r="DQ48" s="132">
        <v>65664</v>
      </c>
      <c r="DR48" s="132">
        <v>50916</v>
      </c>
      <c r="DS48" s="132">
        <v>223976</v>
      </c>
      <c r="DT48" s="132">
        <v>90320</v>
      </c>
      <c r="DY48" s="132">
        <v>45611</v>
      </c>
      <c r="DZ48" s="132">
        <v>125866</v>
      </c>
      <c r="EA48" s="132">
        <v>360568</v>
      </c>
      <c r="EB48" s="132">
        <v>357752</v>
      </c>
      <c r="ED48" s="132">
        <v>2407</v>
      </c>
      <c r="EE48" s="132">
        <v>343100</v>
      </c>
      <c r="EG48" s="132">
        <v>26284</v>
      </c>
      <c r="EH48" s="132">
        <v>3663</v>
      </c>
      <c r="EI48" s="132">
        <v>49512</v>
      </c>
      <c r="EJ48" s="132">
        <v>599422</v>
      </c>
      <c r="EK48" s="132">
        <v>68597</v>
      </c>
      <c r="EL48" s="132">
        <v>397419</v>
      </c>
      <c r="EM48" s="132">
        <v>190520</v>
      </c>
      <c r="EN48" s="132">
        <v>432977</v>
      </c>
      <c r="EO48" s="132">
        <v>156486</v>
      </c>
      <c r="EP48" s="132">
        <v>289458</v>
      </c>
      <c r="EQ48" s="132">
        <v>433786</v>
      </c>
      <c r="ER48" s="132">
        <v>61209</v>
      </c>
      <c r="ET48" s="132">
        <v>458</v>
      </c>
      <c r="EU48" s="132">
        <v>214715</v>
      </c>
      <c r="EV48" s="132">
        <v>84443</v>
      </c>
      <c r="EW48" s="132">
        <v>508880</v>
      </c>
      <c r="EX48" s="132">
        <v>480653</v>
      </c>
      <c r="IO48" s="132">
        <v>3847</v>
      </c>
      <c r="IP48" s="132">
        <v>122347</v>
      </c>
      <c r="IQ48" s="132">
        <v>42512</v>
      </c>
      <c r="IR48" s="132">
        <v>48102</v>
      </c>
      <c r="IT48" s="132">
        <v>332</v>
      </c>
      <c r="IU48" s="132">
        <v>62058</v>
      </c>
      <c r="IW48" s="132">
        <v>1578</v>
      </c>
      <c r="IX48" s="132">
        <v>7171</v>
      </c>
      <c r="IY48" s="132">
        <v>21086</v>
      </c>
      <c r="IZ48" s="132">
        <v>115368</v>
      </c>
      <c r="JA48" s="132">
        <v>5857</v>
      </c>
      <c r="JB48" s="132">
        <v>130424</v>
      </c>
      <c r="JC48" s="132">
        <v>120562</v>
      </c>
      <c r="JD48" s="132">
        <v>106526</v>
      </c>
      <c r="JE48" s="132">
        <v>21149</v>
      </c>
      <c r="JF48" s="132">
        <v>35962</v>
      </c>
      <c r="JG48" s="132">
        <v>116899</v>
      </c>
      <c r="JH48" s="132">
        <v>14253</v>
      </c>
      <c r="JJ48" s="132">
        <v>514</v>
      </c>
      <c r="JK48" s="132">
        <v>13223</v>
      </c>
      <c r="JL48" s="132">
        <v>19280</v>
      </c>
      <c r="JM48" s="132">
        <v>45198</v>
      </c>
      <c r="JN48" s="132">
        <v>177541</v>
      </c>
    </row>
    <row r="49" spans="1:309" s="132" customFormat="1" ht="15" customHeight="1" x14ac:dyDescent="0.25">
      <c r="A49" s="134" t="s">
        <v>405</v>
      </c>
      <c r="B49" s="134"/>
      <c r="C49" s="134" t="s">
        <v>1069</v>
      </c>
      <c r="D49" s="134"/>
      <c r="E49" s="135"/>
      <c r="F49" s="134"/>
      <c r="G49" s="134" t="s">
        <v>406</v>
      </c>
      <c r="Q49" s="132">
        <v>934244</v>
      </c>
      <c r="AH49" s="132">
        <v>1260096</v>
      </c>
      <c r="AI49" s="132">
        <v>614822</v>
      </c>
      <c r="AJ49" s="132">
        <v>472057</v>
      </c>
      <c r="AK49" s="132">
        <v>215857</v>
      </c>
      <c r="AL49" s="132">
        <v>0</v>
      </c>
      <c r="CU49" s="132">
        <v>27077</v>
      </c>
      <c r="CV49" s="132">
        <v>171223</v>
      </c>
      <c r="CW49" s="132">
        <v>197536</v>
      </c>
      <c r="CX49" s="132">
        <v>275308</v>
      </c>
      <c r="CZ49" s="132">
        <v>12048</v>
      </c>
      <c r="DA49" s="132">
        <v>46739</v>
      </c>
      <c r="DB49" s="132">
        <v>112104</v>
      </c>
      <c r="DC49" s="132">
        <v>124709</v>
      </c>
      <c r="DD49" s="132">
        <v>96</v>
      </c>
      <c r="DE49" s="132">
        <v>142736</v>
      </c>
      <c r="DF49" s="132">
        <v>220160</v>
      </c>
      <c r="DG49" s="132">
        <v>26544</v>
      </c>
      <c r="DH49" s="132">
        <v>115795</v>
      </c>
      <c r="DI49" s="132">
        <v>3373</v>
      </c>
      <c r="DJ49" s="132">
        <v>50642</v>
      </c>
      <c r="DL49" s="132">
        <v>138216</v>
      </c>
      <c r="DM49" s="132">
        <v>162300</v>
      </c>
      <c r="DN49" s="132">
        <v>80703</v>
      </c>
      <c r="DO49" s="132">
        <v>24080</v>
      </c>
      <c r="DP49" s="132">
        <v>11032</v>
      </c>
      <c r="DQ49" s="132">
        <v>20848</v>
      </c>
      <c r="DR49" s="132">
        <v>43550</v>
      </c>
      <c r="DS49" s="132">
        <v>251420</v>
      </c>
      <c r="DT49" s="132">
        <v>64688</v>
      </c>
      <c r="DY49" s="132">
        <v>143250</v>
      </c>
      <c r="DZ49" s="132">
        <v>343520</v>
      </c>
      <c r="EA49" s="132">
        <v>554021</v>
      </c>
      <c r="EB49" s="132">
        <v>724490</v>
      </c>
      <c r="ED49" s="132">
        <v>20231</v>
      </c>
      <c r="EE49" s="132">
        <v>160111</v>
      </c>
      <c r="EF49" s="132">
        <v>217554</v>
      </c>
      <c r="EG49" s="132">
        <v>156503</v>
      </c>
      <c r="EH49" s="132">
        <v>1900</v>
      </c>
      <c r="EI49" s="132">
        <v>247397</v>
      </c>
      <c r="EJ49" s="132">
        <v>490588</v>
      </c>
      <c r="EK49" s="132">
        <v>68859</v>
      </c>
      <c r="EL49" s="132">
        <v>697456</v>
      </c>
      <c r="EM49" s="132">
        <v>9000</v>
      </c>
      <c r="EN49" s="132">
        <v>136231</v>
      </c>
      <c r="EP49" s="132">
        <v>331524</v>
      </c>
      <c r="EQ49" s="132">
        <v>359176</v>
      </c>
      <c r="ER49" s="132">
        <v>209808</v>
      </c>
      <c r="ES49" s="132">
        <v>54081</v>
      </c>
      <c r="ET49" s="132">
        <v>43663</v>
      </c>
      <c r="EU49" s="132">
        <v>20250</v>
      </c>
      <c r="EV49" s="132">
        <v>81427</v>
      </c>
      <c r="EW49" s="132">
        <v>619832</v>
      </c>
      <c r="EX49" s="132">
        <v>125863</v>
      </c>
      <c r="IO49" s="132">
        <v>35621</v>
      </c>
      <c r="IP49" s="132">
        <v>94687</v>
      </c>
      <c r="IQ49" s="132">
        <v>65862</v>
      </c>
      <c r="IR49" s="132">
        <v>38317</v>
      </c>
      <c r="IT49" s="132">
        <v>14852</v>
      </c>
      <c r="IU49" s="132">
        <v>22171</v>
      </c>
      <c r="IV49" s="132">
        <v>13813</v>
      </c>
      <c r="IW49" s="132">
        <v>13205</v>
      </c>
      <c r="IX49" s="132">
        <v>0</v>
      </c>
      <c r="IY49" s="132">
        <v>60239</v>
      </c>
      <c r="IZ49" s="132">
        <v>21543</v>
      </c>
      <c r="JA49" s="132">
        <v>966</v>
      </c>
      <c r="JB49" s="132">
        <v>19019</v>
      </c>
      <c r="JC49" s="132">
        <v>0</v>
      </c>
      <c r="JD49" s="132">
        <v>9314</v>
      </c>
      <c r="JF49" s="132">
        <v>41273</v>
      </c>
      <c r="JG49" s="132">
        <v>7229</v>
      </c>
      <c r="JH49" s="132">
        <v>43957</v>
      </c>
      <c r="JI49" s="132">
        <v>16623</v>
      </c>
      <c r="JJ49" s="132">
        <v>40270</v>
      </c>
      <c r="JK49" s="132">
        <v>0</v>
      </c>
      <c r="JL49" s="132">
        <v>43982</v>
      </c>
      <c r="JM49" s="132">
        <v>11016</v>
      </c>
      <c r="JN49" s="132">
        <v>13294</v>
      </c>
    </row>
    <row r="50" spans="1:309" s="132" customFormat="1" x14ac:dyDescent="0.25">
      <c r="A50" s="134" t="s">
        <v>409</v>
      </c>
      <c r="B50" s="134"/>
      <c r="C50" s="134" t="s">
        <v>1069</v>
      </c>
      <c r="D50" s="134"/>
      <c r="E50" s="135"/>
      <c r="F50" s="134"/>
      <c r="G50" s="134" t="s">
        <v>410</v>
      </c>
      <c r="Q50" s="132">
        <v>3486342</v>
      </c>
      <c r="AH50" s="132">
        <v>4558337</v>
      </c>
      <c r="AI50" s="132">
        <v>5002064</v>
      </c>
      <c r="AJ50" s="132">
        <v>852651</v>
      </c>
      <c r="AK50" s="132">
        <v>959265</v>
      </c>
      <c r="AL50" s="132">
        <v>0</v>
      </c>
      <c r="CV50" s="132">
        <v>34909</v>
      </c>
      <c r="CW50" s="132">
        <v>289472</v>
      </c>
      <c r="CX50" s="132">
        <v>174022</v>
      </c>
      <c r="CZ50" s="132">
        <v>912</v>
      </c>
      <c r="DA50" s="132">
        <v>101224</v>
      </c>
      <c r="DB50" s="132">
        <v>18096</v>
      </c>
      <c r="DC50" s="132">
        <v>68206</v>
      </c>
      <c r="DD50" s="132">
        <v>2064</v>
      </c>
      <c r="DE50" s="132">
        <v>75312</v>
      </c>
      <c r="DF50" s="132">
        <v>570996</v>
      </c>
      <c r="DG50" s="132">
        <v>132432</v>
      </c>
      <c r="DH50" s="132">
        <v>77120</v>
      </c>
      <c r="DJ50" s="132">
        <v>128494</v>
      </c>
      <c r="DK50" s="132">
        <v>20304</v>
      </c>
      <c r="DL50" s="132">
        <v>66192</v>
      </c>
      <c r="DM50" s="132">
        <v>397668</v>
      </c>
      <c r="DN50" s="132">
        <v>64208</v>
      </c>
      <c r="DO50" s="132">
        <v>8254</v>
      </c>
      <c r="DP50" s="132">
        <v>12544</v>
      </c>
      <c r="DQ50" s="132">
        <v>58880</v>
      </c>
      <c r="DR50" s="132">
        <v>105028</v>
      </c>
      <c r="DS50" s="132">
        <v>506064</v>
      </c>
      <c r="DT50" s="132">
        <v>175808</v>
      </c>
      <c r="DZ50" s="132">
        <v>92702</v>
      </c>
      <c r="EA50" s="132">
        <v>926789</v>
      </c>
      <c r="EB50" s="132">
        <v>1384226</v>
      </c>
      <c r="ED50" s="132">
        <v>11061</v>
      </c>
      <c r="EE50" s="132">
        <v>253397</v>
      </c>
      <c r="EF50" s="132">
        <v>64145</v>
      </c>
      <c r="EG50" s="132">
        <v>197561</v>
      </c>
      <c r="EH50" s="132">
        <v>27582</v>
      </c>
      <c r="EI50" s="132">
        <v>252450</v>
      </c>
      <c r="EJ50" s="132">
        <v>1107481</v>
      </c>
      <c r="EK50" s="132">
        <v>287985</v>
      </c>
      <c r="EL50" s="132">
        <v>484039</v>
      </c>
      <c r="EN50" s="132">
        <v>689248</v>
      </c>
      <c r="EO50" s="132">
        <v>184897</v>
      </c>
      <c r="EP50" s="132">
        <v>85615</v>
      </c>
      <c r="EQ50" s="132">
        <v>1043416</v>
      </c>
      <c r="ER50" s="132">
        <v>27194</v>
      </c>
      <c r="ES50" s="132">
        <v>70143</v>
      </c>
      <c r="ET50" s="132">
        <v>31663</v>
      </c>
      <c r="EU50" s="132">
        <v>347368</v>
      </c>
      <c r="EV50" s="132">
        <v>660977</v>
      </c>
      <c r="EW50" s="132">
        <v>1145957</v>
      </c>
      <c r="EX50" s="132">
        <v>409238</v>
      </c>
      <c r="IP50" s="132">
        <v>8223</v>
      </c>
      <c r="IQ50" s="132">
        <v>193031</v>
      </c>
      <c r="IR50" s="132">
        <v>92033</v>
      </c>
      <c r="IT50" s="132">
        <v>542</v>
      </c>
      <c r="IU50" s="132">
        <v>63340</v>
      </c>
      <c r="IV50" s="132">
        <v>6803</v>
      </c>
      <c r="IW50" s="132">
        <v>45999</v>
      </c>
      <c r="IX50" s="132">
        <v>2274</v>
      </c>
      <c r="IY50" s="132">
        <v>26382</v>
      </c>
      <c r="IZ50" s="132">
        <v>96443</v>
      </c>
      <c r="JA50" s="132">
        <v>23339</v>
      </c>
      <c r="JB50" s="132">
        <v>47491</v>
      </c>
      <c r="JD50" s="132">
        <v>99213</v>
      </c>
      <c r="JE50" s="132">
        <v>45770</v>
      </c>
      <c r="JF50" s="132">
        <v>4178</v>
      </c>
      <c r="JG50" s="132">
        <v>73165</v>
      </c>
      <c r="JH50" s="132">
        <v>8045</v>
      </c>
      <c r="JI50" s="132">
        <v>16960</v>
      </c>
      <c r="JJ50" s="132">
        <v>6080</v>
      </c>
      <c r="JK50" s="132">
        <v>77735</v>
      </c>
      <c r="JL50" s="132">
        <v>38775</v>
      </c>
      <c r="JM50" s="132">
        <v>57730</v>
      </c>
      <c r="JN50" s="132">
        <v>55367</v>
      </c>
    </row>
    <row r="51" spans="1:309" s="132" customFormat="1" x14ac:dyDescent="0.25">
      <c r="A51" s="134" t="s">
        <v>429</v>
      </c>
      <c r="B51" s="134"/>
      <c r="C51" s="134" t="s">
        <v>1069</v>
      </c>
      <c r="D51" s="134"/>
      <c r="E51" s="135"/>
      <c r="F51" s="134"/>
      <c r="G51" s="134" t="s">
        <v>430</v>
      </c>
      <c r="Q51" s="132">
        <v>658059</v>
      </c>
      <c r="AH51" s="132">
        <v>2497670</v>
      </c>
      <c r="AI51" s="132">
        <v>1415138</v>
      </c>
      <c r="AJ51" s="132">
        <v>407018</v>
      </c>
      <c r="AK51" s="132">
        <v>457501</v>
      </c>
      <c r="AL51" s="132">
        <v>0</v>
      </c>
      <c r="CU51" s="132">
        <v>18992</v>
      </c>
      <c r="CV51" s="132">
        <v>286912</v>
      </c>
      <c r="CW51" s="132">
        <v>211088</v>
      </c>
      <c r="CX51" s="132">
        <v>277188</v>
      </c>
      <c r="CZ51" s="132">
        <v>50208</v>
      </c>
      <c r="DA51" s="132">
        <v>190518</v>
      </c>
      <c r="DB51" s="132">
        <v>13536</v>
      </c>
      <c r="DC51" s="132">
        <v>38704</v>
      </c>
      <c r="DE51" s="132">
        <v>287680</v>
      </c>
      <c r="DF51" s="132">
        <v>368446</v>
      </c>
      <c r="DG51" s="132">
        <v>46584</v>
      </c>
      <c r="DH51" s="132">
        <v>31193</v>
      </c>
      <c r="DI51" s="132">
        <v>27120</v>
      </c>
      <c r="DJ51" s="132">
        <v>270698</v>
      </c>
      <c r="DM51" s="132">
        <v>192528</v>
      </c>
      <c r="DN51" s="132">
        <v>114704</v>
      </c>
      <c r="DO51" s="132">
        <v>29044</v>
      </c>
      <c r="DP51" s="132">
        <v>33272</v>
      </c>
      <c r="DR51" s="132">
        <v>37556</v>
      </c>
      <c r="DS51" s="132">
        <v>185968</v>
      </c>
      <c r="DT51" s="132">
        <v>55056</v>
      </c>
      <c r="DY51" s="132">
        <v>53551</v>
      </c>
      <c r="DZ51" s="132">
        <v>720285</v>
      </c>
      <c r="EA51" s="132">
        <v>616179</v>
      </c>
      <c r="EB51" s="132">
        <v>518305</v>
      </c>
      <c r="ED51" s="132">
        <v>97891</v>
      </c>
      <c r="EE51" s="132">
        <v>759989</v>
      </c>
      <c r="EF51" s="132">
        <v>40654</v>
      </c>
      <c r="EG51" s="132">
        <v>344538</v>
      </c>
      <c r="EI51" s="132">
        <v>793928</v>
      </c>
      <c r="EJ51" s="132">
        <v>717602</v>
      </c>
      <c r="EK51" s="132">
        <v>75104</v>
      </c>
      <c r="EL51" s="132">
        <v>100048</v>
      </c>
      <c r="EM51" s="132">
        <v>152344</v>
      </c>
      <c r="EN51" s="132">
        <v>1017714</v>
      </c>
      <c r="EQ51" s="132">
        <v>440903</v>
      </c>
      <c r="ER51" s="132">
        <v>335991</v>
      </c>
      <c r="ES51" s="132">
        <v>97303</v>
      </c>
      <c r="ET51" s="132">
        <v>134104</v>
      </c>
      <c r="EV51" s="132">
        <v>29393</v>
      </c>
      <c r="EW51" s="132">
        <v>326724</v>
      </c>
      <c r="EX51" s="132">
        <v>100540</v>
      </c>
      <c r="IO51" s="132">
        <v>105529</v>
      </c>
      <c r="IP51" s="132">
        <v>622339</v>
      </c>
      <c r="IQ51" s="132">
        <v>388620</v>
      </c>
      <c r="IR51" s="132">
        <v>378790</v>
      </c>
      <c r="IT51" s="132">
        <v>79213</v>
      </c>
      <c r="IU51" s="132">
        <v>391902</v>
      </c>
      <c r="IV51" s="132">
        <v>43950</v>
      </c>
      <c r="IW51" s="132">
        <v>146421</v>
      </c>
      <c r="IY51" s="132">
        <v>500706</v>
      </c>
      <c r="IZ51" s="132">
        <v>581209</v>
      </c>
      <c r="JA51" s="132">
        <v>64507</v>
      </c>
      <c r="JB51" s="132">
        <v>40980</v>
      </c>
      <c r="JC51" s="132">
        <v>41787</v>
      </c>
      <c r="JD51" s="132">
        <v>542008</v>
      </c>
      <c r="JG51" s="132">
        <v>357193</v>
      </c>
      <c r="JH51" s="132">
        <v>200479</v>
      </c>
      <c r="JI51" s="132">
        <v>78059</v>
      </c>
      <c r="JJ51" s="132">
        <v>68731</v>
      </c>
      <c r="JL51" s="132">
        <v>116945</v>
      </c>
      <c r="JM51" s="132">
        <v>295122</v>
      </c>
      <c r="JN51" s="132">
        <v>138473</v>
      </c>
    </row>
    <row r="52" spans="1:309" s="132" customFormat="1" x14ac:dyDescent="0.25">
      <c r="A52" s="134" t="s">
        <v>1071</v>
      </c>
      <c r="B52" s="134"/>
      <c r="C52" s="134" t="s">
        <v>1069</v>
      </c>
      <c r="D52" s="134"/>
      <c r="E52" s="135"/>
      <c r="F52" s="134"/>
      <c r="G52" s="134" t="s">
        <v>457</v>
      </c>
      <c r="Q52" s="132">
        <v>130017</v>
      </c>
      <c r="AH52" s="132">
        <v>922011</v>
      </c>
      <c r="AI52" s="132">
        <v>476558</v>
      </c>
      <c r="AJ52" s="132">
        <v>203290</v>
      </c>
      <c r="AK52" s="132">
        <v>371594</v>
      </c>
      <c r="AL52" s="132">
        <v>0</v>
      </c>
      <c r="CU52" s="132">
        <v>1824</v>
      </c>
      <c r="CV52" s="132">
        <v>25120</v>
      </c>
      <c r="CW52" s="132">
        <v>13120</v>
      </c>
      <c r="CX52" s="132">
        <v>21484</v>
      </c>
      <c r="CZ52" s="132">
        <v>576</v>
      </c>
      <c r="DA52" s="132">
        <v>80152</v>
      </c>
      <c r="DB52" s="132">
        <v>35616</v>
      </c>
      <c r="DE52" s="132">
        <v>189098</v>
      </c>
      <c r="DF52" s="132">
        <v>51664</v>
      </c>
      <c r="DM52" s="132">
        <v>32080</v>
      </c>
      <c r="DN52" s="132">
        <v>2016</v>
      </c>
      <c r="DO52" s="132">
        <v>18896</v>
      </c>
      <c r="DP52" s="132">
        <v>19584</v>
      </c>
      <c r="DR52" s="132">
        <v>3040</v>
      </c>
      <c r="DS52" s="132">
        <v>14592</v>
      </c>
      <c r="DT52" s="132">
        <v>960</v>
      </c>
      <c r="DY52" s="132">
        <v>4709</v>
      </c>
      <c r="DZ52" s="132">
        <v>64855</v>
      </c>
      <c r="EA52" s="132">
        <v>70841</v>
      </c>
      <c r="EB52" s="132">
        <v>77485</v>
      </c>
      <c r="ED52" s="132">
        <v>1487</v>
      </c>
      <c r="EE52" s="132">
        <v>289078</v>
      </c>
      <c r="EF52" s="132">
        <v>91953</v>
      </c>
      <c r="EI52" s="132">
        <v>658254</v>
      </c>
      <c r="EJ52" s="132">
        <v>172381</v>
      </c>
      <c r="EQ52" s="132">
        <v>107038</v>
      </c>
      <c r="ER52" s="132">
        <v>8254</v>
      </c>
      <c r="ES52" s="132">
        <v>77364</v>
      </c>
      <c r="ET52" s="132">
        <v>70632</v>
      </c>
      <c r="EV52" s="132">
        <v>10964</v>
      </c>
      <c r="EW52" s="132">
        <v>20250</v>
      </c>
      <c r="EX52" s="132">
        <v>3462</v>
      </c>
      <c r="IO52" s="132">
        <v>3216</v>
      </c>
      <c r="IP52" s="132">
        <v>44295</v>
      </c>
      <c r="IQ52" s="132">
        <v>12378</v>
      </c>
      <c r="IR52" s="132">
        <v>28405</v>
      </c>
      <c r="IT52" s="132">
        <v>1016</v>
      </c>
      <c r="IU52" s="132">
        <v>105973</v>
      </c>
      <c r="IV52" s="132">
        <v>62802</v>
      </c>
      <c r="IY52" s="132">
        <v>380761</v>
      </c>
      <c r="IZ52" s="132">
        <v>46497</v>
      </c>
      <c r="JG52" s="132">
        <v>28871</v>
      </c>
      <c r="JH52" s="132">
        <v>5265</v>
      </c>
      <c r="JI52" s="132">
        <v>53518</v>
      </c>
      <c r="JJ52" s="132">
        <v>25894</v>
      </c>
      <c r="JL52" s="132">
        <v>4019</v>
      </c>
      <c r="JM52" s="132">
        <v>10109</v>
      </c>
      <c r="JN52" s="132">
        <v>1269</v>
      </c>
    </row>
    <row r="53" spans="1:309" s="132" customFormat="1" x14ac:dyDescent="0.25">
      <c r="A53" s="134" t="s">
        <v>407</v>
      </c>
      <c r="B53" s="134"/>
      <c r="C53" s="134" t="s">
        <v>1069</v>
      </c>
      <c r="D53" s="134"/>
      <c r="E53" s="135"/>
      <c r="F53" s="134"/>
      <c r="G53" s="134" t="s">
        <v>408</v>
      </c>
      <c r="Q53" s="132">
        <v>790310</v>
      </c>
      <c r="AH53" s="132">
        <v>3486842</v>
      </c>
      <c r="AI53" s="132">
        <v>1707116</v>
      </c>
      <c r="AJ53" s="132">
        <v>462992</v>
      </c>
      <c r="AK53" s="132">
        <v>609594</v>
      </c>
      <c r="AL53" s="132">
        <v>0</v>
      </c>
      <c r="CU53" s="132">
        <v>75224</v>
      </c>
      <c r="CV53" s="132">
        <v>282675</v>
      </c>
      <c r="CW53" s="132">
        <v>55520</v>
      </c>
      <c r="CX53" s="132">
        <v>407638</v>
      </c>
      <c r="CY53" s="132">
        <v>92592</v>
      </c>
      <c r="CZ53" s="132">
        <v>126096</v>
      </c>
      <c r="DA53" s="132">
        <v>492848</v>
      </c>
      <c r="DB53" s="132">
        <v>96084</v>
      </c>
      <c r="DC53" s="132">
        <v>53462</v>
      </c>
      <c r="DD53" s="132">
        <v>3200</v>
      </c>
      <c r="DE53" s="132">
        <v>620804</v>
      </c>
      <c r="DF53" s="132">
        <v>290421</v>
      </c>
      <c r="DG53" s="132">
        <v>960</v>
      </c>
      <c r="DH53" s="132">
        <v>110540</v>
      </c>
      <c r="DJ53" s="132">
        <v>20603</v>
      </c>
      <c r="DM53" s="132">
        <v>188128</v>
      </c>
      <c r="DN53" s="132">
        <v>302639</v>
      </c>
      <c r="DO53" s="132">
        <v>244608</v>
      </c>
      <c r="DP53" s="132">
        <v>72400</v>
      </c>
      <c r="DR53" s="132">
        <v>20432</v>
      </c>
      <c r="DS53" s="132">
        <v>75568</v>
      </c>
      <c r="DT53" s="132">
        <v>169302</v>
      </c>
      <c r="DY53" s="132">
        <v>217129</v>
      </c>
      <c r="DZ53" s="132">
        <v>821076</v>
      </c>
      <c r="EA53" s="132">
        <v>152632</v>
      </c>
      <c r="EB53" s="132">
        <v>330127</v>
      </c>
      <c r="EC53" s="132">
        <v>455508</v>
      </c>
      <c r="ED53" s="132">
        <v>453208</v>
      </c>
      <c r="EE53" s="132">
        <v>2104698</v>
      </c>
      <c r="EF53" s="132">
        <v>281457</v>
      </c>
      <c r="EG53" s="132">
        <v>205449</v>
      </c>
      <c r="EH53" s="132">
        <v>17807</v>
      </c>
      <c r="EI53" s="132">
        <v>3074993</v>
      </c>
      <c r="EJ53" s="132">
        <v>792142</v>
      </c>
      <c r="EK53" s="132">
        <v>1241</v>
      </c>
      <c r="EL53" s="132">
        <v>241261</v>
      </c>
      <c r="EN53" s="132">
        <v>104549</v>
      </c>
      <c r="EQ53" s="132">
        <v>534175</v>
      </c>
      <c r="ER53" s="132">
        <v>748612</v>
      </c>
      <c r="ES53" s="132">
        <v>841358</v>
      </c>
      <c r="ET53" s="132">
        <v>198583</v>
      </c>
      <c r="EV53" s="132">
        <v>10928</v>
      </c>
      <c r="EW53" s="132">
        <v>206140</v>
      </c>
      <c r="EX53" s="132">
        <v>271461</v>
      </c>
      <c r="IO53" s="132">
        <v>133756</v>
      </c>
      <c r="IP53" s="132">
        <v>449202</v>
      </c>
      <c r="IQ53" s="132">
        <v>136264</v>
      </c>
      <c r="IR53" s="132">
        <v>295043</v>
      </c>
      <c r="IS53" s="132">
        <v>914353</v>
      </c>
      <c r="IT53" s="132">
        <v>225783</v>
      </c>
      <c r="IU53" s="132">
        <v>823955</v>
      </c>
      <c r="IV53" s="132">
        <v>75937</v>
      </c>
      <c r="IW53" s="132">
        <v>96408</v>
      </c>
      <c r="IX53" s="132">
        <v>8577</v>
      </c>
      <c r="IY53" s="132">
        <v>1495484</v>
      </c>
      <c r="IZ53" s="132">
        <v>444529</v>
      </c>
      <c r="JA53" s="132">
        <v>680</v>
      </c>
      <c r="JB53" s="132">
        <v>185245</v>
      </c>
      <c r="JD53" s="132">
        <v>63365</v>
      </c>
      <c r="JG53" s="132">
        <v>297226</v>
      </c>
      <c r="JH53" s="132">
        <v>567560</v>
      </c>
      <c r="JI53" s="132">
        <v>544637</v>
      </c>
      <c r="JJ53" s="132">
        <v>117441</v>
      </c>
      <c r="JL53" s="132">
        <v>30652</v>
      </c>
      <c r="JM53" s="132">
        <v>132562</v>
      </c>
      <c r="JN53" s="132">
        <v>641923</v>
      </c>
    </row>
    <row r="54" spans="1:309" s="132" customFormat="1" x14ac:dyDescent="0.25">
      <c r="A54" s="134" t="s">
        <v>435</v>
      </c>
      <c r="B54" s="134"/>
      <c r="C54" s="134" t="s">
        <v>1069</v>
      </c>
      <c r="D54" s="134"/>
      <c r="E54" s="135"/>
      <c r="F54" s="134"/>
      <c r="G54" s="134" t="s">
        <v>436</v>
      </c>
      <c r="Q54" s="132">
        <v>368492</v>
      </c>
      <c r="AH54" s="132">
        <v>1779852</v>
      </c>
      <c r="AI54" s="132">
        <v>1508013</v>
      </c>
      <c r="AJ54" s="132">
        <v>179159</v>
      </c>
      <c r="AK54" s="132">
        <v>273627</v>
      </c>
      <c r="AL54" s="132">
        <v>0</v>
      </c>
      <c r="CV54" s="132">
        <v>107072</v>
      </c>
      <c r="CW54" s="132">
        <v>16128</v>
      </c>
      <c r="CX54" s="132">
        <v>293942</v>
      </c>
      <c r="CY54" s="132">
        <v>0</v>
      </c>
      <c r="CZ54" s="132">
        <v>43296</v>
      </c>
      <c r="DA54" s="132">
        <v>278800</v>
      </c>
      <c r="DB54" s="132">
        <v>15186</v>
      </c>
      <c r="DE54" s="132">
        <v>139882</v>
      </c>
      <c r="DF54" s="132">
        <v>163766</v>
      </c>
      <c r="DG54" s="132">
        <v>2088</v>
      </c>
      <c r="DH54" s="132">
        <v>16102</v>
      </c>
      <c r="DJ54" s="132">
        <v>160842</v>
      </c>
      <c r="DL54" s="132">
        <v>186800</v>
      </c>
      <c r="DM54" s="132">
        <v>47360</v>
      </c>
      <c r="DN54" s="132">
        <v>73632</v>
      </c>
      <c r="DO54" s="132">
        <v>101064</v>
      </c>
      <c r="DP54" s="132">
        <v>29366</v>
      </c>
      <c r="DR54" s="132">
        <v>84418</v>
      </c>
      <c r="DS54" s="132">
        <v>25872</v>
      </c>
      <c r="DT54" s="132">
        <v>70940</v>
      </c>
      <c r="DZ54" s="132">
        <v>427308</v>
      </c>
      <c r="EA54" s="132">
        <v>55100</v>
      </c>
      <c r="EB54" s="132">
        <v>665814</v>
      </c>
      <c r="EC54" s="132">
        <v>21982</v>
      </c>
      <c r="ED54" s="132">
        <v>131039</v>
      </c>
      <c r="EE54" s="132">
        <v>788451</v>
      </c>
      <c r="EF54" s="132">
        <v>51132</v>
      </c>
      <c r="EI54" s="132">
        <v>446158</v>
      </c>
      <c r="EJ54" s="132">
        <v>396589</v>
      </c>
      <c r="EK54" s="132">
        <v>1017</v>
      </c>
      <c r="EL54" s="132">
        <v>20629</v>
      </c>
      <c r="EN54" s="132">
        <v>479326</v>
      </c>
      <c r="EP54" s="132">
        <v>355433</v>
      </c>
      <c r="EQ54" s="132">
        <v>339359</v>
      </c>
      <c r="ER54" s="132">
        <v>173986</v>
      </c>
      <c r="ES54" s="132">
        <v>328397</v>
      </c>
      <c r="ET54" s="132">
        <v>173628</v>
      </c>
      <c r="EV54" s="132">
        <v>80111</v>
      </c>
      <c r="EW54" s="132">
        <v>83279</v>
      </c>
      <c r="EX54" s="132">
        <v>219281</v>
      </c>
      <c r="IP54" s="132">
        <v>187118</v>
      </c>
      <c r="IQ54" s="132">
        <v>15920</v>
      </c>
      <c r="IR54" s="132">
        <v>390298</v>
      </c>
      <c r="IS54" s="132">
        <v>417</v>
      </c>
      <c r="IT54" s="132">
        <v>73357</v>
      </c>
      <c r="IU54" s="132">
        <v>453684</v>
      </c>
      <c r="IV54" s="132">
        <v>22855</v>
      </c>
      <c r="IY54" s="132">
        <v>176552</v>
      </c>
      <c r="IZ54" s="132">
        <v>144270</v>
      </c>
      <c r="JA54" s="132">
        <v>1519</v>
      </c>
      <c r="JB54" s="132">
        <v>14323</v>
      </c>
      <c r="JD54" s="132">
        <v>205359</v>
      </c>
      <c r="JF54" s="132">
        <v>194974</v>
      </c>
      <c r="JG54" s="132">
        <v>53563</v>
      </c>
      <c r="JH54" s="132">
        <v>99199</v>
      </c>
      <c r="JI54" s="132">
        <v>154602</v>
      </c>
      <c r="JJ54" s="132">
        <v>37103</v>
      </c>
      <c r="JL54" s="132">
        <v>77087</v>
      </c>
      <c r="JM54" s="132">
        <v>22679</v>
      </c>
      <c r="JN54" s="132">
        <v>122542</v>
      </c>
    </row>
    <row r="55" spans="1:309" s="132" customFormat="1" x14ac:dyDescent="0.25">
      <c r="A55" s="134" t="s">
        <v>370</v>
      </c>
      <c r="B55" s="134"/>
      <c r="C55" s="134" t="s">
        <v>1069</v>
      </c>
      <c r="D55" s="134"/>
      <c r="E55" s="135"/>
      <c r="F55" s="134"/>
      <c r="G55" s="134" t="s">
        <v>371</v>
      </c>
      <c r="Q55" s="132">
        <v>1386468</v>
      </c>
      <c r="AH55" s="132">
        <v>1724045</v>
      </c>
      <c r="AI55" s="132">
        <v>1329817</v>
      </c>
      <c r="AJ55" s="132">
        <v>717026</v>
      </c>
      <c r="AK55" s="132">
        <v>713581</v>
      </c>
      <c r="AL55" s="132">
        <v>234301</v>
      </c>
      <c r="CU55" s="132">
        <v>63312</v>
      </c>
      <c r="CV55" s="132">
        <v>178944</v>
      </c>
      <c r="CW55" s="132">
        <v>222832</v>
      </c>
      <c r="CX55" s="132">
        <v>164295</v>
      </c>
      <c r="CZ55" s="132">
        <v>14576</v>
      </c>
      <c r="DA55" s="132">
        <v>293649</v>
      </c>
      <c r="DB55" s="132">
        <v>65496</v>
      </c>
      <c r="DC55" s="132">
        <v>175306</v>
      </c>
      <c r="DE55" s="132">
        <v>111344</v>
      </c>
      <c r="DF55" s="132">
        <v>346386</v>
      </c>
      <c r="DG55" s="132">
        <v>19072</v>
      </c>
      <c r="DH55" s="132">
        <v>116211</v>
      </c>
      <c r="DJ55" s="132">
        <v>106856</v>
      </c>
      <c r="DL55" s="132">
        <v>61664</v>
      </c>
      <c r="DM55" s="132">
        <v>216854</v>
      </c>
      <c r="DN55" s="132">
        <v>73152</v>
      </c>
      <c r="DO55" s="132">
        <v>42</v>
      </c>
      <c r="DQ55" s="132">
        <v>60192</v>
      </c>
      <c r="DR55" s="132">
        <v>73512</v>
      </c>
      <c r="DS55" s="132">
        <v>323104</v>
      </c>
      <c r="DT55" s="132">
        <v>97424</v>
      </c>
      <c r="DY55" s="132">
        <v>201968</v>
      </c>
      <c r="DZ55" s="132">
        <v>448671</v>
      </c>
      <c r="EA55" s="132">
        <v>628670</v>
      </c>
      <c r="EB55" s="132">
        <v>580187</v>
      </c>
      <c r="ED55" s="132">
        <v>47658</v>
      </c>
      <c r="EE55" s="132">
        <v>417182</v>
      </c>
      <c r="EF55" s="132">
        <v>111026</v>
      </c>
      <c r="EG55" s="132">
        <v>263914</v>
      </c>
      <c r="EI55" s="132">
        <v>101930</v>
      </c>
      <c r="EJ55" s="132">
        <v>972241</v>
      </c>
      <c r="EK55" s="132">
        <v>55155</v>
      </c>
      <c r="EL55" s="132">
        <v>524573</v>
      </c>
      <c r="EN55" s="132">
        <v>115790</v>
      </c>
      <c r="EP55" s="132">
        <v>178907</v>
      </c>
      <c r="EQ55" s="132">
        <v>585931</v>
      </c>
      <c r="ER55" s="132">
        <v>103265</v>
      </c>
      <c r="ES55" s="132">
        <v>285</v>
      </c>
      <c r="EU55" s="132">
        <v>223450</v>
      </c>
      <c r="EV55" s="132">
        <v>142751</v>
      </c>
      <c r="EW55" s="132">
        <v>804378</v>
      </c>
      <c r="EX55" s="132">
        <v>340895</v>
      </c>
      <c r="IO55" s="132">
        <v>49624</v>
      </c>
      <c r="IP55" s="132">
        <v>74308</v>
      </c>
      <c r="IQ55" s="132">
        <v>76301</v>
      </c>
      <c r="IR55" s="132">
        <v>111785</v>
      </c>
      <c r="IT55" s="132">
        <v>15557</v>
      </c>
      <c r="IU55" s="132">
        <v>77680</v>
      </c>
      <c r="IV55" s="132">
        <v>5742</v>
      </c>
      <c r="IW55" s="132">
        <v>57732</v>
      </c>
      <c r="IY55" s="132">
        <v>25646</v>
      </c>
      <c r="IZ55" s="132">
        <v>61095</v>
      </c>
      <c r="JA55" s="132">
        <v>5152</v>
      </c>
      <c r="JB55" s="132">
        <v>40243</v>
      </c>
      <c r="JD55" s="132">
        <v>44115</v>
      </c>
      <c r="JF55" s="132">
        <v>26414</v>
      </c>
      <c r="JG55" s="132">
        <v>36230</v>
      </c>
      <c r="JH55" s="132">
        <v>16054</v>
      </c>
      <c r="JI55" s="132">
        <v>0</v>
      </c>
      <c r="JK55" s="132">
        <v>20633</v>
      </c>
      <c r="JL55" s="132">
        <v>8631</v>
      </c>
      <c r="JM55" s="132">
        <v>64128</v>
      </c>
      <c r="JN55" s="132">
        <v>59345</v>
      </c>
    </row>
    <row r="56" spans="1:309" s="132" customFormat="1" x14ac:dyDescent="0.25">
      <c r="A56" s="134" t="s">
        <v>411</v>
      </c>
      <c r="B56" s="134"/>
      <c r="C56" s="134" t="s">
        <v>1069</v>
      </c>
      <c r="D56" s="134"/>
      <c r="E56" s="135"/>
      <c r="F56" s="134"/>
      <c r="G56" s="134" t="s">
        <v>412</v>
      </c>
      <c r="Q56" s="132">
        <v>1509981</v>
      </c>
      <c r="AH56" s="132">
        <v>4005468</v>
      </c>
      <c r="AI56" s="132">
        <v>3111424</v>
      </c>
      <c r="AJ56" s="132">
        <v>989211</v>
      </c>
      <c r="AK56" s="132">
        <v>1167018</v>
      </c>
      <c r="AL56" s="132">
        <v>0</v>
      </c>
      <c r="CU56" s="132">
        <v>33963</v>
      </c>
      <c r="CV56" s="132">
        <v>69822</v>
      </c>
      <c r="CW56" s="132">
        <v>513276</v>
      </c>
      <c r="CX56" s="132">
        <v>415597</v>
      </c>
      <c r="CZ56" s="132">
        <v>12928</v>
      </c>
      <c r="DA56" s="132">
        <v>112708</v>
      </c>
      <c r="DB56" s="132">
        <v>1200</v>
      </c>
      <c r="DC56" s="132">
        <v>68027</v>
      </c>
      <c r="DD56" s="132">
        <v>1424</v>
      </c>
      <c r="DE56" s="132">
        <v>114086</v>
      </c>
      <c r="DF56" s="132">
        <v>609692</v>
      </c>
      <c r="DG56" s="132">
        <v>32909</v>
      </c>
      <c r="DH56" s="132">
        <v>118526</v>
      </c>
      <c r="DI56" s="132">
        <v>46220</v>
      </c>
      <c r="DJ56" s="132">
        <v>292888</v>
      </c>
      <c r="DK56" s="132">
        <v>37764</v>
      </c>
      <c r="DL56" s="132">
        <v>152480</v>
      </c>
      <c r="DM56" s="132">
        <v>540427</v>
      </c>
      <c r="DN56" s="132">
        <v>74670</v>
      </c>
      <c r="DO56" s="132">
        <v>29000</v>
      </c>
      <c r="DP56" s="132">
        <v>3072</v>
      </c>
      <c r="DQ56" s="132">
        <v>118457</v>
      </c>
      <c r="DR56" s="132">
        <v>77938</v>
      </c>
      <c r="DS56" s="132">
        <v>630672</v>
      </c>
      <c r="DT56" s="132">
        <v>240592</v>
      </c>
      <c r="DY56" s="132">
        <v>10038</v>
      </c>
      <c r="DZ56" s="132">
        <v>408612</v>
      </c>
      <c r="EA56" s="132">
        <v>1116901</v>
      </c>
      <c r="EB56" s="132">
        <v>624597</v>
      </c>
      <c r="ED56" s="132">
        <v>65667</v>
      </c>
      <c r="EE56" s="132">
        <v>760206</v>
      </c>
      <c r="EF56" s="132">
        <v>1150</v>
      </c>
      <c r="EG56" s="132">
        <v>107974</v>
      </c>
      <c r="EH56" s="132">
        <v>0</v>
      </c>
      <c r="EI56" s="132">
        <v>197830</v>
      </c>
      <c r="EJ56" s="132">
        <v>1283308</v>
      </c>
      <c r="EK56" s="132">
        <v>114378</v>
      </c>
      <c r="EL56" s="132">
        <v>729053</v>
      </c>
      <c r="EM56" s="132">
        <v>311654</v>
      </c>
      <c r="EN56" s="132">
        <v>838300</v>
      </c>
      <c r="EO56" s="132">
        <v>239859</v>
      </c>
      <c r="EP56" s="132">
        <v>558882</v>
      </c>
      <c r="EQ56" s="132">
        <v>1123314</v>
      </c>
      <c r="ER56" s="132">
        <v>301989</v>
      </c>
      <c r="ES56" s="132">
        <v>27795</v>
      </c>
      <c r="ET56" s="132">
        <v>0</v>
      </c>
      <c r="EU56" s="132">
        <v>658051</v>
      </c>
      <c r="EV56" s="132">
        <v>130693</v>
      </c>
      <c r="EW56" s="132">
        <v>1409515</v>
      </c>
      <c r="EX56" s="132">
        <v>956492</v>
      </c>
      <c r="IO56" s="132">
        <v>7329</v>
      </c>
      <c r="IP56" s="132">
        <v>120017</v>
      </c>
      <c r="IQ56" s="132">
        <v>434554</v>
      </c>
      <c r="IR56" s="132">
        <v>105522</v>
      </c>
      <c r="IT56" s="132">
        <v>13733</v>
      </c>
      <c r="IU56" s="132">
        <v>57493</v>
      </c>
      <c r="IV56" s="132">
        <v>787</v>
      </c>
      <c r="IW56" s="132">
        <v>30883</v>
      </c>
      <c r="IX56" s="132">
        <v>219</v>
      </c>
      <c r="IY56" s="132">
        <v>54606</v>
      </c>
      <c r="IZ56" s="132">
        <v>146360</v>
      </c>
      <c r="JA56" s="132">
        <v>11775</v>
      </c>
      <c r="JB56" s="132">
        <v>135680</v>
      </c>
      <c r="JC56" s="132">
        <v>84296</v>
      </c>
      <c r="JD56" s="132">
        <v>228802</v>
      </c>
      <c r="JE56" s="132">
        <v>29184</v>
      </c>
      <c r="JF56" s="132">
        <v>71551</v>
      </c>
      <c r="JG56" s="132">
        <v>162255</v>
      </c>
      <c r="JH56" s="132">
        <v>73595</v>
      </c>
      <c r="JI56" s="132">
        <v>575826</v>
      </c>
      <c r="JJ56" s="132">
        <v>473</v>
      </c>
      <c r="JK56" s="132">
        <v>77979</v>
      </c>
      <c r="JL56" s="132">
        <v>35585</v>
      </c>
      <c r="JM56" s="132">
        <v>162348</v>
      </c>
      <c r="JN56" s="132">
        <v>283851</v>
      </c>
    </row>
    <row r="57" spans="1:309" s="132" customFormat="1" x14ac:dyDescent="0.25">
      <c r="A57" s="134" t="s">
        <v>437</v>
      </c>
      <c r="B57" s="134"/>
      <c r="C57" s="134" t="s">
        <v>1069</v>
      </c>
      <c r="D57" s="134"/>
      <c r="E57" s="135"/>
      <c r="F57" s="134"/>
      <c r="G57" s="134" t="s">
        <v>438</v>
      </c>
      <c r="Q57" s="132">
        <v>332110</v>
      </c>
      <c r="AH57" s="132">
        <v>1378216</v>
      </c>
      <c r="AI57" s="132">
        <v>759174</v>
      </c>
      <c r="AJ57" s="132">
        <v>311314</v>
      </c>
      <c r="AK57" s="132">
        <v>1076087</v>
      </c>
      <c r="AL57" s="132">
        <v>21214</v>
      </c>
      <c r="CU57" s="132">
        <v>25394</v>
      </c>
      <c r="CV57" s="132">
        <v>43150</v>
      </c>
      <c r="CW57" s="132">
        <v>54432</v>
      </c>
      <c r="CX57" s="132">
        <v>57572</v>
      </c>
      <c r="CY57" s="132">
        <v>29840</v>
      </c>
      <c r="CZ57" s="132">
        <v>3950</v>
      </c>
      <c r="DA57" s="132">
        <v>88629</v>
      </c>
      <c r="DC57" s="132">
        <v>98541</v>
      </c>
      <c r="DE57" s="132">
        <v>30112</v>
      </c>
      <c r="DF57" s="132">
        <v>129452</v>
      </c>
      <c r="DG57" s="132">
        <v>19648</v>
      </c>
      <c r="DH57" s="132">
        <v>83056</v>
      </c>
      <c r="DJ57" s="132">
        <v>94232</v>
      </c>
      <c r="DL57" s="132">
        <v>217888</v>
      </c>
      <c r="DM57" s="132">
        <v>79500</v>
      </c>
      <c r="DN57" s="132">
        <v>7488</v>
      </c>
      <c r="DP57" s="132">
        <v>2400</v>
      </c>
      <c r="DQ57" s="132">
        <v>21213</v>
      </c>
      <c r="DR57" s="132">
        <v>103501</v>
      </c>
      <c r="DS57" s="132">
        <v>128112</v>
      </c>
      <c r="DT57" s="132">
        <v>26020</v>
      </c>
      <c r="DY57" s="132">
        <v>47904</v>
      </c>
      <c r="DZ57" s="132">
        <v>229015</v>
      </c>
      <c r="EA57" s="132">
        <v>141541</v>
      </c>
      <c r="EB57" s="132">
        <v>284395</v>
      </c>
      <c r="EC57" s="132">
        <v>299</v>
      </c>
      <c r="ED57" s="132">
        <v>2800</v>
      </c>
      <c r="EE57" s="132">
        <v>220851</v>
      </c>
      <c r="EG57" s="132">
        <v>154821</v>
      </c>
      <c r="EI57" s="132">
        <v>69961</v>
      </c>
      <c r="EJ57" s="132">
        <v>355795</v>
      </c>
      <c r="EK57" s="132">
        <v>48711</v>
      </c>
      <c r="EL57" s="132">
        <v>267195</v>
      </c>
      <c r="EN57" s="132">
        <v>168887</v>
      </c>
      <c r="EP57" s="132">
        <v>546544</v>
      </c>
      <c r="EQ57" s="132">
        <v>174229</v>
      </c>
      <c r="ER57" s="132">
        <v>48183</v>
      </c>
      <c r="ET57" s="132">
        <v>1400</v>
      </c>
      <c r="EU57" s="132">
        <v>69033</v>
      </c>
      <c r="EV57" s="132">
        <v>281065</v>
      </c>
      <c r="EW57" s="132">
        <v>265977</v>
      </c>
      <c r="EX57" s="132">
        <v>80121</v>
      </c>
      <c r="IO57" s="132">
        <v>7637</v>
      </c>
      <c r="IP57" s="132">
        <v>45147</v>
      </c>
      <c r="IQ57" s="132">
        <v>28735</v>
      </c>
      <c r="IR57" s="132">
        <v>17815</v>
      </c>
      <c r="IS57" s="132">
        <v>64337</v>
      </c>
      <c r="IT57" s="132">
        <v>209</v>
      </c>
      <c r="IU57" s="132">
        <v>64770</v>
      </c>
      <c r="IW57" s="132">
        <v>33468</v>
      </c>
      <c r="IY57" s="132">
        <v>11609</v>
      </c>
      <c r="IZ57" s="132">
        <v>19550</v>
      </c>
      <c r="JA57" s="132">
        <v>1807</v>
      </c>
      <c r="JB57" s="132">
        <v>32251</v>
      </c>
      <c r="JD57" s="132">
        <v>16619</v>
      </c>
      <c r="JF57" s="132">
        <v>28479</v>
      </c>
      <c r="JG57" s="132">
        <v>48985</v>
      </c>
      <c r="JH57" s="132">
        <v>10145</v>
      </c>
      <c r="JJ57" s="132">
        <v>190</v>
      </c>
      <c r="JK57" s="132">
        <v>2402</v>
      </c>
      <c r="JL57" s="132">
        <v>44745</v>
      </c>
      <c r="JM57" s="132">
        <v>9387</v>
      </c>
      <c r="JN57" s="132">
        <v>4050</v>
      </c>
    </row>
    <row r="58" spans="1:309" s="132" customFormat="1" x14ac:dyDescent="0.25">
      <c r="A58" s="134" t="s">
        <v>413</v>
      </c>
      <c r="B58" s="134"/>
      <c r="C58" s="134" t="s">
        <v>1069</v>
      </c>
      <c r="D58" s="134"/>
      <c r="E58" s="135"/>
      <c r="F58" s="134"/>
      <c r="G58" s="134" t="s">
        <v>414</v>
      </c>
      <c r="Q58" s="132">
        <v>1091240</v>
      </c>
      <c r="AH58" s="132">
        <v>2094948</v>
      </c>
      <c r="AI58" s="132">
        <v>1009531</v>
      </c>
      <c r="AJ58" s="132">
        <v>613228</v>
      </c>
      <c r="AK58" s="132">
        <v>530872</v>
      </c>
      <c r="AL58" s="132">
        <v>0</v>
      </c>
      <c r="CU58" s="132">
        <v>4416</v>
      </c>
      <c r="CV58" s="132">
        <v>60389</v>
      </c>
      <c r="CW58" s="132">
        <v>201904</v>
      </c>
      <c r="CX58" s="132">
        <v>112786</v>
      </c>
      <c r="CZ58" s="132">
        <v>10368</v>
      </c>
      <c r="DA58" s="132">
        <v>102679</v>
      </c>
      <c r="DB58" s="132">
        <v>7584</v>
      </c>
      <c r="DC58" s="132">
        <v>46763</v>
      </c>
      <c r="DE58" s="132">
        <v>36456</v>
      </c>
      <c r="DF58" s="132">
        <v>216711</v>
      </c>
      <c r="DG58" s="132">
        <v>13402</v>
      </c>
      <c r="DH58" s="132">
        <v>95587</v>
      </c>
      <c r="DJ58" s="132">
        <v>120184</v>
      </c>
      <c r="DK58" s="132">
        <v>21360</v>
      </c>
      <c r="DL58" s="132">
        <v>231216</v>
      </c>
      <c r="DM58" s="132">
        <v>144832</v>
      </c>
      <c r="DO58" s="132">
        <v>960</v>
      </c>
      <c r="DQ58" s="132">
        <v>59616</v>
      </c>
      <c r="DR58" s="132">
        <v>71685</v>
      </c>
      <c r="DS58" s="132">
        <v>255456</v>
      </c>
      <c r="DT58" s="132">
        <v>56304</v>
      </c>
      <c r="DY58" s="132">
        <v>3146</v>
      </c>
      <c r="DZ58" s="132">
        <v>162156</v>
      </c>
      <c r="EA58" s="132">
        <v>691686</v>
      </c>
      <c r="EB58" s="132">
        <v>305234</v>
      </c>
      <c r="ED58" s="132">
        <v>41129</v>
      </c>
      <c r="EE58" s="132">
        <v>345609</v>
      </c>
      <c r="EF58" s="132">
        <v>49861</v>
      </c>
      <c r="EG58" s="132">
        <v>38035</v>
      </c>
      <c r="EI58" s="132">
        <v>71283</v>
      </c>
      <c r="EJ58" s="132">
        <v>696865</v>
      </c>
      <c r="EK58" s="132">
        <v>47679</v>
      </c>
      <c r="EL58" s="132">
        <v>766398</v>
      </c>
      <c r="EN58" s="132">
        <v>252304</v>
      </c>
      <c r="EO58" s="132">
        <v>153034</v>
      </c>
      <c r="EP58" s="132">
        <v>720281</v>
      </c>
      <c r="EQ58" s="132">
        <v>380977</v>
      </c>
      <c r="ES58" s="132">
        <v>15231</v>
      </c>
      <c r="EU58" s="132">
        <v>224198</v>
      </c>
      <c r="EV58" s="132">
        <v>199638</v>
      </c>
      <c r="EW58" s="132">
        <v>678086</v>
      </c>
      <c r="EX58" s="132">
        <v>300642</v>
      </c>
      <c r="IO58" s="132">
        <v>0</v>
      </c>
      <c r="IP58" s="132">
        <v>46709</v>
      </c>
      <c r="IQ58" s="132">
        <v>137314</v>
      </c>
      <c r="IR58" s="132">
        <v>72939</v>
      </c>
      <c r="IT58" s="132">
        <v>0</v>
      </c>
      <c r="IU58" s="132">
        <v>83879</v>
      </c>
      <c r="IV58" s="132">
        <v>285</v>
      </c>
      <c r="IW58" s="132">
        <v>9709</v>
      </c>
      <c r="IY58" s="132">
        <v>16049</v>
      </c>
      <c r="IZ58" s="132">
        <v>69472</v>
      </c>
      <c r="JA58" s="132">
        <v>10038</v>
      </c>
      <c r="JB58" s="132">
        <v>105575</v>
      </c>
      <c r="JD58" s="132">
        <v>60073</v>
      </c>
      <c r="JE58" s="132">
        <v>23501</v>
      </c>
      <c r="JF58" s="132">
        <v>163377</v>
      </c>
      <c r="JG58" s="132">
        <v>139918</v>
      </c>
      <c r="JI58" s="132">
        <v>7853</v>
      </c>
      <c r="JK58" s="132">
        <v>46913</v>
      </c>
      <c r="JL58" s="132">
        <v>49767</v>
      </c>
      <c r="JM58" s="132">
        <v>60856</v>
      </c>
      <c r="JN58" s="132">
        <v>83035</v>
      </c>
    </row>
    <row r="59" spans="1:309" s="132" customFormat="1" x14ac:dyDescent="0.25">
      <c r="A59" s="134" t="s">
        <v>415</v>
      </c>
      <c r="B59" s="134"/>
      <c r="C59" s="134" t="s">
        <v>1069</v>
      </c>
      <c r="D59" s="134"/>
      <c r="E59" s="135"/>
      <c r="F59" s="134"/>
      <c r="G59" s="134" t="s">
        <v>416</v>
      </c>
      <c r="Q59" s="132">
        <v>135647</v>
      </c>
      <c r="AH59" s="132">
        <v>2580789</v>
      </c>
      <c r="AI59" s="132">
        <v>785781</v>
      </c>
      <c r="AJ59" s="132">
        <v>434402</v>
      </c>
      <c r="AK59" s="132">
        <v>415185</v>
      </c>
      <c r="AL59" s="132">
        <v>0</v>
      </c>
      <c r="CU59" s="132">
        <v>19488</v>
      </c>
      <c r="CV59" s="132">
        <v>12272</v>
      </c>
      <c r="CW59" s="132">
        <v>140832</v>
      </c>
      <c r="CX59" s="132">
        <v>104601</v>
      </c>
      <c r="CZ59" s="132">
        <v>1056</v>
      </c>
      <c r="DA59" s="132">
        <v>105546</v>
      </c>
      <c r="DB59" s="132">
        <v>42960</v>
      </c>
      <c r="DC59" s="132">
        <v>69470</v>
      </c>
      <c r="DE59" s="132">
        <v>56896</v>
      </c>
      <c r="DF59" s="132">
        <v>376373</v>
      </c>
      <c r="DG59" s="132">
        <v>14120</v>
      </c>
      <c r="DH59" s="132">
        <v>52864</v>
      </c>
      <c r="DJ59" s="132">
        <v>288890</v>
      </c>
      <c r="DK59" s="132">
        <v>25488</v>
      </c>
      <c r="DL59" s="132">
        <v>78496</v>
      </c>
      <c r="DM59" s="132">
        <v>154000</v>
      </c>
      <c r="DO59" s="132">
        <v>49200</v>
      </c>
      <c r="DP59" s="132">
        <v>1800</v>
      </c>
      <c r="DQ59" s="132">
        <v>60176</v>
      </c>
      <c r="DR59" s="132">
        <v>77526</v>
      </c>
      <c r="DS59" s="132">
        <v>266192</v>
      </c>
      <c r="DT59" s="132">
        <v>53808</v>
      </c>
      <c r="DY59" s="132">
        <v>73215</v>
      </c>
      <c r="DZ59" s="132">
        <v>49903</v>
      </c>
      <c r="EA59" s="132">
        <v>277417</v>
      </c>
      <c r="EB59" s="132">
        <v>318655</v>
      </c>
      <c r="ED59" s="132">
        <v>0</v>
      </c>
      <c r="EE59" s="132">
        <v>247441</v>
      </c>
      <c r="EF59" s="132">
        <v>25260</v>
      </c>
      <c r="EG59" s="132">
        <v>135262</v>
      </c>
      <c r="EI59" s="132">
        <v>150936</v>
      </c>
      <c r="EJ59" s="132">
        <v>840923</v>
      </c>
      <c r="EK59" s="132">
        <v>38338</v>
      </c>
      <c r="EL59" s="132">
        <v>278469</v>
      </c>
      <c r="EN59" s="132">
        <v>282064</v>
      </c>
      <c r="EO59" s="132">
        <v>124912</v>
      </c>
      <c r="EP59" s="132">
        <v>240594</v>
      </c>
      <c r="EQ59" s="132">
        <v>226723</v>
      </c>
      <c r="ES59" s="132">
        <v>194346</v>
      </c>
      <c r="ET59" s="132">
        <v>1058</v>
      </c>
      <c r="EU59" s="132">
        <v>221906</v>
      </c>
      <c r="EV59" s="132">
        <v>306155</v>
      </c>
      <c r="EW59" s="132">
        <v>582618</v>
      </c>
      <c r="EX59" s="132">
        <v>229699</v>
      </c>
      <c r="IO59" s="132">
        <v>85300</v>
      </c>
      <c r="IP59" s="132">
        <v>16184</v>
      </c>
      <c r="IQ59" s="132">
        <v>42697</v>
      </c>
      <c r="IR59" s="132">
        <v>56724</v>
      </c>
      <c r="IT59" s="132">
        <v>0</v>
      </c>
      <c r="IU59" s="132">
        <v>104792</v>
      </c>
      <c r="IV59" s="132">
        <v>89340</v>
      </c>
      <c r="IW59" s="132">
        <v>115352</v>
      </c>
      <c r="IY59" s="132">
        <v>94967</v>
      </c>
      <c r="IZ59" s="132">
        <v>161829</v>
      </c>
      <c r="JA59" s="132">
        <v>4708</v>
      </c>
      <c r="JB59" s="132">
        <v>31345</v>
      </c>
      <c r="JD59" s="132">
        <v>107696</v>
      </c>
      <c r="JE59" s="132">
        <v>22286</v>
      </c>
      <c r="JF59" s="132">
        <v>54425</v>
      </c>
      <c r="JG59" s="132">
        <v>16964</v>
      </c>
      <c r="JI59" s="132">
        <v>123256</v>
      </c>
      <c r="JJ59" s="132">
        <v>3744</v>
      </c>
      <c r="JK59" s="132">
        <v>86230</v>
      </c>
      <c r="JL59" s="132">
        <v>55717</v>
      </c>
      <c r="JM59" s="132">
        <v>72231</v>
      </c>
      <c r="JN59" s="132">
        <v>26778</v>
      </c>
    </row>
    <row r="60" spans="1:309" s="132" customFormat="1" x14ac:dyDescent="0.25">
      <c r="A60" s="134" t="s">
        <v>431</v>
      </c>
      <c r="B60" s="134"/>
      <c r="C60" s="134" t="s">
        <v>1069</v>
      </c>
      <c r="D60" s="134"/>
      <c r="E60" s="135"/>
      <c r="F60" s="134"/>
      <c r="G60" s="134" t="s">
        <v>432</v>
      </c>
      <c r="Q60" s="132">
        <v>60053</v>
      </c>
      <c r="AH60" s="132">
        <v>1198672</v>
      </c>
      <c r="AI60" s="132">
        <v>360844</v>
      </c>
      <c r="AJ60" s="132">
        <v>97348</v>
      </c>
      <c r="AK60" s="132">
        <v>708507</v>
      </c>
      <c r="AL60" s="132">
        <v>0</v>
      </c>
      <c r="CU60" s="132">
        <v>55504</v>
      </c>
      <c r="CV60" s="132">
        <v>16240</v>
      </c>
      <c r="CW60" s="132">
        <v>25408</v>
      </c>
      <c r="CX60" s="132">
        <v>34032</v>
      </c>
      <c r="CZ60" s="132">
        <v>5616</v>
      </c>
      <c r="DA60" s="132">
        <v>19328</v>
      </c>
      <c r="DC60" s="132">
        <v>26064</v>
      </c>
      <c r="DE60" s="132">
        <v>28736</v>
      </c>
      <c r="DF60" s="132">
        <v>98688</v>
      </c>
      <c r="DG60" s="132">
        <v>1312</v>
      </c>
      <c r="DJ60" s="132">
        <v>10912</v>
      </c>
      <c r="DL60" s="132">
        <v>29232</v>
      </c>
      <c r="DM60" s="132">
        <v>65520</v>
      </c>
      <c r="DN60" s="132">
        <v>13024</v>
      </c>
      <c r="DO60" s="132">
        <v>1264</v>
      </c>
      <c r="DQ60" s="132">
        <v>14784</v>
      </c>
      <c r="DR60" s="132">
        <v>11568</v>
      </c>
      <c r="DS60" s="132">
        <v>99264</v>
      </c>
      <c r="DT60" s="132">
        <v>29232</v>
      </c>
      <c r="DY60" s="132">
        <v>220549</v>
      </c>
      <c r="DZ60" s="132">
        <v>44811</v>
      </c>
      <c r="EA60" s="132">
        <v>124774</v>
      </c>
      <c r="EB60" s="132">
        <v>119848</v>
      </c>
      <c r="ED60" s="132">
        <v>41811</v>
      </c>
      <c r="EE60" s="132">
        <v>78174</v>
      </c>
      <c r="EG60" s="132">
        <v>42789</v>
      </c>
      <c r="EI60" s="132">
        <v>63006</v>
      </c>
      <c r="EJ60" s="132">
        <v>288249</v>
      </c>
      <c r="EK60" s="132">
        <v>10956</v>
      </c>
      <c r="EN60" s="132">
        <v>27081</v>
      </c>
      <c r="EP60" s="132">
        <v>84510</v>
      </c>
      <c r="EQ60" s="132">
        <v>190774</v>
      </c>
      <c r="ER60" s="132">
        <v>43656</v>
      </c>
      <c r="ES60" s="132">
        <v>1900</v>
      </c>
      <c r="EU60" s="132">
        <v>66967</v>
      </c>
      <c r="EV60" s="132">
        <v>151303</v>
      </c>
      <c r="EW60" s="132">
        <v>277844</v>
      </c>
      <c r="EX60" s="132">
        <v>117425</v>
      </c>
      <c r="IO60" s="132">
        <v>75048</v>
      </c>
      <c r="IP60" s="132">
        <v>14975</v>
      </c>
      <c r="IQ60" s="132">
        <v>10579</v>
      </c>
      <c r="IR60" s="132">
        <v>15536</v>
      </c>
      <c r="IT60" s="132">
        <v>19293</v>
      </c>
      <c r="IU60" s="132">
        <v>3930</v>
      </c>
      <c r="IW60" s="132">
        <v>3981</v>
      </c>
      <c r="IY60" s="132">
        <v>45061</v>
      </c>
      <c r="IZ60" s="132">
        <v>19754</v>
      </c>
      <c r="JA60" s="132">
        <v>373</v>
      </c>
      <c r="JD60" s="132">
        <v>54010</v>
      </c>
      <c r="JF60" s="132">
        <v>6938</v>
      </c>
      <c r="JG60" s="132">
        <v>13511</v>
      </c>
      <c r="JH60" s="132">
        <v>12937</v>
      </c>
      <c r="JI60" s="132">
        <v>500</v>
      </c>
      <c r="JK60" s="132">
        <v>71778</v>
      </c>
      <c r="JL60" s="132">
        <v>74937</v>
      </c>
      <c r="JM60" s="132">
        <v>13237</v>
      </c>
      <c r="JN60" s="132">
        <v>29153</v>
      </c>
    </row>
    <row r="61" spans="1:309" s="132" customFormat="1" x14ac:dyDescent="0.25">
      <c r="A61" s="134" t="s">
        <v>417</v>
      </c>
      <c r="B61" s="134"/>
      <c r="C61" s="134" t="s">
        <v>1069</v>
      </c>
      <c r="D61" s="134"/>
      <c r="E61" s="135"/>
      <c r="F61" s="134"/>
      <c r="G61" s="134" t="s">
        <v>418</v>
      </c>
      <c r="Q61" s="132">
        <v>1370875</v>
      </c>
      <c r="AH61" s="132">
        <v>4160635</v>
      </c>
      <c r="AI61" s="132">
        <v>1170337</v>
      </c>
      <c r="AJ61" s="132">
        <v>463082</v>
      </c>
      <c r="AK61" s="132">
        <v>1177154</v>
      </c>
      <c r="AL61" s="132">
        <v>0</v>
      </c>
      <c r="CU61" s="132">
        <v>16048</v>
      </c>
      <c r="CV61" s="132">
        <v>26668</v>
      </c>
      <c r="CW61" s="132">
        <v>265168</v>
      </c>
      <c r="CX61" s="132">
        <v>108701</v>
      </c>
      <c r="CZ61" s="132">
        <v>2240</v>
      </c>
      <c r="DA61" s="132">
        <v>92371</v>
      </c>
      <c r="DC61" s="132">
        <v>110584</v>
      </c>
      <c r="DE61" s="132">
        <v>31624</v>
      </c>
      <c r="DF61" s="132">
        <v>387058</v>
      </c>
      <c r="DG61" s="132">
        <v>26288</v>
      </c>
      <c r="DH61" s="132">
        <v>44594</v>
      </c>
      <c r="DI61" s="132">
        <v>34096</v>
      </c>
      <c r="DJ61" s="132">
        <v>173225</v>
      </c>
      <c r="DL61" s="132">
        <v>73616</v>
      </c>
      <c r="DM61" s="132">
        <v>255616</v>
      </c>
      <c r="DN61" s="132">
        <v>19941</v>
      </c>
      <c r="DP61" s="132">
        <v>490</v>
      </c>
      <c r="DQ61" s="132">
        <v>37248</v>
      </c>
      <c r="DR61" s="132">
        <v>106400</v>
      </c>
      <c r="DS61" s="132">
        <v>471264</v>
      </c>
      <c r="DT61" s="132">
        <v>69150</v>
      </c>
      <c r="DY61" s="132">
        <v>82049</v>
      </c>
      <c r="DZ61" s="132">
        <v>134590</v>
      </c>
      <c r="EA61" s="132">
        <v>656965</v>
      </c>
      <c r="EB61" s="132">
        <v>215132</v>
      </c>
      <c r="ED61" s="132">
        <v>7686</v>
      </c>
      <c r="EE61" s="132">
        <v>365594</v>
      </c>
      <c r="EG61" s="132">
        <v>284539</v>
      </c>
      <c r="EI61" s="132">
        <v>166109</v>
      </c>
      <c r="EJ61" s="132">
        <v>1205712</v>
      </c>
      <c r="EK61" s="132">
        <v>77453</v>
      </c>
      <c r="EL61" s="132">
        <v>260650</v>
      </c>
      <c r="EM61" s="132">
        <v>243907</v>
      </c>
      <c r="EN61" s="132">
        <v>442631</v>
      </c>
      <c r="EP61" s="132">
        <v>325229</v>
      </c>
      <c r="EQ61" s="132">
        <v>448925</v>
      </c>
      <c r="ER61" s="132">
        <v>95220</v>
      </c>
      <c r="ET61" s="132">
        <v>2242</v>
      </c>
      <c r="EU61" s="132">
        <v>73661</v>
      </c>
      <c r="EV61" s="132">
        <v>254216</v>
      </c>
      <c r="EW61" s="132">
        <v>902766</v>
      </c>
      <c r="EX61" s="132">
        <v>265451</v>
      </c>
      <c r="IO61" s="132">
        <v>14223</v>
      </c>
      <c r="IP61" s="132">
        <v>27156</v>
      </c>
      <c r="IQ61" s="132">
        <v>67876</v>
      </c>
      <c r="IR61" s="132">
        <v>23646</v>
      </c>
      <c r="IT61" s="132">
        <v>981</v>
      </c>
      <c r="IU61" s="132">
        <v>79889</v>
      </c>
      <c r="IW61" s="132">
        <v>42119</v>
      </c>
      <c r="IY61" s="132">
        <v>12818</v>
      </c>
      <c r="IZ61" s="132">
        <v>60622</v>
      </c>
      <c r="JA61" s="132">
        <v>16428</v>
      </c>
      <c r="JB61" s="132">
        <v>22216</v>
      </c>
      <c r="JC61" s="132">
        <v>52547</v>
      </c>
      <c r="JD61" s="132">
        <v>199223</v>
      </c>
      <c r="JF61" s="132">
        <v>41757</v>
      </c>
      <c r="JG61" s="132">
        <v>4922</v>
      </c>
      <c r="JH61" s="132">
        <v>10768</v>
      </c>
      <c r="JJ61" s="132">
        <v>3489</v>
      </c>
      <c r="JK61" s="132">
        <v>16046</v>
      </c>
      <c r="JL61" s="132">
        <v>213596</v>
      </c>
      <c r="JM61" s="132">
        <v>22788</v>
      </c>
      <c r="JN61" s="132">
        <v>40984</v>
      </c>
    </row>
    <row r="62" spans="1:309" x14ac:dyDescent="0.25">
      <c r="CU62" s="65"/>
      <c r="CV62" s="65"/>
      <c r="CW62" s="65"/>
      <c r="CX62" s="65"/>
      <c r="CY62" s="65"/>
      <c r="CZ62" s="65"/>
      <c r="DA62" s="65"/>
      <c r="DB62" s="65"/>
      <c r="DC62" s="65"/>
      <c r="DD62" s="65"/>
      <c r="DE62" s="65"/>
      <c r="DF62" s="65"/>
      <c r="DG62" s="65"/>
      <c r="DH62" s="65"/>
      <c r="DI62" s="65"/>
      <c r="DJ62" s="65"/>
      <c r="DK62" s="65"/>
      <c r="DL62" s="65"/>
      <c r="DM62" s="65"/>
      <c r="DN62" s="65"/>
      <c r="DO62" s="65"/>
      <c r="DP62" s="65"/>
      <c r="DQ62" s="65"/>
      <c r="DR62" s="65"/>
      <c r="DS62" s="65"/>
      <c r="DT62" s="65"/>
      <c r="DU62" s="65"/>
      <c r="DV62" s="65"/>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41"/>
    </row>
    <row r="63" spans="1:309" x14ac:dyDescent="0.2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5"/>
      <c r="DJ63" s="65"/>
      <c r="DK63" s="65"/>
      <c r="DL63" s="65"/>
      <c r="DM63" s="65"/>
      <c r="DN63" s="65"/>
      <c r="DO63" s="65"/>
      <c r="DP63" s="65"/>
      <c r="DQ63" s="65"/>
      <c r="DR63" s="65"/>
      <c r="DS63" s="65"/>
      <c r="DT63" s="65"/>
      <c r="DU63" s="65"/>
      <c r="DV63" s="65"/>
      <c r="DW63" s="65"/>
      <c r="DX63" s="65"/>
      <c r="DY63" s="65"/>
      <c r="DZ63" s="65"/>
      <c r="EA63" s="65"/>
      <c r="EB63" s="65"/>
      <c r="EC63" s="65"/>
      <c r="ED63" s="65"/>
      <c r="EE63" s="65"/>
      <c r="EF63" s="65"/>
      <c r="EG63" s="65"/>
      <c r="EH63" s="65"/>
      <c r="EI63" s="65"/>
      <c r="EJ63" s="65"/>
      <c r="EK63" s="65"/>
      <c r="EL63" s="65"/>
      <c r="EM63" s="65"/>
      <c r="EN63" s="65"/>
      <c r="EO63" s="65"/>
      <c r="EP63" s="65"/>
      <c r="EQ63" s="65"/>
      <c r="ER63" s="65"/>
      <c r="ES63" s="65"/>
      <c r="ET63" s="65"/>
      <c r="EU63" s="65"/>
      <c r="EV63" s="65"/>
      <c r="EW63" s="65"/>
      <c r="EX63" s="65"/>
      <c r="EY63" s="65"/>
      <c r="EZ63" s="65"/>
      <c r="FA63" s="65"/>
      <c r="FB63" s="65"/>
      <c r="FC63" s="65"/>
      <c r="FD63" s="65"/>
      <c r="FE63" s="65"/>
      <c r="FF63" s="65"/>
      <c r="FG63" s="65"/>
      <c r="FH63" s="65"/>
      <c r="FI63" s="65"/>
      <c r="FJ63" s="65"/>
      <c r="FK63" s="65"/>
      <c r="FL63" s="65"/>
      <c r="FM63" s="65"/>
      <c r="FN63" s="65"/>
      <c r="FO63" s="65"/>
      <c r="FP63" s="65"/>
      <c r="FQ63" s="65"/>
      <c r="FR63" s="65"/>
      <c r="FS63" s="65"/>
      <c r="FT63" s="65"/>
      <c r="FU63" s="65"/>
      <c r="FV63" s="65"/>
      <c r="FW63" s="65"/>
      <c r="FX63" s="65"/>
      <c r="FY63" s="65"/>
      <c r="FZ63" s="65"/>
      <c r="GA63" s="65"/>
      <c r="GB63" s="65"/>
      <c r="GC63" s="65"/>
      <c r="GD63" s="65"/>
      <c r="GE63" s="65"/>
      <c r="GF63" s="65"/>
      <c r="GG63" s="65"/>
      <c r="GH63" s="65"/>
      <c r="GI63" s="65"/>
      <c r="GJ63" s="65"/>
      <c r="GK63" s="65"/>
      <c r="GL63" s="65"/>
      <c r="GM63" s="65"/>
      <c r="GN63" s="65"/>
      <c r="GO63" s="65"/>
      <c r="GP63" s="65"/>
      <c r="GQ63" s="65"/>
      <c r="GR63" s="65"/>
      <c r="GS63" s="65"/>
      <c r="GT63" s="65"/>
      <c r="GU63" s="65"/>
      <c r="GV63" s="65"/>
      <c r="GW63" s="65"/>
      <c r="GX63" s="65"/>
      <c r="GY63" s="65"/>
      <c r="GZ63" s="65"/>
      <c r="HA63" s="65"/>
      <c r="HB63" s="65"/>
      <c r="HC63" s="65"/>
      <c r="HD63" s="65"/>
      <c r="HE63" s="65"/>
      <c r="HF63" s="65"/>
      <c r="HG63" s="65"/>
      <c r="HH63" s="65"/>
      <c r="HI63" s="65"/>
      <c r="HJ63" s="65"/>
      <c r="HK63" s="65"/>
      <c r="HL63" s="65"/>
      <c r="HM63" s="65"/>
      <c r="HN63" s="65"/>
      <c r="HO63" s="65"/>
      <c r="HP63" s="65"/>
      <c r="HQ63" s="65"/>
      <c r="HR63" s="65"/>
      <c r="HS63" s="65"/>
      <c r="HT63" s="65"/>
      <c r="HU63" s="65"/>
      <c r="HV63" s="65"/>
      <c r="HW63" s="65"/>
      <c r="HX63" s="65"/>
      <c r="HY63" s="65"/>
      <c r="HZ63" s="65"/>
      <c r="IA63" s="65"/>
      <c r="IB63" s="65"/>
      <c r="IC63" s="65"/>
      <c r="ID63" s="65"/>
      <c r="IE63" s="65"/>
      <c r="IF63" s="65"/>
      <c r="IG63" s="65"/>
      <c r="IH63" s="65"/>
      <c r="II63" s="65"/>
      <c r="IJ63" s="65"/>
      <c r="IK63" s="65"/>
      <c r="IL63" s="65"/>
      <c r="IM63" s="65"/>
      <c r="IN63" s="65"/>
      <c r="IO63" s="65"/>
      <c r="IP63" s="65"/>
      <c r="IQ63" s="65"/>
      <c r="IR63" s="65"/>
      <c r="IS63" s="65"/>
      <c r="IT63" s="65"/>
      <c r="IU63" s="65"/>
      <c r="IV63" s="65"/>
      <c r="IW63" s="65"/>
      <c r="IX63" s="65"/>
      <c r="IY63" s="65"/>
      <c r="IZ63" s="65"/>
      <c r="JA63" s="65"/>
      <c r="JB63" s="65"/>
      <c r="JC63" s="65"/>
      <c r="JD63" s="65"/>
      <c r="JE63" s="65"/>
      <c r="JF63" s="65"/>
      <c r="JG63" s="65"/>
      <c r="JH63" s="65"/>
      <c r="JI63" s="65"/>
      <c r="JJ63" s="65"/>
      <c r="JK63" s="65"/>
      <c r="JL63" s="65"/>
      <c r="JM63" s="65"/>
      <c r="JN63" s="65"/>
      <c r="JO63" s="65"/>
      <c r="JP63" s="65"/>
      <c r="JQ63" s="65"/>
      <c r="JR63" s="65"/>
      <c r="JS63" s="65"/>
      <c r="JT63" s="65"/>
      <c r="JU63" s="65"/>
      <c r="JV63" s="65"/>
      <c r="JW63" s="65"/>
      <c r="JX63" s="65"/>
      <c r="JY63" s="65"/>
      <c r="JZ63" s="65"/>
      <c r="KA63" s="65"/>
      <c r="KB63" s="65"/>
      <c r="KC63" s="65"/>
      <c r="KD63" s="65"/>
      <c r="KE63" s="65"/>
      <c r="KF63" s="65"/>
      <c r="KG63" s="65"/>
      <c r="KH63" s="65"/>
      <c r="KI63" s="65"/>
      <c r="KJ63" s="65"/>
      <c r="KK63" s="65"/>
      <c r="KL63" s="65"/>
      <c r="KM63" s="65"/>
      <c r="KN63" s="65"/>
      <c r="KO63" s="65"/>
      <c r="KP63" s="65"/>
      <c r="KQ63" s="65"/>
      <c r="KR63" s="65"/>
      <c r="KS63" s="65"/>
      <c r="KT63" s="65"/>
      <c r="KU63" s="65"/>
      <c r="KV63" s="65"/>
      <c r="KW63" s="65"/>
    </row>
    <row r="64" spans="1:309" x14ac:dyDescent="0.25">
      <c r="C64" s="131"/>
      <c r="D64" s="131"/>
      <c r="E64" s="131"/>
      <c r="F64" s="131"/>
      <c r="G64" s="131"/>
      <c r="H64" s="131"/>
      <c r="I64" s="131"/>
      <c r="J64" s="131"/>
      <c r="CT64" s="132"/>
      <c r="CU64" s="132"/>
      <c r="CV64" s="132"/>
      <c r="CW64" s="132"/>
      <c r="CX64" s="132"/>
      <c r="CY64" s="132"/>
      <c r="CZ64" s="132"/>
      <c r="DA64" s="132"/>
      <c r="DB64" s="132"/>
      <c r="DC64" s="132"/>
      <c r="DD64" s="132"/>
      <c r="DE64" s="132"/>
      <c r="DF64" s="132"/>
      <c r="DG64" s="132"/>
      <c r="DH64" s="132"/>
      <c r="DI64" s="132"/>
      <c r="DJ64" s="132"/>
      <c r="DK64" s="132"/>
      <c r="DL64" s="132"/>
      <c r="DM64" s="132"/>
      <c r="DN64" s="132"/>
      <c r="DO64" s="132"/>
      <c r="DP64" s="132"/>
      <c r="DQ64" s="132"/>
      <c r="DR64" s="132"/>
      <c r="DS64" s="132"/>
      <c r="DT64" s="132"/>
      <c r="DU64" s="132"/>
      <c r="DV64" s="132"/>
      <c r="DW64" s="132"/>
      <c r="DX64" s="132"/>
      <c r="DY64" s="132"/>
      <c r="DZ64" s="132"/>
      <c r="EA64" s="132"/>
      <c r="EB64" s="132"/>
      <c r="EC64" s="132"/>
      <c r="ED64" s="132"/>
      <c r="EE64" s="132"/>
      <c r="EF64" s="132"/>
      <c r="EG64" s="132"/>
      <c r="EH64" s="132"/>
      <c r="EI64" s="132"/>
      <c r="EJ64" s="132"/>
      <c r="EK64" s="132"/>
      <c r="EL64" s="132"/>
      <c r="EM64" s="132"/>
      <c r="EN64" s="132"/>
      <c r="EO64" s="132"/>
      <c r="EP64" s="132"/>
      <c r="EQ64" s="132"/>
      <c r="ER64" s="132"/>
      <c r="ES64" s="132"/>
      <c r="ET64" s="132"/>
      <c r="EU64" s="132"/>
      <c r="EV64" s="132"/>
      <c r="EW64" s="132"/>
      <c r="EX64" s="132"/>
      <c r="EY64" s="132"/>
      <c r="EZ64" s="132"/>
      <c r="FA64" s="132"/>
      <c r="FB64" s="132"/>
      <c r="FC64" s="132"/>
      <c r="FD64" s="132"/>
      <c r="FE64" s="132"/>
      <c r="FF64" s="132"/>
      <c r="FG64" s="132"/>
      <c r="FH64" s="132"/>
      <c r="FI64" s="132"/>
      <c r="FJ64" s="132"/>
      <c r="FK64" s="132"/>
      <c r="FL64" s="132"/>
      <c r="FM64" s="132"/>
      <c r="FN64" s="132"/>
      <c r="FO64" s="132"/>
      <c r="FP64" s="132"/>
      <c r="FQ64" s="132"/>
      <c r="FR64" s="132"/>
      <c r="FS64" s="132"/>
      <c r="FT64" s="132"/>
      <c r="FU64" s="132"/>
      <c r="FV64" s="132"/>
      <c r="FW64" s="132"/>
      <c r="FX64" s="132"/>
      <c r="FY64" s="132"/>
      <c r="FZ64" s="132"/>
      <c r="GA64" s="132"/>
      <c r="GB64" s="132"/>
      <c r="GC64" s="132"/>
      <c r="GD64" s="132"/>
      <c r="GE64" s="132"/>
      <c r="GF64" s="132"/>
      <c r="IH64" s="65"/>
      <c r="II64" s="65"/>
      <c r="IJ64" s="65"/>
      <c r="IK64" s="65"/>
      <c r="IL64" s="65"/>
      <c r="IM64" s="65"/>
      <c r="IN64" s="65"/>
      <c r="IO64" s="65"/>
      <c r="IP64" s="65"/>
      <c r="IQ64" s="65"/>
      <c r="IR64" s="65"/>
      <c r="IS64" s="65"/>
      <c r="IT64" s="65"/>
      <c r="IU64" s="65"/>
      <c r="IV64" s="65"/>
      <c r="IW64" s="65"/>
      <c r="IX64" s="65"/>
      <c r="IY64" s="65"/>
      <c r="IZ64" s="65"/>
      <c r="JA64" s="65"/>
      <c r="JB64" s="65"/>
      <c r="JC64" s="65"/>
      <c r="JD64" s="65"/>
      <c r="JE64" s="65"/>
      <c r="JF64" s="65"/>
      <c r="JG64" s="65"/>
      <c r="JH64" s="65"/>
    </row>
    <row r="65" spans="2:268" x14ac:dyDescent="0.25">
      <c r="C65" s="131"/>
      <c r="D65" s="131"/>
      <c r="E65" s="131"/>
      <c r="F65" s="131"/>
      <c r="G65" s="131"/>
      <c r="H65" s="131"/>
      <c r="I65" s="131"/>
      <c r="J65" s="131"/>
      <c r="CT65" s="132"/>
      <c r="CU65" s="132"/>
      <c r="CV65" s="132"/>
      <c r="CW65" s="132"/>
      <c r="CX65" s="132"/>
      <c r="CY65" s="132"/>
      <c r="CZ65" s="132"/>
      <c r="DA65" s="132"/>
      <c r="DB65" s="132"/>
      <c r="DC65" s="132"/>
      <c r="DD65" s="132"/>
      <c r="DE65" s="132"/>
      <c r="DF65" s="132"/>
      <c r="DG65" s="132"/>
      <c r="DH65" s="132"/>
      <c r="DI65" s="132"/>
      <c r="DJ65" s="132"/>
      <c r="DK65" s="132"/>
      <c r="DL65" s="132"/>
      <c r="DM65" s="132"/>
      <c r="DN65" s="132"/>
      <c r="DO65" s="132"/>
      <c r="DP65" s="132"/>
      <c r="DQ65" s="132"/>
      <c r="DR65" s="132"/>
      <c r="DS65" s="132"/>
      <c r="DT65" s="132"/>
      <c r="DU65" s="132"/>
      <c r="DV65" s="132"/>
      <c r="DW65" s="132"/>
      <c r="DX65" s="133"/>
      <c r="DY65" s="132"/>
      <c r="DZ65" s="132"/>
      <c r="EA65" s="132"/>
      <c r="EB65" s="132"/>
      <c r="EC65" s="132"/>
      <c r="ED65" s="132"/>
      <c r="EE65" s="132"/>
      <c r="EF65" s="132"/>
      <c r="EG65" s="132"/>
      <c r="EH65" s="132"/>
      <c r="EI65" s="132"/>
      <c r="EJ65" s="132"/>
      <c r="EK65" s="132"/>
      <c r="EL65" s="132"/>
      <c r="EM65" s="132"/>
      <c r="EN65" s="132"/>
      <c r="EO65" s="132"/>
      <c r="EP65" s="132"/>
      <c r="EQ65" s="132"/>
      <c r="ER65" s="132"/>
      <c r="ES65" s="132"/>
      <c r="ET65" s="132"/>
      <c r="EU65" s="132"/>
      <c r="EV65" s="132"/>
      <c r="EW65" s="132"/>
      <c r="EX65" s="132"/>
      <c r="EY65" s="132"/>
      <c r="EZ65" s="132"/>
      <c r="FA65" s="132"/>
      <c r="FB65" s="132"/>
      <c r="FC65" s="132"/>
      <c r="FD65" s="132"/>
      <c r="FE65" s="132"/>
      <c r="FF65" s="132"/>
      <c r="FG65" s="132"/>
      <c r="FH65" s="132"/>
      <c r="FI65" s="132"/>
      <c r="FJ65" s="132"/>
      <c r="FK65" s="132"/>
      <c r="FL65" s="132"/>
      <c r="FM65" s="132"/>
      <c r="FN65" s="132"/>
      <c r="FO65" s="132"/>
      <c r="FP65" s="132"/>
      <c r="FQ65" s="132"/>
      <c r="FR65" s="132"/>
      <c r="FS65" s="132"/>
      <c r="FT65" s="132"/>
      <c r="FU65" s="132"/>
      <c r="FV65" s="132"/>
      <c r="FW65" s="132"/>
      <c r="FX65" s="132"/>
      <c r="FY65" s="132"/>
      <c r="FZ65" s="132"/>
      <c r="GA65" s="132"/>
      <c r="GB65" s="132"/>
      <c r="GC65" s="132"/>
      <c r="GD65" s="132"/>
      <c r="GE65" s="132"/>
      <c r="GF65" s="132"/>
      <c r="IH65" s="65"/>
      <c r="II65" s="65"/>
      <c r="IJ65" s="65"/>
      <c r="IK65" s="65"/>
      <c r="IL65" s="65"/>
      <c r="IM65" s="65"/>
      <c r="IN65" s="65"/>
      <c r="IO65" s="65"/>
      <c r="IP65" s="65"/>
      <c r="IQ65" s="65"/>
      <c r="IR65" s="65"/>
      <c r="IS65" s="65"/>
      <c r="IT65" s="65"/>
      <c r="IU65" s="65"/>
      <c r="IV65" s="65"/>
      <c r="IW65" s="65"/>
      <c r="IX65" s="65"/>
      <c r="IY65" s="65"/>
      <c r="IZ65" s="65"/>
      <c r="JA65" s="65"/>
      <c r="JB65" s="65"/>
      <c r="JC65" s="65"/>
      <c r="JD65" s="65"/>
      <c r="JE65" s="65"/>
      <c r="JF65" s="65"/>
      <c r="JG65" s="65"/>
      <c r="JH65" s="65"/>
    </row>
    <row r="66" spans="2:268" x14ac:dyDescent="0.25">
      <c r="G66" s="129"/>
      <c r="H66" s="129"/>
      <c r="CT66" s="132"/>
      <c r="CU66" s="132"/>
      <c r="CV66" s="132"/>
      <c r="CW66" s="132"/>
      <c r="CX66" s="132"/>
      <c r="CY66" s="132"/>
      <c r="CZ66" s="132"/>
      <c r="DA66" s="132"/>
      <c r="DB66" s="132"/>
      <c r="DC66" s="132"/>
      <c r="DD66" s="132"/>
      <c r="DE66" s="132"/>
      <c r="DF66" s="132"/>
      <c r="DG66" s="132"/>
      <c r="DH66" s="132"/>
      <c r="DI66" s="132"/>
      <c r="DJ66" s="132"/>
      <c r="DK66" s="132"/>
      <c r="DL66" s="132"/>
      <c r="DM66" s="132"/>
      <c r="DN66" s="132"/>
      <c r="DO66" s="132"/>
      <c r="DP66" s="132"/>
      <c r="DQ66" s="132"/>
      <c r="DR66" s="132"/>
      <c r="DS66" s="132"/>
      <c r="DT66" s="132"/>
      <c r="DU66" s="132"/>
      <c r="DV66" s="132"/>
      <c r="DW66" s="132"/>
      <c r="DX66" s="133"/>
      <c r="DY66" s="132"/>
      <c r="DZ66" s="132"/>
      <c r="EA66" s="132"/>
      <c r="EB66" s="132"/>
      <c r="EC66" s="132"/>
      <c r="ED66" s="132"/>
      <c r="EE66" s="132"/>
      <c r="EF66" s="132"/>
      <c r="EG66" s="132"/>
      <c r="EH66" s="132"/>
      <c r="EI66" s="132"/>
      <c r="EJ66" s="132"/>
      <c r="EK66" s="132"/>
      <c r="EL66" s="132"/>
      <c r="EM66" s="132"/>
      <c r="EN66" s="132"/>
      <c r="EO66" s="132"/>
      <c r="EP66" s="132"/>
      <c r="EQ66" s="132"/>
      <c r="ER66" s="132"/>
      <c r="ES66" s="132"/>
      <c r="ET66" s="132"/>
      <c r="EU66" s="132"/>
      <c r="EV66" s="132"/>
      <c r="EW66" s="132"/>
      <c r="EX66" s="132"/>
      <c r="EY66" s="132"/>
      <c r="EZ66" s="132"/>
      <c r="FA66" s="132"/>
      <c r="FB66" s="132"/>
      <c r="FC66" s="132"/>
      <c r="FD66" s="132"/>
      <c r="FE66" s="132"/>
      <c r="FF66" s="132"/>
      <c r="FG66" s="132"/>
      <c r="FH66" s="132"/>
      <c r="FI66" s="132"/>
      <c r="FJ66" s="132"/>
      <c r="FK66" s="132"/>
      <c r="FL66" s="132"/>
      <c r="FM66" s="132"/>
      <c r="FN66" s="132"/>
      <c r="FO66" s="132"/>
      <c r="FP66" s="132"/>
      <c r="FQ66" s="132"/>
      <c r="FR66" s="132"/>
      <c r="FS66" s="132"/>
      <c r="FT66" s="132"/>
      <c r="FU66" s="132"/>
      <c r="FV66" s="132"/>
      <c r="FW66" s="132"/>
      <c r="FX66" s="132"/>
      <c r="FY66" s="132"/>
      <c r="FZ66" s="132"/>
      <c r="GA66" s="132"/>
      <c r="GB66" s="132"/>
      <c r="GC66" s="132"/>
      <c r="GD66" s="132"/>
      <c r="GE66" s="132"/>
      <c r="GF66" s="132"/>
      <c r="IH66" s="65"/>
      <c r="II66" s="65"/>
      <c r="IJ66" s="65"/>
      <c r="IK66" s="65"/>
      <c r="IL66" s="65"/>
      <c r="IM66" s="65"/>
      <c r="IN66" s="65"/>
      <c r="IO66" s="65"/>
      <c r="IP66" s="65"/>
      <c r="IQ66" s="65"/>
      <c r="IR66" s="65"/>
      <c r="IS66" s="65"/>
      <c r="IT66" s="65"/>
      <c r="IU66" s="65"/>
      <c r="IV66" s="65"/>
      <c r="IW66" s="65"/>
      <c r="IX66" s="65"/>
      <c r="IY66" s="65"/>
      <c r="IZ66" s="65"/>
      <c r="JA66" s="65"/>
      <c r="JB66" s="65"/>
      <c r="JC66" s="65"/>
      <c r="JD66" s="65"/>
      <c r="JE66" s="65"/>
      <c r="JF66" s="65"/>
      <c r="JG66" s="65"/>
      <c r="JH66" s="65"/>
    </row>
    <row r="67" spans="2:268" x14ac:dyDescent="0.25">
      <c r="G67" s="129"/>
      <c r="H67" s="129"/>
      <c r="CT67" s="132"/>
      <c r="CU67" s="132"/>
      <c r="CV67" s="132"/>
      <c r="CW67" s="132"/>
      <c r="CX67" s="132"/>
      <c r="CY67" s="132"/>
      <c r="CZ67" s="132"/>
      <c r="DA67" s="132"/>
      <c r="DB67" s="132"/>
      <c r="DC67" s="132"/>
      <c r="DD67" s="132"/>
      <c r="DE67" s="132"/>
      <c r="DF67" s="132"/>
      <c r="DG67" s="132"/>
      <c r="DH67" s="132"/>
      <c r="DI67" s="132"/>
      <c r="DJ67" s="132"/>
      <c r="DK67" s="132"/>
      <c r="DL67" s="132"/>
      <c r="DM67" s="132"/>
      <c r="DN67" s="132"/>
      <c r="DO67" s="132"/>
      <c r="DP67" s="132"/>
      <c r="DQ67" s="132"/>
      <c r="DR67" s="132"/>
      <c r="DS67" s="132"/>
      <c r="DT67" s="132"/>
      <c r="DU67" s="132"/>
      <c r="DV67" s="132"/>
      <c r="DW67" s="132"/>
      <c r="DX67" s="133"/>
      <c r="DY67" s="132"/>
      <c r="DZ67" s="132"/>
      <c r="EA67" s="132"/>
      <c r="EB67" s="132"/>
      <c r="EC67" s="132"/>
      <c r="ED67" s="132"/>
      <c r="EE67" s="132"/>
      <c r="EF67" s="132"/>
      <c r="EG67" s="132"/>
      <c r="EH67" s="132"/>
      <c r="EI67" s="132"/>
      <c r="EJ67" s="132"/>
      <c r="EK67" s="132"/>
      <c r="EL67" s="132"/>
      <c r="EM67" s="132"/>
      <c r="EN67" s="132"/>
      <c r="EO67" s="132"/>
      <c r="EP67" s="132"/>
      <c r="EQ67" s="132"/>
      <c r="ER67" s="132"/>
      <c r="ES67" s="132"/>
      <c r="ET67" s="132"/>
      <c r="EU67" s="132"/>
      <c r="EV67" s="132"/>
      <c r="EW67" s="132"/>
      <c r="EX67" s="132"/>
      <c r="EY67" s="132"/>
      <c r="EZ67" s="132"/>
      <c r="FA67" s="132"/>
      <c r="FB67" s="132"/>
      <c r="FC67" s="132"/>
      <c r="FD67" s="132"/>
      <c r="FE67" s="132"/>
      <c r="FF67" s="132"/>
      <c r="FG67" s="132"/>
      <c r="FH67" s="132"/>
      <c r="FI67" s="132"/>
      <c r="FJ67" s="132"/>
      <c r="FK67" s="132"/>
      <c r="FL67" s="132"/>
      <c r="FM67" s="132"/>
      <c r="FN67" s="132"/>
      <c r="FO67" s="132"/>
      <c r="FP67" s="132"/>
      <c r="FQ67" s="132"/>
      <c r="FR67" s="132"/>
      <c r="FS67" s="132"/>
      <c r="FT67" s="132"/>
      <c r="FU67" s="132"/>
      <c r="FV67" s="132"/>
      <c r="FW67" s="132"/>
      <c r="FX67" s="132"/>
      <c r="FY67" s="132"/>
      <c r="FZ67" s="132"/>
      <c r="GA67" s="132"/>
      <c r="GB67" s="132"/>
      <c r="GC67" s="132"/>
      <c r="GD67" s="132"/>
      <c r="GE67" s="132"/>
      <c r="GF67" s="132"/>
      <c r="IH67" s="65"/>
      <c r="II67" s="65"/>
      <c r="IJ67" s="65"/>
      <c r="IK67" s="65"/>
      <c r="IL67" s="65"/>
      <c r="IM67" s="65"/>
      <c r="IN67" s="65"/>
      <c r="IO67" s="65"/>
      <c r="IP67" s="65"/>
      <c r="IQ67" s="65"/>
      <c r="IR67" s="65"/>
      <c r="IS67" s="65"/>
      <c r="IT67" s="65"/>
      <c r="IU67" s="65"/>
      <c r="IV67" s="65"/>
      <c r="IW67" s="65"/>
      <c r="IX67" s="65"/>
      <c r="IY67" s="65"/>
      <c r="IZ67" s="65"/>
      <c r="JA67" s="65"/>
      <c r="JB67" s="65"/>
      <c r="JC67" s="65"/>
      <c r="JD67" s="65"/>
      <c r="JE67" s="65"/>
      <c r="JF67" s="65"/>
      <c r="JG67" s="65"/>
      <c r="JH67" s="65"/>
    </row>
    <row r="68" spans="2:268" x14ac:dyDescent="0.25">
      <c r="B68" s="65"/>
      <c r="C68" s="65"/>
      <c r="D68" s="65"/>
      <c r="E68" s="65"/>
      <c r="F68" s="65"/>
      <c r="G68" s="129"/>
      <c r="H68" s="129"/>
      <c r="I68" s="65"/>
      <c r="J68" s="65"/>
      <c r="CT68" s="132"/>
      <c r="CU68" s="132"/>
      <c r="CV68" s="132"/>
      <c r="CW68" s="132"/>
      <c r="CX68" s="132"/>
      <c r="CY68" s="132"/>
      <c r="CZ68" s="132"/>
      <c r="DA68" s="132"/>
      <c r="DB68" s="132"/>
      <c r="DC68" s="132"/>
      <c r="DD68" s="132"/>
      <c r="DE68" s="132"/>
      <c r="DF68" s="132"/>
      <c r="DG68" s="132"/>
      <c r="DH68" s="132"/>
      <c r="DI68" s="132"/>
      <c r="DJ68" s="132"/>
      <c r="DK68" s="132"/>
      <c r="DL68" s="132"/>
      <c r="DM68" s="132"/>
      <c r="DN68" s="132"/>
      <c r="DO68" s="132"/>
      <c r="DP68" s="132"/>
      <c r="DQ68" s="132"/>
      <c r="DR68" s="132"/>
      <c r="DS68" s="132"/>
      <c r="DT68" s="132"/>
      <c r="DU68" s="132"/>
      <c r="DV68" s="132"/>
      <c r="DW68" s="132"/>
      <c r="DX68" s="133"/>
      <c r="DY68" s="132"/>
      <c r="DZ68" s="132"/>
      <c r="EA68" s="132"/>
      <c r="EB68" s="132"/>
      <c r="EC68" s="132"/>
      <c r="ED68" s="132"/>
      <c r="EE68" s="132"/>
      <c r="EF68" s="132"/>
      <c r="EG68" s="132"/>
      <c r="EH68" s="132"/>
      <c r="EI68" s="132"/>
      <c r="EJ68" s="132"/>
      <c r="EK68" s="132"/>
      <c r="EL68" s="132"/>
      <c r="EM68" s="132"/>
      <c r="EN68" s="132"/>
      <c r="EO68" s="132"/>
      <c r="EP68" s="132"/>
      <c r="EQ68" s="132"/>
      <c r="ER68" s="132"/>
      <c r="ES68" s="132"/>
      <c r="ET68" s="132"/>
      <c r="EU68" s="132"/>
      <c r="EV68" s="132"/>
      <c r="EW68" s="132"/>
      <c r="EX68" s="132"/>
      <c r="EY68" s="132"/>
      <c r="EZ68" s="132"/>
      <c r="FA68" s="132"/>
      <c r="FB68" s="132"/>
      <c r="FC68" s="132"/>
      <c r="FD68" s="132"/>
      <c r="FE68" s="132"/>
      <c r="FF68" s="132"/>
      <c r="FG68" s="132"/>
      <c r="FH68" s="132"/>
      <c r="FI68" s="132"/>
      <c r="FJ68" s="132"/>
      <c r="FK68" s="132"/>
      <c r="FL68" s="132"/>
      <c r="FM68" s="132"/>
      <c r="FN68" s="132"/>
      <c r="FO68" s="132"/>
      <c r="FP68" s="132"/>
      <c r="FQ68" s="132"/>
      <c r="FR68" s="132"/>
      <c r="FS68" s="132"/>
      <c r="FT68" s="132"/>
      <c r="FU68" s="132"/>
      <c r="FV68" s="132"/>
      <c r="FW68" s="132"/>
      <c r="FX68" s="132"/>
      <c r="FY68" s="132"/>
      <c r="FZ68" s="132"/>
      <c r="GA68" s="132"/>
      <c r="GB68" s="132"/>
      <c r="GC68" s="132"/>
      <c r="GD68" s="132"/>
      <c r="GE68" s="132"/>
      <c r="GF68" s="132"/>
      <c r="IH68" s="65"/>
      <c r="II68" s="65"/>
      <c r="IJ68" s="65"/>
      <c r="IK68" s="65"/>
      <c r="IL68" s="65"/>
      <c r="IM68" s="65"/>
      <c r="IN68" s="65"/>
      <c r="IO68" s="65"/>
      <c r="IP68" s="65"/>
      <c r="IQ68" s="65"/>
      <c r="IR68" s="65"/>
      <c r="IS68" s="65"/>
      <c r="IT68" s="65"/>
      <c r="IU68" s="65"/>
      <c r="IV68" s="65"/>
      <c r="IW68" s="65"/>
      <c r="IX68" s="65"/>
      <c r="IY68" s="65"/>
      <c r="IZ68" s="65"/>
      <c r="JA68" s="65"/>
      <c r="JB68" s="65"/>
      <c r="JC68" s="65"/>
      <c r="JD68" s="65"/>
      <c r="JE68" s="65"/>
      <c r="JF68" s="65"/>
      <c r="JG68" s="65"/>
      <c r="JH68" s="65"/>
    </row>
    <row r="69" spans="2:268" x14ac:dyDescent="0.25">
      <c r="B69" s="65"/>
      <c r="C69" s="65"/>
      <c r="D69" s="65"/>
      <c r="E69" s="65"/>
      <c r="F69" s="65"/>
      <c r="G69" s="129"/>
      <c r="H69" s="129"/>
      <c r="I69" s="65"/>
      <c r="J69" s="65"/>
      <c r="CT69" s="132"/>
      <c r="CU69" s="132"/>
      <c r="CV69" s="132"/>
      <c r="CW69" s="132"/>
      <c r="CX69" s="132"/>
      <c r="CY69" s="132"/>
      <c r="CZ69" s="132"/>
      <c r="DA69" s="132"/>
      <c r="DB69" s="132"/>
      <c r="DC69" s="132"/>
      <c r="DD69" s="132"/>
      <c r="DE69" s="132"/>
      <c r="DF69" s="132"/>
      <c r="DG69" s="132"/>
      <c r="DH69" s="132"/>
      <c r="DI69" s="132"/>
      <c r="DJ69" s="132"/>
      <c r="DK69" s="132"/>
      <c r="DL69" s="132"/>
      <c r="DM69" s="132"/>
      <c r="DN69" s="132"/>
      <c r="DO69" s="132"/>
      <c r="DP69" s="132"/>
      <c r="DQ69" s="132"/>
      <c r="DR69" s="132"/>
      <c r="DS69" s="132"/>
      <c r="DT69" s="132"/>
      <c r="DU69" s="132"/>
      <c r="DV69" s="132"/>
      <c r="DW69" s="132"/>
      <c r="DX69" s="133"/>
      <c r="DY69" s="132"/>
      <c r="DZ69" s="132"/>
      <c r="EA69" s="132"/>
      <c r="EB69" s="132"/>
      <c r="EC69" s="132"/>
      <c r="ED69" s="132"/>
      <c r="EE69" s="132"/>
      <c r="EF69" s="132"/>
      <c r="EG69" s="132"/>
      <c r="EH69" s="132"/>
      <c r="EI69" s="132"/>
      <c r="EJ69" s="132"/>
      <c r="EK69" s="132"/>
      <c r="EL69" s="132"/>
      <c r="EM69" s="132"/>
      <c r="EN69" s="132"/>
      <c r="EO69" s="132"/>
      <c r="EP69" s="132"/>
      <c r="EQ69" s="132"/>
      <c r="ER69" s="132"/>
      <c r="ES69" s="132"/>
      <c r="ET69" s="132"/>
      <c r="EU69" s="132"/>
      <c r="EV69" s="132"/>
      <c r="EW69" s="132"/>
      <c r="EX69" s="132"/>
      <c r="EY69" s="132"/>
      <c r="EZ69" s="132"/>
      <c r="FA69" s="132"/>
      <c r="FB69" s="132"/>
      <c r="FC69" s="132"/>
      <c r="FD69" s="132"/>
      <c r="FE69" s="132"/>
      <c r="FF69" s="132"/>
      <c r="FG69" s="132"/>
      <c r="FH69" s="132"/>
      <c r="FI69" s="132"/>
      <c r="FJ69" s="132"/>
      <c r="FK69" s="132"/>
      <c r="FL69" s="132"/>
      <c r="FM69" s="132"/>
      <c r="FN69" s="132"/>
      <c r="FO69" s="132"/>
      <c r="FP69" s="132"/>
      <c r="FQ69" s="132"/>
      <c r="FR69" s="132"/>
      <c r="FS69" s="132"/>
      <c r="FT69" s="132"/>
      <c r="FU69" s="132"/>
      <c r="FV69" s="132"/>
      <c r="FW69" s="132"/>
      <c r="FX69" s="132"/>
      <c r="FY69" s="132"/>
      <c r="FZ69" s="132"/>
      <c r="GA69" s="132"/>
      <c r="GB69" s="132"/>
      <c r="GC69" s="132"/>
      <c r="GD69" s="132"/>
      <c r="GE69" s="132"/>
      <c r="GF69" s="132"/>
      <c r="IH69" s="65"/>
      <c r="II69" s="65"/>
      <c r="IJ69" s="65"/>
      <c r="IK69" s="65"/>
      <c r="IL69" s="65"/>
      <c r="IM69" s="65"/>
      <c r="IN69" s="65"/>
      <c r="IO69" s="65"/>
      <c r="IP69" s="65"/>
      <c r="IQ69" s="65"/>
      <c r="IR69" s="65"/>
      <c r="IS69" s="65"/>
      <c r="IT69" s="65"/>
      <c r="IU69" s="65"/>
      <c r="IV69" s="65"/>
      <c r="IW69" s="65"/>
      <c r="IX69" s="65"/>
      <c r="IY69" s="65"/>
      <c r="IZ69" s="65"/>
      <c r="JA69" s="65"/>
      <c r="JB69" s="65"/>
      <c r="JC69" s="65"/>
      <c r="JD69" s="65"/>
      <c r="JE69" s="65"/>
      <c r="JF69" s="65"/>
      <c r="JG69" s="65"/>
      <c r="JH69" s="65"/>
    </row>
    <row r="70" spans="2:268" x14ac:dyDescent="0.25">
      <c r="G70" s="129"/>
      <c r="H70" s="129"/>
      <c r="CT70" s="132"/>
      <c r="CU70" s="132"/>
      <c r="CV70" s="132"/>
      <c r="CW70" s="132"/>
      <c r="CX70" s="132"/>
      <c r="CY70" s="132"/>
      <c r="CZ70" s="132"/>
      <c r="DA70" s="132"/>
      <c r="DB70" s="132"/>
      <c r="DC70" s="132"/>
      <c r="DD70" s="132"/>
      <c r="DE70" s="132"/>
      <c r="DF70" s="132"/>
      <c r="DG70" s="132"/>
      <c r="DH70" s="132"/>
      <c r="DI70" s="132"/>
      <c r="DJ70" s="132"/>
      <c r="DK70" s="132"/>
      <c r="DL70" s="132"/>
      <c r="DM70" s="132"/>
      <c r="DN70" s="132"/>
      <c r="DO70" s="132"/>
      <c r="DP70" s="132"/>
      <c r="DQ70" s="132"/>
      <c r="DR70" s="132"/>
      <c r="DS70" s="132"/>
      <c r="DT70" s="132"/>
      <c r="DU70" s="132"/>
      <c r="DV70" s="132"/>
      <c r="DW70" s="132"/>
      <c r="DX70" s="133"/>
      <c r="DY70" s="132"/>
      <c r="DZ70" s="132"/>
      <c r="EA70" s="132"/>
      <c r="EB70" s="132"/>
      <c r="EC70" s="132"/>
      <c r="ED70" s="132"/>
      <c r="EE70" s="132"/>
      <c r="EF70" s="132"/>
      <c r="EG70" s="132"/>
      <c r="EH70" s="132"/>
      <c r="EI70" s="132"/>
      <c r="EJ70" s="132"/>
      <c r="EK70" s="132"/>
      <c r="EL70" s="132"/>
      <c r="EM70" s="132"/>
      <c r="EN70" s="132"/>
      <c r="EO70" s="132"/>
      <c r="EP70" s="132"/>
      <c r="EQ70" s="132"/>
      <c r="ER70" s="132"/>
      <c r="ES70" s="132"/>
      <c r="ET70" s="132"/>
      <c r="EU70" s="132"/>
      <c r="EV70" s="132"/>
      <c r="EW70" s="132"/>
      <c r="EX70" s="132"/>
      <c r="EY70" s="132"/>
      <c r="EZ70" s="132"/>
      <c r="FA70" s="132"/>
      <c r="FB70" s="132"/>
      <c r="FC70" s="132"/>
      <c r="FD70" s="132"/>
      <c r="FE70" s="132"/>
      <c r="FF70" s="132"/>
      <c r="FG70" s="132"/>
      <c r="FH70" s="132"/>
      <c r="FI70" s="132"/>
      <c r="FJ70" s="132"/>
      <c r="FK70" s="132"/>
      <c r="FL70" s="132"/>
      <c r="FM70" s="132"/>
      <c r="FN70" s="132"/>
      <c r="FO70" s="132"/>
      <c r="FP70" s="132"/>
      <c r="FQ70" s="132"/>
      <c r="FR70" s="132"/>
      <c r="FS70" s="132"/>
      <c r="FT70" s="132"/>
      <c r="FU70" s="132"/>
      <c r="FV70" s="132"/>
      <c r="FW70" s="132"/>
      <c r="FX70" s="132"/>
      <c r="FY70" s="132"/>
      <c r="FZ70" s="132"/>
      <c r="GA70" s="132"/>
      <c r="GB70" s="132"/>
      <c r="GC70" s="132"/>
      <c r="GD70" s="132"/>
      <c r="GE70" s="132"/>
      <c r="GF70" s="132"/>
      <c r="IH70" s="65"/>
      <c r="II70" s="65"/>
      <c r="IJ70" s="65"/>
      <c r="IK70" s="65"/>
      <c r="IL70" s="65"/>
      <c r="IM70" s="65"/>
      <c r="IN70" s="65"/>
      <c r="IO70" s="65"/>
      <c r="IP70" s="65"/>
      <c r="IQ70" s="65"/>
      <c r="IR70" s="65"/>
      <c r="IS70" s="65"/>
      <c r="IT70" s="65"/>
      <c r="IU70" s="65"/>
      <c r="IV70" s="65"/>
      <c r="IW70" s="65"/>
      <c r="IX70" s="65"/>
      <c r="IY70" s="65"/>
      <c r="IZ70" s="65"/>
      <c r="JA70" s="65"/>
      <c r="JB70" s="65"/>
      <c r="JC70" s="65"/>
      <c r="JD70" s="65"/>
      <c r="JE70" s="65"/>
      <c r="JF70" s="65"/>
      <c r="JG70" s="65"/>
      <c r="JH70" s="65"/>
    </row>
    <row r="71" spans="2:268" x14ac:dyDescent="0.25">
      <c r="G71" s="129"/>
      <c r="H71" s="129"/>
      <c r="CT71" s="132"/>
      <c r="CU71" s="132"/>
      <c r="CV71" s="132"/>
      <c r="CW71" s="132"/>
      <c r="CX71" s="132"/>
      <c r="CY71" s="132"/>
      <c r="CZ71" s="132"/>
      <c r="DA71" s="132"/>
      <c r="DB71" s="132"/>
      <c r="DC71" s="132"/>
      <c r="DD71" s="132"/>
      <c r="DE71" s="132"/>
      <c r="DF71" s="132"/>
      <c r="DG71" s="132"/>
      <c r="DH71" s="132"/>
      <c r="DI71" s="132"/>
      <c r="DJ71" s="132"/>
      <c r="DK71" s="132"/>
      <c r="DL71" s="132"/>
      <c r="DM71" s="132"/>
      <c r="DN71" s="132"/>
      <c r="DO71" s="132"/>
      <c r="DP71" s="132"/>
      <c r="DQ71" s="132"/>
      <c r="DR71" s="132"/>
      <c r="DS71" s="132"/>
      <c r="DT71" s="132"/>
      <c r="DU71" s="132"/>
      <c r="DV71" s="132"/>
      <c r="DW71" s="132"/>
      <c r="DX71" s="133"/>
      <c r="DY71" s="132"/>
      <c r="DZ71" s="132"/>
      <c r="EA71" s="132"/>
      <c r="EB71" s="132"/>
      <c r="EC71" s="132"/>
      <c r="ED71" s="132"/>
      <c r="EE71" s="132"/>
      <c r="EF71" s="132"/>
      <c r="EG71" s="132"/>
      <c r="EH71" s="132"/>
      <c r="EI71" s="132"/>
      <c r="EJ71" s="132"/>
      <c r="EK71" s="132"/>
      <c r="EL71" s="132"/>
      <c r="EM71" s="132"/>
      <c r="EN71" s="132"/>
      <c r="EO71" s="132"/>
      <c r="EP71" s="132"/>
      <c r="EQ71" s="132"/>
      <c r="ER71" s="132"/>
      <c r="ES71" s="132"/>
      <c r="ET71" s="132"/>
      <c r="EU71" s="132"/>
      <c r="EV71" s="132"/>
      <c r="EW71" s="132"/>
      <c r="EX71" s="132"/>
      <c r="EY71" s="132"/>
      <c r="EZ71" s="132"/>
      <c r="FA71" s="132"/>
      <c r="FB71" s="132"/>
      <c r="FC71" s="132"/>
      <c r="FD71" s="132"/>
      <c r="FE71" s="132"/>
      <c r="FF71" s="132"/>
      <c r="FG71" s="132"/>
      <c r="FH71" s="132"/>
      <c r="FI71" s="132"/>
      <c r="FJ71" s="132"/>
      <c r="FK71" s="132"/>
      <c r="FL71" s="132"/>
      <c r="FM71" s="132"/>
      <c r="FN71" s="132"/>
      <c r="FO71" s="132"/>
      <c r="FP71" s="132"/>
      <c r="FQ71" s="132"/>
      <c r="FR71" s="132"/>
      <c r="FS71" s="132"/>
      <c r="FT71" s="132"/>
      <c r="FU71" s="132"/>
      <c r="FV71" s="132"/>
      <c r="FW71" s="132"/>
      <c r="FX71" s="132"/>
      <c r="FY71" s="132"/>
      <c r="FZ71" s="132"/>
      <c r="GA71" s="132"/>
      <c r="GB71" s="132"/>
      <c r="GC71" s="132"/>
      <c r="GD71" s="132"/>
      <c r="GE71" s="132"/>
      <c r="GF71" s="132"/>
      <c r="IH71" s="65"/>
      <c r="II71" s="65"/>
      <c r="IJ71" s="65"/>
      <c r="IK71" s="65"/>
      <c r="IL71" s="65"/>
      <c r="IM71" s="65"/>
      <c r="IN71" s="65"/>
      <c r="IO71" s="65"/>
      <c r="IP71" s="65"/>
      <c r="IQ71" s="65"/>
      <c r="IR71" s="65"/>
      <c r="IS71" s="65"/>
      <c r="IT71" s="65"/>
      <c r="IU71" s="65"/>
      <c r="IV71" s="65"/>
      <c r="IW71" s="65"/>
      <c r="IX71" s="65"/>
      <c r="IY71" s="65"/>
      <c r="IZ71" s="65"/>
      <c r="JA71" s="65"/>
      <c r="JB71" s="65"/>
      <c r="JC71" s="65"/>
      <c r="JD71" s="65"/>
      <c r="JE71" s="65"/>
      <c r="JF71" s="65"/>
      <c r="JG71" s="65"/>
      <c r="JH71" s="65"/>
    </row>
    <row r="72" spans="2:268" x14ac:dyDescent="0.25">
      <c r="H72" s="129"/>
      <c r="CT72" s="132"/>
      <c r="CU72" s="132"/>
      <c r="CV72" s="132"/>
      <c r="CW72" s="132"/>
      <c r="CX72" s="132"/>
      <c r="CY72" s="132"/>
      <c r="CZ72" s="132"/>
      <c r="DA72" s="132"/>
      <c r="DB72" s="132"/>
      <c r="DC72" s="132"/>
      <c r="DD72" s="132"/>
      <c r="DE72" s="132"/>
      <c r="DF72" s="132"/>
      <c r="DG72" s="132"/>
      <c r="DH72" s="132"/>
      <c r="DI72" s="132"/>
      <c r="DJ72" s="132"/>
      <c r="DK72" s="132"/>
      <c r="DL72" s="132"/>
      <c r="DM72" s="132"/>
      <c r="DN72" s="132"/>
      <c r="DO72" s="132"/>
      <c r="DP72" s="132"/>
      <c r="DQ72" s="132"/>
      <c r="DR72" s="132"/>
      <c r="DS72" s="132"/>
      <c r="DT72" s="132"/>
      <c r="DU72" s="132"/>
      <c r="DV72" s="132"/>
      <c r="DW72" s="132"/>
      <c r="DX72" s="133"/>
      <c r="DY72" s="132"/>
      <c r="DZ72" s="132"/>
      <c r="EA72" s="132"/>
      <c r="EB72" s="132"/>
      <c r="EC72" s="132"/>
      <c r="ED72" s="132"/>
      <c r="EE72" s="132"/>
      <c r="EF72" s="132"/>
      <c r="EG72" s="132"/>
      <c r="EH72" s="132"/>
      <c r="EI72" s="132"/>
      <c r="EJ72" s="132"/>
      <c r="EK72" s="132"/>
      <c r="EL72" s="132"/>
      <c r="EM72" s="132"/>
      <c r="EN72" s="132"/>
      <c r="EO72" s="132"/>
      <c r="EP72" s="132"/>
      <c r="EQ72" s="132"/>
      <c r="ER72" s="132"/>
      <c r="ES72" s="132"/>
      <c r="ET72" s="132"/>
      <c r="EU72" s="132"/>
      <c r="EV72" s="132"/>
      <c r="EW72" s="132"/>
      <c r="EX72" s="132"/>
      <c r="EY72" s="132"/>
      <c r="EZ72" s="132"/>
      <c r="FA72" s="132"/>
      <c r="FB72" s="132"/>
      <c r="FC72" s="132"/>
      <c r="FD72" s="132"/>
      <c r="FE72" s="132"/>
      <c r="FF72" s="132"/>
      <c r="FG72" s="132"/>
      <c r="FH72" s="132"/>
      <c r="FI72" s="132"/>
      <c r="FJ72" s="132"/>
      <c r="FK72" s="132"/>
      <c r="FL72" s="132"/>
      <c r="FM72" s="132"/>
      <c r="FN72" s="132"/>
      <c r="FO72" s="132"/>
      <c r="FP72" s="132"/>
      <c r="FQ72" s="132"/>
      <c r="FR72" s="132"/>
      <c r="FS72" s="132"/>
      <c r="FT72" s="132"/>
      <c r="FU72" s="132"/>
      <c r="FV72" s="132"/>
      <c r="FW72" s="132"/>
      <c r="FX72" s="132"/>
      <c r="FY72" s="132"/>
      <c r="FZ72" s="132"/>
      <c r="GA72" s="132"/>
      <c r="GB72" s="132"/>
      <c r="GC72" s="132"/>
      <c r="GD72" s="132"/>
      <c r="GE72" s="132"/>
      <c r="GF72" s="132"/>
      <c r="IH72" s="65"/>
      <c r="II72" s="65"/>
      <c r="IJ72" s="65"/>
      <c r="IK72" s="65"/>
      <c r="IL72" s="65"/>
      <c r="IM72" s="65"/>
      <c r="IN72" s="65"/>
      <c r="IO72" s="65"/>
      <c r="IP72" s="65"/>
      <c r="IQ72" s="65"/>
      <c r="IR72" s="65"/>
      <c r="IS72" s="65"/>
      <c r="IT72" s="65"/>
      <c r="IU72" s="65"/>
      <c r="IV72" s="65"/>
      <c r="IW72" s="65"/>
      <c r="IX72" s="65"/>
      <c r="IY72" s="65"/>
      <c r="IZ72" s="65"/>
      <c r="JA72" s="65"/>
      <c r="JB72" s="65"/>
      <c r="JC72" s="65"/>
      <c r="JD72" s="65"/>
      <c r="JE72" s="65"/>
      <c r="JF72" s="65"/>
      <c r="JG72" s="65"/>
      <c r="JH72" s="65"/>
    </row>
    <row r="73" spans="2:268" x14ac:dyDescent="0.25">
      <c r="G73" s="129"/>
      <c r="H73" s="129"/>
      <c r="CT73" s="132"/>
      <c r="CU73" s="132"/>
      <c r="CV73" s="132"/>
      <c r="CW73" s="132"/>
      <c r="CX73" s="132"/>
      <c r="CY73" s="132"/>
      <c r="CZ73" s="132"/>
      <c r="DA73" s="132"/>
      <c r="DB73" s="132"/>
      <c r="DC73" s="132"/>
      <c r="DD73" s="132"/>
      <c r="DE73" s="132"/>
      <c r="DF73" s="132"/>
      <c r="DG73" s="132"/>
      <c r="DH73" s="132"/>
      <c r="DI73" s="132"/>
      <c r="DJ73" s="132"/>
      <c r="DK73" s="132"/>
      <c r="DL73" s="132"/>
      <c r="DM73" s="132"/>
      <c r="DN73" s="132"/>
      <c r="DO73" s="132"/>
      <c r="DP73" s="132"/>
      <c r="DQ73" s="132"/>
      <c r="DR73" s="132"/>
      <c r="DS73" s="132"/>
      <c r="DT73" s="132"/>
      <c r="DU73" s="132"/>
      <c r="DV73" s="132"/>
      <c r="DW73" s="132"/>
      <c r="DX73" s="133"/>
      <c r="DY73" s="132"/>
      <c r="DZ73" s="132"/>
      <c r="EA73" s="132"/>
      <c r="EB73" s="132"/>
      <c r="EC73" s="132"/>
      <c r="ED73" s="132"/>
      <c r="EE73" s="132"/>
      <c r="EF73" s="132"/>
      <c r="EG73" s="132"/>
      <c r="EH73" s="132"/>
      <c r="EI73" s="132"/>
      <c r="EJ73" s="132"/>
      <c r="EK73" s="132"/>
      <c r="EL73" s="132"/>
      <c r="EM73" s="132"/>
      <c r="EN73" s="132"/>
      <c r="EO73" s="132"/>
      <c r="EP73" s="132"/>
      <c r="EQ73" s="132"/>
      <c r="ER73" s="132"/>
      <c r="ES73" s="132"/>
      <c r="ET73" s="132"/>
      <c r="EU73" s="132"/>
      <c r="EV73" s="132"/>
      <c r="EW73" s="132"/>
      <c r="EX73" s="132"/>
      <c r="EY73" s="132"/>
      <c r="EZ73" s="132"/>
      <c r="FA73" s="132"/>
      <c r="FB73" s="132"/>
      <c r="FC73" s="132"/>
      <c r="FD73" s="132"/>
      <c r="FE73" s="132"/>
      <c r="FF73" s="132"/>
      <c r="FG73" s="132"/>
      <c r="FH73" s="132"/>
      <c r="FI73" s="132"/>
      <c r="FJ73" s="132"/>
      <c r="FK73" s="132"/>
      <c r="FL73" s="132"/>
      <c r="FM73" s="132"/>
      <c r="FN73" s="132"/>
      <c r="FO73" s="132"/>
      <c r="FP73" s="132"/>
      <c r="FQ73" s="132"/>
      <c r="FR73" s="132"/>
      <c r="FS73" s="132"/>
      <c r="FT73" s="132"/>
      <c r="FU73" s="132"/>
      <c r="FV73" s="132"/>
      <c r="FW73" s="132"/>
      <c r="FX73" s="132"/>
      <c r="FY73" s="132"/>
      <c r="FZ73" s="132"/>
      <c r="GA73" s="132"/>
      <c r="GB73" s="132"/>
      <c r="GC73" s="132"/>
      <c r="GD73" s="132"/>
      <c r="GE73" s="132"/>
      <c r="GF73" s="132"/>
      <c r="IH73" s="65"/>
      <c r="II73" s="65"/>
      <c r="IJ73" s="65"/>
      <c r="IK73" s="65"/>
      <c r="IL73" s="65"/>
      <c r="IM73" s="65"/>
      <c r="IN73" s="65"/>
      <c r="IO73" s="65"/>
      <c r="IP73" s="65"/>
      <c r="IQ73" s="65"/>
      <c r="IR73" s="65"/>
      <c r="IS73" s="65"/>
      <c r="IT73" s="65"/>
      <c r="IU73" s="65"/>
      <c r="IV73" s="65"/>
      <c r="IW73" s="65"/>
      <c r="IX73" s="65"/>
      <c r="IY73" s="65"/>
      <c r="IZ73" s="65"/>
      <c r="JA73" s="65"/>
      <c r="JB73" s="65"/>
      <c r="JC73" s="65"/>
      <c r="JD73" s="65"/>
      <c r="JE73" s="65"/>
      <c r="JF73" s="65"/>
      <c r="JG73" s="65"/>
      <c r="JH73" s="65"/>
    </row>
    <row r="74" spans="2:268" x14ac:dyDescent="0.25">
      <c r="G74" s="129"/>
      <c r="CT74" s="132"/>
      <c r="CU74" s="132"/>
      <c r="CV74" s="132"/>
      <c r="CW74" s="132"/>
      <c r="CX74" s="132"/>
      <c r="CY74" s="132"/>
      <c r="CZ74" s="132"/>
      <c r="DA74" s="132"/>
      <c r="DB74" s="132"/>
      <c r="DC74" s="132"/>
      <c r="DD74" s="132"/>
      <c r="DE74" s="132"/>
      <c r="DF74" s="132"/>
      <c r="DG74" s="132"/>
      <c r="DH74" s="132"/>
      <c r="DI74" s="132"/>
      <c r="DJ74" s="132"/>
      <c r="DK74" s="132"/>
      <c r="DL74" s="132"/>
      <c r="DM74" s="132"/>
      <c r="DN74" s="132"/>
      <c r="DO74" s="132"/>
      <c r="DP74" s="132"/>
      <c r="DQ74" s="132"/>
      <c r="DR74" s="132"/>
      <c r="DS74" s="132"/>
      <c r="DT74" s="132"/>
      <c r="DU74" s="132"/>
      <c r="DV74" s="132"/>
      <c r="DW74" s="132"/>
      <c r="DX74" s="133"/>
      <c r="DY74" s="132"/>
      <c r="DZ74" s="132"/>
      <c r="EA74" s="132"/>
      <c r="EB74" s="132"/>
      <c r="EC74" s="132"/>
      <c r="ED74" s="132"/>
      <c r="EE74" s="132"/>
      <c r="EF74" s="132"/>
      <c r="EG74" s="132"/>
      <c r="EH74" s="132"/>
      <c r="EI74" s="132"/>
      <c r="EJ74" s="132"/>
      <c r="EK74" s="132"/>
      <c r="EL74" s="132"/>
      <c r="EM74" s="132"/>
      <c r="EN74" s="132"/>
      <c r="EO74" s="132"/>
      <c r="EP74" s="132"/>
      <c r="EQ74" s="132"/>
      <c r="ER74" s="132"/>
      <c r="ES74" s="132"/>
      <c r="ET74" s="132"/>
      <c r="EU74" s="132"/>
      <c r="EV74" s="132"/>
      <c r="EW74" s="132"/>
      <c r="EX74" s="132"/>
      <c r="EY74" s="132"/>
      <c r="EZ74" s="132"/>
      <c r="FA74" s="132"/>
      <c r="FB74" s="132"/>
      <c r="FC74" s="132"/>
      <c r="FD74" s="132"/>
      <c r="FE74" s="132"/>
      <c r="FF74" s="132"/>
      <c r="FG74" s="132"/>
      <c r="FH74" s="132"/>
      <c r="FI74" s="132"/>
      <c r="FJ74" s="132"/>
      <c r="FK74" s="132"/>
      <c r="FL74" s="132"/>
      <c r="FM74" s="132"/>
      <c r="FN74" s="132"/>
      <c r="FO74" s="132"/>
      <c r="FP74" s="132"/>
      <c r="FQ74" s="132"/>
      <c r="FR74" s="132"/>
      <c r="FS74" s="132"/>
      <c r="FT74" s="132"/>
      <c r="FU74" s="132"/>
      <c r="FV74" s="132"/>
      <c r="FW74" s="132"/>
      <c r="FX74" s="132"/>
      <c r="FY74" s="132"/>
      <c r="FZ74" s="132"/>
      <c r="GA74" s="132"/>
      <c r="GB74" s="132"/>
      <c r="GC74" s="132"/>
      <c r="GD74" s="132"/>
      <c r="GE74" s="132"/>
      <c r="GF74" s="132"/>
      <c r="IH74" s="65"/>
      <c r="II74" s="65"/>
      <c r="IJ74" s="65"/>
      <c r="IK74" s="65"/>
      <c r="IL74" s="65"/>
      <c r="IM74" s="65"/>
      <c r="IN74" s="65"/>
      <c r="IO74" s="65"/>
      <c r="IP74" s="65"/>
      <c r="IQ74" s="65"/>
      <c r="IR74" s="65"/>
      <c r="IS74" s="65"/>
      <c r="IT74" s="65"/>
      <c r="IU74" s="65"/>
      <c r="IV74" s="65"/>
      <c r="IW74" s="65"/>
      <c r="IX74" s="65"/>
      <c r="IY74" s="65"/>
      <c r="IZ74" s="65"/>
      <c r="JA74" s="65"/>
      <c r="JB74" s="65"/>
      <c r="JC74" s="65"/>
      <c r="JD74" s="65"/>
      <c r="JE74" s="65"/>
      <c r="JF74" s="65"/>
      <c r="JG74" s="65"/>
      <c r="JH74" s="65"/>
    </row>
    <row r="75" spans="2:268" x14ac:dyDescent="0.25">
      <c r="G75" s="129"/>
      <c r="H75" s="129"/>
      <c r="CT75" s="132"/>
      <c r="CU75" s="132"/>
      <c r="CV75" s="132"/>
      <c r="CW75" s="132"/>
      <c r="CX75" s="132"/>
      <c r="CY75" s="132"/>
      <c r="CZ75" s="132"/>
      <c r="DA75" s="132"/>
      <c r="DB75" s="132"/>
      <c r="DC75" s="132"/>
      <c r="DD75" s="132"/>
      <c r="DE75" s="132"/>
      <c r="DF75" s="132"/>
      <c r="DG75" s="132"/>
      <c r="DH75" s="132"/>
      <c r="DI75" s="132"/>
      <c r="DJ75" s="132"/>
      <c r="DK75" s="132"/>
      <c r="DL75" s="132"/>
      <c r="DM75" s="132"/>
      <c r="DN75" s="132"/>
      <c r="DO75" s="132"/>
      <c r="DP75" s="132"/>
      <c r="DQ75" s="132"/>
      <c r="DR75" s="132"/>
      <c r="DS75" s="132"/>
      <c r="DT75" s="132"/>
      <c r="DU75" s="132"/>
      <c r="DV75" s="132"/>
      <c r="DW75" s="132"/>
      <c r="DX75" s="133"/>
      <c r="DY75" s="132"/>
      <c r="DZ75" s="132"/>
      <c r="EA75" s="132"/>
      <c r="EB75" s="132"/>
      <c r="EC75" s="132"/>
      <c r="ED75" s="132"/>
      <c r="EE75" s="132"/>
      <c r="EF75" s="132"/>
      <c r="EG75" s="132"/>
      <c r="EH75" s="132"/>
      <c r="EI75" s="132"/>
      <c r="EJ75" s="132"/>
      <c r="EK75" s="132"/>
      <c r="EL75" s="132"/>
      <c r="EM75" s="132"/>
      <c r="EN75" s="132"/>
      <c r="EO75" s="132"/>
      <c r="EP75" s="132"/>
      <c r="EQ75" s="132"/>
      <c r="ER75" s="132"/>
      <c r="ES75" s="132"/>
      <c r="ET75" s="132"/>
      <c r="EU75" s="132"/>
      <c r="EV75" s="132"/>
      <c r="EW75" s="132"/>
      <c r="EX75" s="132"/>
      <c r="EY75" s="132"/>
      <c r="EZ75" s="132"/>
      <c r="FA75" s="132"/>
      <c r="FB75" s="132"/>
      <c r="FC75" s="132"/>
      <c r="FD75" s="132"/>
      <c r="FE75" s="132"/>
      <c r="FF75" s="132"/>
      <c r="FG75" s="132"/>
      <c r="FH75" s="132"/>
      <c r="FI75" s="132"/>
      <c r="FJ75" s="132"/>
      <c r="FK75" s="132"/>
      <c r="FL75" s="132"/>
      <c r="FM75" s="132"/>
      <c r="FN75" s="132"/>
      <c r="FO75" s="132"/>
      <c r="FP75" s="132"/>
      <c r="FQ75" s="132"/>
      <c r="FR75" s="132"/>
      <c r="FS75" s="132"/>
      <c r="FT75" s="132"/>
      <c r="FU75" s="132"/>
      <c r="FV75" s="132"/>
      <c r="FW75" s="132"/>
      <c r="FX75" s="132"/>
      <c r="FY75" s="132"/>
      <c r="FZ75" s="132"/>
      <c r="GA75" s="132"/>
      <c r="GB75" s="132"/>
      <c r="GC75" s="132"/>
      <c r="GD75" s="132"/>
      <c r="GE75" s="132"/>
      <c r="GF75" s="132"/>
      <c r="IH75" s="65"/>
      <c r="II75" s="65"/>
      <c r="IJ75" s="65"/>
      <c r="IK75" s="65"/>
      <c r="IL75" s="65"/>
      <c r="IM75" s="65"/>
      <c r="IN75" s="65"/>
      <c r="IO75" s="65"/>
      <c r="IP75" s="65"/>
      <c r="IQ75" s="65"/>
      <c r="IR75" s="65"/>
      <c r="IS75" s="65"/>
      <c r="IT75" s="65"/>
      <c r="IU75" s="65"/>
      <c r="IV75" s="65"/>
      <c r="IW75" s="65"/>
      <c r="IX75" s="65"/>
      <c r="IY75" s="65"/>
      <c r="IZ75" s="65"/>
      <c r="JA75" s="65"/>
      <c r="JB75" s="65"/>
      <c r="JC75" s="65"/>
      <c r="JD75" s="65"/>
      <c r="JE75" s="65"/>
      <c r="JF75" s="65"/>
      <c r="JG75" s="65"/>
      <c r="JH75" s="65"/>
    </row>
    <row r="76" spans="2:268" x14ac:dyDescent="0.25">
      <c r="G76" s="129"/>
      <c r="CT76" s="132"/>
      <c r="CU76" s="132"/>
      <c r="CV76" s="132"/>
      <c r="CW76" s="132"/>
      <c r="CX76" s="132"/>
      <c r="CY76" s="132"/>
      <c r="CZ76" s="132"/>
      <c r="DA76" s="132"/>
      <c r="DB76" s="132"/>
      <c r="DC76" s="132"/>
      <c r="DD76" s="132"/>
      <c r="DE76" s="132"/>
      <c r="DF76" s="132"/>
      <c r="DG76" s="132"/>
      <c r="DH76" s="132"/>
      <c r="DI76" s="132"/>
      <c r="DJ76" s="132"/>
      <c r="DK76" s="132"/>
      <c r="DL76" s="132"/>
      <c r="DM76" s="132"/>
      <c r="DN76" s="132"/>
      <c r="DO76" s="132"/>
      <c r="DP76" s="132"/>
      <c r="DQ76" s="132"/>
      <c r="DR76" s="132"/>
      <c r="DS76" s="132"/>
      <c r="DT76" s="132"/>
      <c r="DU76" s="132"/>
      <c r="DV76" s="132"/>
      <c r="DW76" s="132"/>
      <c r="DX76" s="133"/>
      <c r="DY76" s="132"/>
      <c r="DZ76" s="132"/>
      <c r="EA76" s="132"/>
      <c r="EB76" s="132"/>
      <c r="EC76" s="132"/>
      <c r="ED76" s="132"/>
      <c r="EE76" s="132"/>
      <c r="EF76" s="132"/>
      <c r="EG76" s="132"/>
      <c r="EH76" s="132"/>
      <c r="EI76" s="132"/>
      <c r="EJ76" s="132"/>
      <c r="EK76" s="132"/>
      <c r="EL76" s="132"/>
      <c r="EM76" s="132"/>
      <c r="EN76" s="132"/>
      <c r="EO76" s="132"/>
      <c r="EP76" s="132"/>
      <c r="EQ76" s="132"/>
      <c r="ER76" s="132"/>
      <c r="ES76" s="132"/>
      <c r="ET76" s="132"/>
      <c r="EU76" s="132"/>
      <c r="EV76" s="132"/>
      <c r="EW76" s="132"/>
      <c r="EX76" s="132"/>
      <c r="EY76" s="132"/>
      <c r="EZ76" s="132"/>
      <c r="FA76" s="132"/>
      <c r="FB76" s="132"/>
      <c r="FC76" s="132"/>
      <c r="FD76" s="132"/>
      <c r="FE76" s="132"/>
      <c r="FF76" s="132"/>
      <c r="FG76" s="132"/>
      <c r="FH76" s="132"/>
      <c r="FI76" s="132"/>
      <c r="FJ76" s="132"/>
      <c r="FK76" s="132"/>
      <c r="FL76" s="132"/>
      <c r="FM76" s="132"/>
      <c r="FN76" s="132"/>
      <c r="FO76" s="132"/>
      <c r="FP76" s="132"/>
      <c r="FQ76" s="132"/>
      <c r="FR76" s="132"/>
      <c r="FS76" s="132"/>
      <c r="FT76" s="132"/>
      <c r="FU76" s="132"/>
      <c r="FV76" s="132"/>
      <c r="FW76" s="132"/>
      <c r="FX76" s="132"/>
      <c r="FY76" s="132"/>
      <c r="FZ76" s="132"/>
      <c r="GA76" s="132"/>
      <c r="GB76" s="132"/>
      <c r="GC76" s="132"/>
      <c r="GD76" s="132"/>
      <c r="GE76" s="132"/>
      <c r="GF76" s="132"/>
      <c r="IH76" s="65"/>
      <c r="II76" s="65"/>
      <c r="IJ76" s="65"/>
      <c r="IK76" s="65"/>
      <c r="IL76" s="65"/>
      <c r="IM76" s="65"/>
      <c r="IN76" s="65"/>
      <c r="IO76" s="65"/>
      <c r="IP76" s="65"/>
      <c r="IQ76" s="65"/>
      <c r="IR76" s="65"/>
      <c r="IS76" s="65"/>
      <c r="IT76" s="65"/>
      <c r="IU76" s="65"/>
      <c r="IV76" s="65"/>
      <c r="IW76" s="65"/>
      <c r="IX76" s="65"/>
      <c r="IY76" s="65"/>
      <c r="IZ76" s="65"/>
      <c r="JA76" s="65"/>
      <c r="JB76" s="65"/>
      <c r="JC76" s="65"/>
      <c r="JD76" s="65"/>
      <c r="JE76" s="65"/>
      <c r="JF76" s="65"/>
      <c r="JG76" s="65"/>
      <c r="JH76" s="65"/>
    </row>
    <row r="77" spans="2:268" x14ac:dyDescent="0.25">
      <c r="G77" s="129"/>
      <c r="H77" s="129"/>
      <c r="CT77" s="132"/>
      <c r="CU77" s="132"/>
      <c r="CV77" s="132"/>
      <c r="CW77" s="132"/>
      <c r="CX77" s="132"/>
      <c r="CY77" s="132"/>
      <c r="CZ77" s="132"/>
      <c r="DA77" s="132"/>
      <c r="DB77" s="132"/>
      <c r="DC77" s="132"/>
      <c r="DD77" s="132"/>
      <c r="DE77" s="132"/>
      <c r="DF77" s="132"/>
      <c r="DG77" s="132"/>
      <c r="DH77" s="132"/>
      <c r="DI77" s="132"/>
      <c r="DJ77" s="132"/>
      <c r="DK77" s="132"/>
      <c r="DL77" s="132"/>
      <c r="DM77" s="132"/>
      <c r="DN77" s="132"/>
      <c r="DO77" s="132"/>
      <c r="DP77" s="132"/>
      <c r="DQ77" s="132"/>
      <c r="DR77" s="132"/>
      <c r="DS77" s="132"/>
      <c r="DT77" s="132"/>
      <c r="DU77" s="132"/>
      <c r="DV77" s="132"/>
      <c r="DW77" s="132"/>
      <c r="DX77" s="133"/>
      <c r="DY77" s="132"/>
      <c r="DZ77" s="132"/>
      <c r="EA77" s="132"/>
      <c r="EB77" s="132"/>
      <c r="EC77" s="132"/>
      <c r="ED77" s="132"/>
      <c r="EE77" s="132"/>
      <c r="EF77" s="132"/>
      <c r="EG77" s="132"/>
      <c r="EH77" s="132"/>
      <c r="EI77" s="132"/>
      <c r="EJ77" s="132"/>
      <c r="EK77" s="132"/>
      <c r="EL77" s="132"/>
      <c r="EM77" s="132"/>
      <c r="EN77" s="132"/>
      <c r="EO77" s="132"/>
      <c r="EP77" s="132"/>
      <c r="EQ77" s="132"/>
      <c r="ER77" s="132"/>
      <c r="ES77" s="132"/>
      <c r="ET77" s="132"/>
      <c r="EU77" s="132"/>
      <c r="EV77" s="132"/>
      <c r="EW77" s="132"/>
      <c r="EX77" s="132"/>
      <c r="EY77" s="132"/>
      <c r="EZ77" s="132"/>
      <c r="FA77" s="132"/>
      <c r="FB77" s="132"/>
      <c r="FC77" s="132"/>
      <c r="FD77" s="132"/>
      <c r="FE77" s="132"/>
      <c r="FF77" s="132"/>
      <c r="FG77" s="132"/>
      <c r="FH77" s="132"/>
      <c r="FI77" s="132"/>
      <c r="FJ77" s="132"/>
      <c r="FK77" s="132"/>
      <c r="FL77" s="132"/>
      <c r="FM77" s="132"/>
      <c r="FN77" s="132"/>
      <c r="FO77" s="132"/>
      <c r="FP77" s="132"/>
      <c r="FQ77" s="132"/>
      <c r="FR77" s="132"/>
      <c r="FS77" s="132"/>
      <c r="FT77" s="132"/>
      <c r="FU77" s="132"/>
      <c r="FV77" s="132"/>
      <c r="FW77" s="132"/>
      <c r="FX77" s="132"/>
      <c r="FY77" s="132"/>
      <c r="FZ77" s="132"/>
      <c r="GA77" s="132"/>
      <c r="GB77" s="132"/>
      <c r="GC77" s="132"/>
      <c r="GD77" s="132"/>
      <c r="GE77" s="132"/>
      <c r="GF77" s="132"/>
      <c r="IH77" s="65"/>
      <c r="II77" s="65"/>
      <c r="IJ77" s="65"/>
      <c r="IK77" s="65"/>
      <c r="IL77" s="65"/>
      <c r="IM77" s="65"/>
      <c r="IN77" s="65"/>
      <c r="IO77" s="65"/>
      <c r="IP77" s="65"/>
      <c r="IQ77" s="65"/>
      <c r="IR77" s="65"/>
      <c r="IS77" s="65"/>
      <c r="IT77" s="65"/>
      <c r="IU77" s="65"/>
      <c r="IV77" s="65"/>
      <c r="IW77" s="65"/>
      <c r="IX77" s="65"/>
      <c r="IY77" s="65"/>
      <c r="IZ77" s="65"/>
      <c r="JA77" s="65"/>
      <c r="JB77" s="65"/>
      <c r="JC77" s="65"/>
      <c r="JD77" s="65"/>
      <c r="JE77" s="65"/>
      <c r="JF77" s="65"/>
      <c r="JG77" s="65"/>
      <c r="JH77" s="65"/>
    </row>
    <row r="78" spans="2:268" x14ac:dyDescent="0.25">
      <c r="G78" s="129"/>
      <c r="H78" s="129"/>
      <c r="CT78" s="132"/>
      <c r="CU78" s="132"/>
      <c r="CV78" s="132"/>
      <c r="CW78" s="132"/>
      <c r="CX78" s="132"/>
      <c r="CY78" s="132"/>
      <c r="CZ78" s="132"/>
      <c r="DA78" s="132"/>
      <c r="DB78" s="132"/>
      <c r="DC78" s="132"/>
      <c r="DD78" s="132"/>
      <c r="DE78" s="132"/>
      <c r="DF78" s="132"/>
      <c r="DG78" s="132"/>
      <c r="DH78" s="132"/>
      <c r="DI78" s="132"/>
      <c r="DJ78" s="132"/>
      <c r="DK78" s="132"/>
      <c r="DL78" s="132"/>
      <c r="DM78" s="132"/>
      <c r="DN78" s="132"/>
      <c r="DO78" s="132"/>
      <c r="DP78" s="132"/>
      <c r="DQ78" s="132"/>
      <c r="DR78" s="132"/>
      <c r="DS78" s="132"/>
      <c r="DT78" s="132"/>
      <c r="DU78" s="132"/>
      <c r="DV78" s="132"/>
      <c r="DW78" s="132"/>
      <c r="DX78" s="133"/>
      <c r="DY78" s="132"/>
      <c r="DZ78" s="132"/>
      <c r="EA78" s="132"/>
      <c r="EB78" s="132"/>
      <c r="EC78" s="132"/>
      <c r="ED78" s="132"/>
      <c r="EE78" s="132"/>
      <c r="EF78" s="132"/>
      <c r="EG78" s="132"/>
      <c r="EH78" s="132"/>
      <c r="EI78" s="132"/>
      <c r="EJ78" s="132"/>
      <c r="EK78" s="132"/>
      <c r="EL78" s="132"/>
      <c r="EM78" s="132"/>
      <c r="EN78" s="132"/>
      <c r="EO78" s="132"/>
      <c r="EP78" s="132"/>
      <c r="EQ78" s="132"/>
      <c r="ER78" s="132"/>
      <c r="ES78" s="132"/>
      <c r="ET78" s="132"/>
      <c r="EU78" s="132"/>
      <c r="EV78" s="132"/>
      <c r="EW78" s="132"/>
      <c r="EX78" s="132"/>
      <c r="EY78" s="132"/>
      <c r="EZ78" s="132"/>
      <c r="FA78" s="132"/>
      <c r="FB78" s="132"/>
      <c r="FC78" s="132"/>
      <c r="FD78" s="132"/>
      <c r="FE78" s="132"/>
      <c r="FF78" s="132"/>
      <c r="FG78" s="132"/>
      <c r="FH78" s="132"/>
      <c r="FI78" s="132"/>
      <c r="FJ78" s="132"/>
      <c r="FK78" s="132"/>
      <c r="FL78" s="132"/>
      <c r="FM78" s="132"/>
      <c r="FN78" s="132"/>
      <c r="FO78" s="132"/>
      <c r="FP78" s="132"/>
      <c r="FQ78" s="132"/>
      <c r="FR78" s="132"/>
      <c r="FS78" s="132"/>
      <c r="FT78" s="132"/>
      <c r="FU78" s="132"/>
      <c r="FV78" s="132"/>
      <c r="FW78" s="132"/>
      <c r="FX78" s="132"/>
      <c r="FY78" s="132"/>
      <c r="FZ78" s="132"/>
      <c r="GA78" s="132"/>
      <c r="GB78" s="132"/>
      <c r="GC78" s="132"/>
      <c r="GD78" s="132"/>
      <c r="GE78" s="132"/>
      <c r="GF78" s="132"/>
      <c r="IH78" s="65"/>
      <c r="II78" s="65"/>
      <c r="IJ78" s="65"/>
      <c r="IK78" s="65"/>
      <c r="IL78" s="65"/>
      <c r="IM78" s="65"/>
      <c r="IN78" s="65"/>
      <c r="IO78" s="65"/>
      <c r="IP78" s="65"/>
      <c r="IQ78" s="65"/>
      <c r="IR78" s="65"/>
      <c r="IS78" s="65"/>
      <c r="IT78" s="65"/>
      <c r="IU78" s="65"/>
      <c r="IV78" s="65"/>
      <c r="IW78" s="65"/>
      <c r="IX78" s="65"/>
      <c r="IY78" s="65"/>
      <c r="IZ78" s="65"/>
      <c r="JA78" s="65"/>
      <c r="JB78" s="65"/>
      <c r="JC78" s="65"/>
      <c r="JD78" s="65"/>
      <c r="JE78" s="65"/>
      <c r="JF78" s="65"/>
      <c r="JG78" s="65"/>
      <c r="JH78" s="65"/>
    </row>
    <row r="79" spans="2:268" x14ac:dyDescent="0.25">
      <c r="G79" s="129"/>
      <c r="CT79" s="132"/>
      <c r="CU79" s="132"/>
      <c r="CV79" s="132"/>
      <c r="CW79" s="132"/>
      <c r="CX79" s="132"/>
      <c r="CY79" s="132"/>
      <c r="CZ79" s="132"/>
      <c r="DA79" s="132"/>
      <c r="DB79" s="132"/>
      <c r="DC79" s="132"/>
      <c r="DD79" s="132"/>
      <c r="DE79" s="132"/>
      <c r="DF79" s="132"/>
      <c r="DG79" s="132"/>
      <c r="DH79" s="132"/>
      <c r="DI79" s="132"/>
      <c r="DJ79" s="132"/>
      <c r="DK79" s="132"/>
      <c r="DL79" s="132"/>
      <c r="DM79" s="132"/>
      <c r="DN79" s="132"/>
      <c r="DO79" s="132"/>
      <c r="DP79" s="132"/>
      <c r="DQ79" s="132"/>
      <c r="DR79" s="132"/>
      <c r="DS79" s="132"/>
      <c r="DT79" s="132"/>
      <c r="DU79" s="132"/>
      <c r="DV79" s="132"/>
      <c r="DW79" s="132"/>
      <c r="DX79" s="133"/>
      <c r="DY79" s="132"/>
      <c r="DZ79" s="132"/>
      <c r="EA79" s="132"/>
      <c r="EB79" s="132"/>
      <c r="EC79" s="132"/>
      <c r="ED79" s="132"/>
      <c r="EE79" s="132"/>
      <c r="EF79" s="132"/>
      <c r="EG79" s="132"/>
      <c r="EH79" s="132"/>
      <c r="EI79" s="132"/>
      <c r="EJ79" s="132"/>
      <c r="EK79" s="132"/>
      <c r="EL79" s="132"/>
      <c r="EM79" s="132"/>
      <c r="EN79" s="132"/>
      <c r="EO79" s="132"/>
      <c r="EP79" s="132"/>
      <c r="EQ79" s="132"/>
      <c r="ER79" s="132"/>
      <c r="ES79" s="132"/>
      <c r="ET79" s="132"/>
      <c r="EU79" s="132"/>
      <c r="EV79" s="132"/>
      <c r="EW79" s="132"/>
      <c r="EX79" s="132"/>
      <c r="EY79" s="132"/>
      <c r="EZ79" s="132"/>
      <c r="FA79" s="132"/>
      <c r="FB79" s="132"/>
      <c r="FC79" s="132"/>
      <c r="FD79" s="132"/>
      <c r="FE79" s="132"/>
      <c r="FF79" s="132"/>
      <c r="FG79" s="132"/>
      <c r="FH79" s="132"/>
      <c r="FI79" s="132"/>
      <c r="FJ79" s="132"/>
      <c r="FK79" s="132"/>
      <c r="FL79" s="132"/>
      <c r="FM79" s="132"/>
      <c r="FN79" s="132"/>
      <c r="FO79" s="132"/>
      <c r="FP79" s="132"/>
      <c r="FQ79" s="132"/>
      <c r="FR79" s="132"/>
      <c r="FS79" s="132"/>
      <c r="FT79" s="132"/>
      <c r="FU79" s="132"/>
      <c r="FV79" s="132"/>
      <c r="FW79" s="132"/>
      <c r="FX79" s="132"/>
      <c r="FY79" s="132"/>
      <c r="FZ79" s="132"/>
      <c r="GA79" s="132"/>
      <c r="GB79" s="132"/>
      <c r="GC79" s="132"/>
      <c r="GD79" s="132"/>
      <c r="GE79" s="132"/>
      <c r="GF79" s="132"/>
      <c r="IH79" s="65"/>
      <c r="II79" s="65"/>
      <c r="IJ79" s="65"/>
      <c r="IK79" s="65"/>
      <c r="IL79" s="65"/>
      <c r="IM79" s="65"/>
      <c r="IN79" s="65"/>
      <c r="IO79" s="65"/>
      <c r="IP79" s="65"/>
      <c r="IQ79" s="65"/>
      <c r="IR79" s="65"/>
      <c r="IS79" s="65"/>
      <c r="IT79" s="65"/>
      <c r="IU79" s="65"/>
      <c r="IV79" s="65"/>
      <c r="IW79" s="65"/>
      <c r="IX79" s="65"/>
      <c r="IY79" s="65"/>
      <c r="IZ79" s="65"/>
      <c r="JA79" s="65"/>
      <c r="JB79" s="65"/>
      <c r="JC79" s="65"/>
      <c r="JD79" s="65"/>
      <c r="JE79" s="65"/>
      <c r="JF79" s="65"/>
      <c r="JG79" s="65"/>
      <c r="JH79" s="65"/>
    </row>
    <row r="80" spans="2:268" x14ac:dyDescent="0.25">
      <c r="G80" s="129"/>
      <c r="CT80" s="132"/>
      <c r="CU80" s="132"/>
      <c r="CV80" s="132"/>
      <c r="CW80" s="132"/>
      <c r="CX80" s="132"/>
      <c r="CY80" s="132"/>
      <c r="CZ80" s="132"/>
      <c r="DA80" s="132"/>
      <c r="DB80" s="132"/>
      <c r="DC80" s="132"/>
      <c r="DD80" s="132"/>
      <c r="DE80" s="132"/>
      <c r="DF80" s="132"/>
      <c r="DG80" s="132"/>
      <c r="DH80" s="132"/>
      <c r="DI80" s="132"/>
      <c r="DJ80" s="132"/>
      <c r="DK80" s="132"/>
      <c r="DL80" s="132"/>
      <c r="DM80" s="132"/>
      <c r="DN80" s="132"/>
      <c r="DO80" s="132"/>
      <c r="DP80" s="132"/>
      <c r="DQ80" s="132"/>
      <c r="DR80" s="132"/>
      <c r="DS80" s="132"/>
      <c r="DT80" s="132"/>
      <c r="DU80" s="132"/>
      <c r="DV80" s="132"/>
      <c r="DW80" s="132"/>
      <c r="DX80" s="133"/>
      <c r="DY80" s="132"/>
      <c r="DZ80" s="132"/>
      <c r="EA80" s="132"/>
      <c r="EB80" s="132"/>
      <c r="EC80" s="132"/>
      <c r="ED80" s="132"/>
      <c r="EE80" s="132"/>
      <c r="EF80" s="132"/>
      <c r="EG80" s="132"/>
      <c r="EH80" s="132"/>
      <c r="EI80" s="132"/>
      <c r="EJ80" s="132"/>
      <c r="EK80" s="132"/>
      <c r="EL80" s="132"/>
      <c r="EM80" s="132"/>
      <c r="EN80" s="132"/>
      <c r="EO80" s="132"/>
      <c r="EP80" s="132"/>
      <c r="EQ80" s="132"/>
      <c r="ER80" s="132"/>
      <c r="ES80" s="132"/>
      <c r="ET80" s="132"/>
      <c r="EU80" s="132"/>
      <c r="EV80" s="132"/>
      <c r="EW80" s="132"/>
      <c r="EX80" s="132"/>
      <c r="EY80" s="132"/>
      <c r="EZ80" s="132"/>
      <c r="FA80" s="132"/>
      <c r="FB80" s="132"/>
      <c r="FC80" s="132"/>
      <c r="FD80" s="132"/>
      <c r="FE80" s="132"/>
      <c r="FF80" s="132"/>
      <c r="FG80" s="132"/>
      <c r="FH80" s="132"/>
      <c r="FI80" s="132"/>
      <c r="FJ80" s="132"/>
      <c r="FK80" s="132"/>
      <c r="FL80" s="132"/>
      <c r="FM80" s="132"/>
      <c r="FN80" s="132"/>
      <c r="FO80" s="132"/>
      <c r="FP80" s="132"/>
      <c r="FQ80" s="132"/>
      <c r="FR80" s="132"/>
      <c r="FS80" s="132"/>
      <c r="FT80" s="132"/>
      <c r="FU80" s="132"/>
      <c r="FV80" s="132"/>
      <c r="FW80" s="132"/>
      <c r="FX80" s="132"/>
      <c r="FY80" s="132"/>
      <c r="FZ80" s="132"/>
      <c r="GA80" s="132"/>
      <c r="GB80" s="132"/>
      <c r="GC80" s="132"/>
      <c r="GD80" s="132"/>
      <c r="GE80" s="132"/>
      <c r="GF80" s="132"/>
      <c r="IH80" s="65"/>
      <c r="II80" s="65"/>
      <c r="IJ80" s="65"/>
      <c r="IK80" s="65"/>
      <c r="IL80" s="65"/>
      <c r="IM80" s="65"/>
      <c r="IN80" s="65"/>
      <c r="IO80" s="65"/>
      <c r="IP80" s="65"/>
      <c r="IQ80" s="65"/>
      <c r="IR80" s="65"/>
      <c r="IS80" s="65"/>
      <c r="IT80" s="65"/>
      <c r="IU80" s="65"/>
      <c r="IV80" s="65"/>
      <c r="IW80" s="65"/>
      <c r="IX80" s="65"/>
      <c r="IY80" s="65"/>
      <c r="IZ80" s="65"/>
      <c r="JA80" s="65"/>
      <c r="JB80" s="65"/>
      <c r="JC80" s="65"/>
      <c r="JD80" s="65"/>
      <c r="JE80" s="65"/>
      <c r="JF80" s="65"/>
      <c r="JG80" s="65"/>
      <c r="JH80" s="65"/>
    </row>
    <row r="81" spans="7:268" x14ac:dyDescent="0.25">
      <c r="G81" s="129"/>
      <c r="H81" s="129"/>
      <c r="CT81" s="132"/>
      <c r="CU81" s="132"/>
      <c r="CV81" s="132"/>
      <c r="CW81" s="132"/>
      <c r="CX81" s="132"/>
      <c r="CY81" s="132"/>
      <c r="CZ81" s="132"/>
      <c r="DA81" s="132"/>
      <c r="DB81" s="132"/>
      <c r="DC81" s="132"/>
      <c r="DD81" s="132"/>
      <c r="DE81" s="132"/>
      <c r="DF81" s="132"/>
      <c r="DG81" s="132"/>
      <c r="DH81" s="132"/>
      <c r="DI81" s="132"/>
      <c r="DJ81" s="132"/>
      <c r="DK81" s="132"/>
      <c r="DL81" s="132"/>
      <c r="DM81" s="132"/>
      <c r="DN81" s="132"/>
      <c r="DO81" s="132"/>
      <c r="DP81" s="132"/>
      <c r="DQ81" s="132"/>
      <c r="DR81" s="132"/>
      <c r="DS81" s="132"/>
      <c r="DT81" s="132"/>
      <c r="DU81" s="132"/>
      <c r="DV81" s="132"/>
      <c r="DW81" s="132"/>
      <c r="DX81" s="133"/>
      <c r="DY81" s="132"/>
      <c r="DZ81" s="132"/>
      <c r="EA81" s="132"/>
      <c r="EB81" s="132"/>
      <c r="EC81" s="132"/>
      <c r="ED81" s="132"/>
      <c r="EE81" s="132"/>
      <c r="EF81" s="132"/>
      <c r="EG81" s="132"/>
      <c r="EH81" s="132"/>
      <c r="EI81" s="132"/>
      <c r="EJ81" s="132"/>
      <c r="EK81" s="132"/>
      <c r="EL81" s="132"/>
      <c r="EM81" s="132"/>
      <c r="EN81" s="132"/>
      <c r="EO81" s="132"/>
      <c r="EP81" s="132"/>
      <c r="EQ81" s="132"/>
      <c r="ER81" s="132"/>
      <c r="ES81" s="132"/>
      <c r="ET81" s="132"/>
      <c r="EU81" s="132"/>
      <c r="EV81" s="132"/>
      <c r="EW81" s="132"/>
      <c r="EX81" s="132"/>
      <c r="EY81" s="132"/>
      <c r="EZ81" s="132"/>
      <c r="FA81" s="132"/>
      <c r="FB81" s="132"/>
      <c r="FC81" s="132"/>
      <c r="FD81" s="132"/>
      <c r="FE81" s="132"/>
      <c r="FF81" s="132"/>
      <c r="FG81" s="132"/>
      <c r="FH81" s="132"/>
      <c r="FI81" s="132"/>
      <c r="FJ81" s="132"/>
      <c r="FK81" s="132"/>
      <c r="FL81" s="132"/>
      <c r="FM81" s="132"/>
      <c r="FN81" s="132"/>
      <c r="FO81" s="132"/>
      <c r="FP81" s="132"/>
      <c r="FQ81" s="132"/>
      <c r="FR81" s="132"/>
      <c r="FS81" s="132"/>
      <c r="FT81" s="132"/>
      <c r="FU81" s="132"/>
      <c r="FV81" s="132"/>
      <c r="FW81" s="132"/>
      <c r="FX81" s="132"/>
      <c r="FY81" s="132"/>
      <c r="FZ81" s="132"/>
      <c r="GA81" s="132"/>
      <c r="GB81" s="132"/>
      <c r="GC81" s="132"/>
      <c r="GD81" s="132"/>
      <c r="GE81" s="132"/>
      <c r="GF81" s="132"/>
      <c r="IH81" s="65"/>
      <c r="II81" s="65"/>
      <c r="IJ81" s="65"/>
      <c r="IK81" s="65"/>
      <c r="IL81" s="65"/>
      <c r="IM81" s="65"/>
      <c r="IN81" s="65"/>
      <c r="IO81" s="65"/>
      <c r="IP81" s="65"/>
      <c r="IQ81" s="65"/>
      <c r="IR81" s="65"/>
      <c r="IS81" s="65"/>
      <c r="IT81" s="65"/>
      <c r="IU81" s="65"/>
      <c r="IV81" s="65"/>
      <c r="IW81" s="65"/>
      <c r="IX81" s="65"/>
      <c r="IY81" s="65"/>
      <c r="IZ81" s="65"/>
      <c r="JA81" s="65"/>
      <c r="JB81" s="65"/>
      <c r="JC81" s="65"/>
      <c r="JD81" s="65"/>
      <c r="JE81" s="65"/>
      <c r="JF81" s="65"/>
      <c r="JG81" s="65"/>
      <c r="JH81" s="65"/>
    </row>
    <row r="82" spans="7:268" x14ac:dyDescent="0.25">
      <c r="G82" s="129"/>
      <c r="CT82" s="132"/>
      <c r="CU82" s="132"/>
      <c r="CV82" s="132"/>
      <c r="CW82" s="132"/>
      <c r="CX82" s="132"/>
      <c r="CY82" s="132"/>
      <c r="CZ82" s="132"/>
      <c r="DA82" s="132"/>
      <c r="DB82" s="132"/>
      <c r="DC82" s="132"/>
      <c r="DD82" s="132"/>
      <c r="DE82" s="132"/>
      <c r="DF82" s="132"/>
      <c r="DG82" s="132"/>
      <c r="DH82" s="132"/>
      <c r="DI82" s="132"/>
      <c r="DJ82" s="132"/>
      <c r="DK82" s="132"/>
      <c r="DL82" s="132"/>
      <c r="DM82" s="132"/>
      <c r="DN82" s="132"/>
      <c r="DO82" s="132"/>
      <c r="DP82" s="132"/>
      <c r="DQ82" s="132"/>
      <c r="DR82" s="132"/>
      <c r="DS82" s="132"/>
      <c r="DT82" s="132"/>
      <c r="DU82" s="132"/>
      <c r="DV82" s="132"/>
      <c r="DW82" s="132"/>
      <c r="DX82" s="133"/>
      <c r="DY82" s="132"/>
      <c r="DZ82" s="132"/>
      <c r="EA82" s="132"/>
      <c r="EB82" s="132"/>
      <c r="EC82" s="132"/>
      <c r="ED82" s="132"/>
      <c r="EE82" s="132"/>
      <c r="EF82" s="132"/>
      <c r="EG82" s="132"/>
      <c r="EH82" s="132"/>
      <c r="EI82" s="132"/>
      <c r="EJ82" s="132"/>
      <c r="EK82" s="132"/>
      <c r="EL82" s="132"/>
      <c r="EM82" s="132"/>
      <c r="EN82" s="132"/>
      <c r="EO82" s="132"/>
      <c r="EP82" s="132"/>
      <c r="EQ82" s="132"/>
      <c r="ER82" s="132"/>
      <c r="ES82" s="132"/>
      <c r="ET82" s="132"/>
      <c r="EU82" s="132"/>
      <c r="EV82" s="132"/>
      <c r="EW82" s="132"/>
      <c r="EX82" s="132"/>
      <c r="EY82" s="132"/>
      <c r="EZ82" s="132"/>
      <c r="FA82" s="132"/>
      <c r="FB82" s="132"/>
      <c r="FC82" s="132"/>
      <c r="FD82" s="132"/>
      <c r="FE82" s="132"/>
      <c r="FF82" s="132"/>
      <c r="FG82" s="132"/>
      <c r="FH82" s="132"/>
      <c r="FI82" s="132"/>
      <c r="FJ82" s="132"/>
      <c r="FK82" s="132"/>
      <c r="FL82" s="132"/>
      <c r="FM82" s="132"/>
      <c r="FN82" s="132"/>
      <c r="FO82" s="132"/>
      <c r="FP82" s="132"/>
      <c r="FQ82" s="132"/>
      <c r="FR82" s="132"/>
      <c r="FS82" s="132"/>
      <c r="FT82" s="132"/>
      <c r="FU82" s="132"/>
      <c r="FV82" s="132"/>
      <c r="FW82" s="132"/>
      <c r="FX82" s="132"/>
      <c r="FY82" s="132"/>
      <c r="FZ82" s="132"/>
      <c r="GA82" s="132"/>
      <c r="GB82" s="132"/>
      <c r="GC82" s="132"/>
      <c r="GD82" s="132"/>
      <c r="GE82" s="132"/>
      <c r="GF82" s="132"/>
      <c r="IH82" s="65"/>
      <c r="II82" s="65"/>
      <c r="IJ82" s="65"/>
      <c r="IK82" s="65"/>
      <c r="IL82" s="65"/>
      <c r="IM82" s="65"/>
      <c r="IN82" s="65"/>
      <c r="IO82" s="65"/>
      <c r="IP82" s="65"/>
      <c r="IQ82" s="65"/>
      <c r="IR82" s="65"/>
      <c r="IS82" s="65"/>
      <c r="IT82" s="65"/>
      <c r="IU82" s="65"/>
      <c r="IV82" s="65"/>
      <c r="IW82" s="65"/>
      <c r="IX82" s="65"/>
      <c r="IY82" s="65"/>
      <c r="IZ82" s="65"/>
      <c r="JA82" s="65"/>
      <c r="JB82" s="65"/>
      <c r="JC82" s="65"/>
      <c r="JD82" s="65"/>
      <c r="JE82" s="65"/>
      <c r="JF82" s="65"/>
      <c r="JG82" s="65"/>
      <c r="JH82" s="65"/>
    </row>
    <row r="83" spans="7:268" x14ac:dyDescent="0.25">
      <c r="G83" s="129"/>
      <c r="H83" s="129"/>
      <c r="CT83" s="132"/>
      <c r="CU83" s="132"/>
      <c r="CV83" s="132"/>
      <c r="CW83" s="132"/>
      <c r="CX83" s="132"/>
      <c r="CY83" s="132"/>
      <c r="CZ83" s="132"/>
      <c r="DA83" s="132"/>
      <c r="DB83" s="132"/>
      <c r="DC83" s="132"/>
      <c r="DD83" s="132"/>
      <c r="DE83" s="132"/>
      <c r="DF83" s="132"/>
      <c r="DG83" s="132"/>
      <c r="DH83" s="132"/>
      <c r="DI83" s="132"/>
      <c r="DJ83" s="132"/>
      <c r="DK83" s="132"/>
      <c r="DL83" s="132"/>
      <c r="DM83" s="132"/>
      <c r="DN83" s="132"/>
      <c r="DO83" s="132"/>
      <c r="DP83" s="132"/>
      <c r="DQ83" s="132"/>
      <c r="DR83" s="132"/>
      <c r="DS83" s="132"/>
      <c r="DT83" s="132"/>
      <c r="DU83" s="132"/>
      <c r="DV83" s="132"/>
      <c r="DW83" s="132"/>
      <c r="DX83" s="133"/>
      <c r="DY83" s="132"/>
      <c r="DZ83" s="132"/>
      <c r="EA83" s="132"/>
      <c r="EB83" s="132"/>
      <c r="EC83" s="132"/>
      <c r="ED83" s="132"/>
      <c r="EE83" s="132"/>
      <c r="EF83" s="132"/>
      <c r="EG83" s="132"/>
      <c r="EH83" s="132"/>
      <c r="EI83" s="132"/>
      <c r="EJ83" s="132"/>
      <c r="EK83" s="132"/>
      <c r="EL83" s="132"/>
      <c r="EM83" s="132"/>
      <c r="EN83" s="132"/>
      <c r="EO83" s="132"/>
      <c r="EP83" s="132"/>
      <c r="EQ83" s="132"/>
      <c r="ER83" s="132"/>
      <c r="ES83" s="132"/>
      <c r="ET83" s="132"/>
      <c r="EU83" s="132"/>
      <c r="EV83" s="132"/>
      <c r="EW83" s="132"/>
      <c r="EX83" s="132"/>
      <c r="EY83" s="132"/>
      <c r="EZ83" s="132"/>
      <c r="FA83" s="132"/>
      <c r="FB83" s="132"/>
      <c r="FC83" s="132"/>
      <c r="FD83" s="132"/>
      <c r="FE83" s="132"/>
      <c r="FF83" s="132"/>
      <c r="FG83" s="132"/>
      <c r="FH83" s="132"/>
      <c r="FI83" s="132"/>
      <c r="FJ83" s="132"/>
      <c r="FK83" s="132"/>
      <c r="FL83" s="132"/>
      <c r="FM83" s="132"/>
      <c r="FN83" s="132"/>
      <c r="FO83" s="132"/>
      <c r="FP83" s="132"/>
      <c r="FQ83" s="132"/>
      <c r="FR83" s="132"/>
      <c r="FS83" s="132"/>
      <c r="FT83" s="132"/>
      <c r="FU83" s="132"/>
      <c r="FV83" s="132"/>
      <c r="FW83" s="132"/>
      <c r="FX83" s="132"/>
      <c r="FY83" s="132"/>
      <c r="FZ83" s="132"/>
      <c r="GA83" s="132"/>
      <c r="GB83" s="132"/>
      <c r="GC83" s="132"/>
      <c r="GD83" s="132"/>
      <c r="GE83" s="132"/>
      <c r="GF83" s="132"/>
      <c r="IH83" s="65"/>
      <c r="II83" s="65"/>
      <c r="IJ83" s="65"/>
      <c r="IK83" s="65"/>
      <c r="IL83" s="65"/>
      <c r="IM83" s="65"/>
      <c r="IN83" s="65"/>
      <c r="IO83" s="65"/>
      <c r="IP83" s="65"/>
      <c r="IQ83" s="65"/>
      <c r="IR83" s="65"/>
      <c r="IS83" s="65"/>
      <c r="IT83" s="65"/>
      <c r="IU83" s="65"/>
      <c r="IV83" s="65"/>
      <c r="IW83" s="65"/>
      <c r="IX83" s="65"/>
      <c r="IY83" s="65"/>
      <c r="IZ83" s="65"/>
      <c r="JA83" s="65"/>
      <c r="JB83" s="65"/>
      <c r="JC83" s="65"/>
      <c r="JD83" s="65"/>
      <c r="JE83" s="65"/>
      <c r="JF83" s="65"/>
      <c r="JG83" s="65"/>
      <c r="JH83" s="65"/>
    </row>
    <row r="84" spans="7:268" x14ac:dyDescent="0.25">
      <c r="G84" s="129"/>
      <c r="H84" s="129"/>
      <c r="CT84" s="132"/>
      <c r="CU84" s="132"/>
      <c r="CV84" s="132"/>
      <c r="CW84" s="132"/>
      <c r="CX84" s="132"/>
      <c r="CY84" s="132"/>
      <c r="CZ84" s="132"/>
      <c r="DA84" s="132"/>
      <c r="DB84" s="132"/>
      <c r="DC84" s="132"/>
      <c r="DD84" s="132"/>
      <c r="DE84" s="132"/>
      <c r="DF84" s="132"/>
      <c r="DG84" s="132"/>
      <c r="DH84" s="132"/>
      <c r="DI84" s="132"/>
      <c r="DJ84" s="132"/>
      <c r="DK84" s="132"/>
      <c r="DL84" s="132"/>
      <c r="DM84" s="132"/>
      <c r="DN84" s="132"/>
      <c r="DO84" s="132"/>
      <c r="DP84" s="132"/>
      <c r="DQ84" s="132"/>
      <c r="DR84" s="132"/>
      <c r="DS84" s="132"/>
      <c r="DT84" s="132"/>
      <c r="DU84" s="132"/>
      <c r="DV84" s="132"/>
      <c r="DW84" s="132"/>
      <c r="DX84" s="133"/>
      <c r="DY84" s="132"/>
      <c r="DZ84" s="132"/>
      <c r="EA84" s="132"/>
      <c r="EB84" s="132"/>
      <c r="EC84" s="132"/>
      <c r="ED84" s="132"/>
      <c r="EE84" s="132"/>
      <c r="EF84" s="132"/>
      <c r="EG84" s="132"/>
      <c r="EH84" s="132"/>
      <c r="EI84" s="132"/>
      <c r="EJ84" s="132"/>
      <c r="EK84" s="132"/>
      <c r="EL84" s="132"/>
      <c r="EM84" s="132"/>
      <c r="EN84" s="132"/>
      <c r="EO84" s="132"/>
      <c r="EP84" s="132"/>
      <c r="EQ84" s="132"/>
      <c r="ER84" s="132"/>
      <c r="ES84" s="132"/>
      <c r="ET84" s="132"/>
      <c r="EU84" s="132"/>
      <c r="EV84" s="132"/>
      <c r="EW84" s="132"/>
      <c r="EX84" s="132"/>
      <c r="EY84" s="132"/>
      <c r="EZ84" s="132"/>
      <c r="FA84" s="132"/>
      <c r="FB84" s="132"/>
      <c r="FC84" s="132"/>
      <c r="FD84" s="132"/>
      <c r="FE84" s="132"/>
      <c r="FF84" s="132"/>
      <c r="FG84" s="132"/>
      <c r="FH84" s="132"/>
      <c r="FI84" s="132"/>
      <c r="FJ84" s="132"/>
      <c r="FK84" s="132"/>
      <c r="FL84" s="132"/>
      <c r="FM84" s="132"/>
      <c r="FN84" s="132"/>
      <c r="FO84" s="132"/>
      <c r="FP84" s="132"/>
      <c r="FQ84" s="132"/>
      <c r="FR84" s="132"/>
      <c r="FS84" s="132"/>
      <c r="FT84" s="132"/>
      <c r="FU84" s="132"/>
      <c r="FV84" s="132"/>
      <c r="FW84" s="132"/>
      <c r="FX84" s="132"/>
      <c r="FY84" s="132"/>
      <c r="FZ84" s="132"/>
      <c r="GA84" s="132"/>
      <c r="GB84" s="132"/>
      <c r="GC84" s="132"/>
      <c r="GD84" s="132"/>
      <c r="GE84" s="132"/>
      <c r="GF84" s="132"/>
      <c r="IH84" s="65"/>
      <c r="II84" s="65"/>
      <c r="IJ84" s="65"/>
      <c r="IK84" s="65"/>
      <c r="IL84" s="65"/>
      <c r="IM84" s="65"/>
      <c r="IN84" s="65"/>
      <c r="IO84" s="65"/>
      <c r="IP84" s="65"/>
      <c r="IQ84" s="65"/>
      <c r="IR84" s="65"/>
      <c r="IS84" s="65"/>
      <c r="IT84" s="65"/>
      <c r="IU84" s="65"/>
      <c r="IV84" s="65"/>
      <c r="IW84" s="65"/>
      <c r="IX84" s="65"/>
      <c r="IY84" s="65"/>
      <c r="IZ84" s="65"/>
      <c r="JA84" s="65"/>
      <c r="JB84" s="65"/>
      <c r="JC84" s="65"/>
      <c r="JD84" s="65"/>
      <c r="JE84" s="65"/>
      <c r="JF84" s="65"/>
      <c r="JG84" s="65"/>
      <c r="JH84" s="65"/>
    </row>
    <row r="85" spans="7:268" x14ac:dyDescent="0.25">
      <c r="G85" s="129"/>
      <c r="CT85" s="132"/>
      <c r="CU85" s="132"/>
      <c r="CV85" s="132"/>
      <c r="CW85" s="132"/>
      <c r="CX85" s="132"/>
      <c r="CY85" s="132"/>
      <c r="CZ85" s="132"/>
      <c r="DA85" s="132"/>
      <c r="DB85" s="132"/>
      <c r="DC85" s="132"/>
      <c r="DD85" s="132"/>
      <c r="DE85" s="132"/>
      <c r="DF85" s="132"/>
      <c r="DG85" s="132"/>
      <c r="DH85" s="132"/>
      <c r="DI85" s="132"/>
      <c r="DJ85" s="132"/>
      <c r="DK85" s="132"/>
      <c r="DL85" s="132"/>
      <c r="DM85" s="132"/>
      <c r="DN85" s="132"/>
      <c r="DO85" s="132"/>
      <c r="DP85" s="132"/>
      <c r="DQ85" s="132"/>
      <c r="DR85" s="132"/>
      <c r="DS85" s="132"/>
      <c r="DT85" s="132"/>
      <c r="DU85" s="132"/>
      <c r="DV85" s="132"/>
      <c r="DW85" s="132"/>
      <c r="DX85" s="133"/>
      <c r="DY85" s="132"/>
      <c r="DZ85" s="132"/>
      <c r="EA85" s="132"/>
      <c r="EB85" s="132"/>
      <c r="EC85" s="132"/>
      <c r="ED85" s="132"/>
      <c r="EE85" s="132"/>
      <c r="EF85" s="132"/>
      <c r="EG85" s="132"/>
      <c r="EH85" s="132"/>
      <c r="EI85" s="132"/>
      <c r="EJ85" s="132"/>
      <c r="EK85" s="132"/>
      <c r="EL85" s="132"/>
      <c r="EM85" s="132"/>
      <c r="EN85" s="132"/>
      <c r="EO85" s="132"/>
      <c r="EP85" s="132"/>
      <c r="EQ85" s="132"/>
      <c r="ER85" s="132"/>
      <c r="ES85" s="132"/>
      <c r="ET85" s="132"/>
      <c r="EU85" s="132"/>
      <c r="EV85" s="132"/>
      <c r="EW85" s="132"/>
      <c r="EX85" s="132"/>
      <c r="EY85" s="132"/>
      <c r="EZ85" s="132"/>
      <c r="FA85" s="132"/>
      <c r="FB85" s="132"/>
      <c r="FC85" s="132"/>
      <c r="FD85" s="132"/>
      <c r="FE85" s="132"/>
      <c r="FF85" s="132"/>
      <c r="FG85" s="132"/>
      <c r="FH85" s="132"/>
      <c r="FI85" s="132"/>
      <c r="FJ85" s="132"/>
      <c r="FK85" s="132"/>
      <c r="FL85" s="132"/>
      <c r="FM85" s="132"/>
      <c r="FN85" s="132"/>
      <c r="FO85" s="132"/>
      <c r="FP85" s="132"/>
      <c r="FQ85" s="132"/>
      <c r="FR85" s="132"/>
      <c r="FS85" s="132"/>
      <c r="FT85" s="132"/>
      <c r="FU85" s="132"/>
      <c r="FV85" s="132"/>
      <c r="FW85" s="132"/>
      <c r="FX85" s="132"/>
      <c r="FY85" s="132"/>
      <c r="FZ85" s="132"/>
      <c r="GA85" s="132"/>
      <c r="GB85" s="132"/>
      <c r="GC85" s="132"/>
      <c r="GD85" s="132"/>
      <c r="GE85" s="132"/>
      <c r="GF85" s="132"/>
    </row>
    <row r="86" spans="7:268" x14ac:dyDescent="0.25">
      <c r="G86" s="129"/>
      <c r="H86" s="129"/>
      <c r="CT86" s="132"/>
      <c r="CU86" s="132"/>
      <c r="CV86" s="132"/>
      <c r="CW86" s="132"/>
      <c r="CX86" s="132"/>
      <c r="CY86" s="132"/>
      <c r="CZ86" s="132"/>
      <c r="DA86" s="132"/>
      <c r="DB86" s="132"/>
      <c r="DC86" s="132"/>
      <c r="DD86" s="132"/>
      <c r="DE86" s="132"/>
      <c r="DF86" s="132"/>
      <c r="DG86" s="132"/>
      <c r="DH86" s="132"/>
      <c r="DI86" s="132"/>
      <c r="DJ86" s="132"/>
      <c r="DK86" s="132"/>
      <c r="DL86" s="132"/>
      <c r="DM86" s="132"/>
      <c r="DN86" s="132"/>
      <c r="DO86" s="132"/>
      <c r="DP86" s="132"/>
      <c r="DQ86" s="132"/>
      <c r="DR86" s="132"/>
      <c r="DS86" s="132"/>
      <c r="DT86" s="132"/>
      <c r="DU86" s="132"/>
      <c r="DV86" s="132"/>
      <c r="DW86" s="132"/>
      <c r="DX86" s="133"/>
      <c r="DY86" s="132"/>
      <c r="DZ86" s="132"/>
      <c r="EA86" s="132"/>
      <c r="EB86" s="132"/>
      <c r="EC86" s="132"/>
      <c r="ED86" s="132"/>
      <c r="EE86" s="132"/>
      <c r="EF86" s="132"/>
      <c r="EG86" s="132"/>
      <c r="EH86" s="132"/>
      <c r="EI86" s="132"/>
      <c r="EJ86" s="132"/>
      <c r="EK86" s="132"/>
      <c r="EL86" s="132"/>
      <c r="EM86" s="132"/>
      <c r="EN86" s="132"/>
      <c r="EO86" s="132"/>
      <c r="EP86" s="132"/>
      <c r="EQ86" s="132"/>
      <c r="ER86" s="132"/>
      <c r="ES86" s="132"/>
      <c r="ET86" s="132"/>
      <c r="EU86" s="132"/>
      <c r="EV86" s="132"/>
      <c r="EW86" s="132"/>
      <c r="EX86" s="132"/>
      <c r="EY86" s="132"/>
      <c r="EZ86" s="132"/>
      <c r="FA86" s="132"/>
      <c r="FB86" s="132"/>
      <c r="FC86" s="132"/>
      <c r="FD86" s="132"/>
      <c r="FE86" s="132"/>
      <c r="FF86" s="132"/>
      <c r="FG86" s="132"/>
      <c r="FH86" s="132"/>
      <c r="FI86" s="132"/>
      <c r="FJ86" s="132"/>
      <c r="FK86" s="132"/>
      <c r="FL86" s="132"/>
      <c r="FM86" s="132"/>
      <c r="FN86" s="132"/>
      <c r="FO86" s="132"/>
      <c r="FP86" s="132"/>
      <c r="FQ86" s="132"/>
      <c r="FR86" s="132"/>
      <c r="FS86" s="132"/>
      <c r="FT86" s="132"/>
      <c r="FU86" s="132"/>
      <c r="FV86" s="132"/>
      <c r="FW86" s="132"/>
      <c r="FX86" s="132"/>
      <c r="FY86" s="132"/>
      <c r="FZ86" s="132"/>
      <c r="GA86" s="132"/>
      <c r="GB86" s="132"/>
      <c r="GC86" s="132"/>
      <c r="GD86" s="132"/>
      <c r="GE86" s="132"/>
      <c r="GF86" s="132"/>
    </row>
    <row r="87" spans="7:268" x14ac:dyDescent="0.25">
      <c r="G87" s="129"/>
      <c r="H87" s="129"/>
      <c r="CT87" s="132"/>
      <c r="CU87" s="132"/>
      <c r="CV87" s="132"/>
      <c r="CW87" s="132"/>
      <c r="CX87" s="132"/>
      <c r="CY87" s="132"/>
      <c r="CZ87" s="132"/>
      <c r="DA87" s="132"/>
      <c r="DB87" s="132"/>
      <c r="DC87" s="132"/>
      <c r="DD87" s="132"/>
      <c r="DE87" s="132"/>
      <c r="DF87" s="132"/>
      <c r="DG87" s="132"/>
      <c r="DH87" s="132"/>
      <c r="DI87" s="132"/>
      <c r="DJ87" s="132"/>
      <c r="DK87" s="132"/>
      <c r="DL87" s="132"/>
      <c r="DM87" s="132"/>
      <c r="DN87" s="132"/>
      <c r="DO87" s="132"/>
      <c r="DP87" s="132"/>
      <c r="DQ87" s="132"/>
      <c r="DR87" s="132"/>
      <c r="DS87" s="132"/>
      <c r="DT87" s="132"/>
      <c r="DU87" s="132"/>
      <c r="DV87" s="132"/>
      <c r="DW87" s="132"/>
      <c r="DX87" s="133"/>
      <c r="DY87" s="132"/>
      <c r="DZ87" s="132"/>
      <c r="EA87" s="132"/>
      <c r="EB87" s="132"/>
      <c r="EC87" s="132"/>
      <c r="ED87" s="132"/>
      <c r="EE87" s="132"/>
      <c r="EF87" s="132"/>
      <c r="EG87" s="132"/>
      <c r="EH87" s="132"/>
      <c r="EI87" s="132"/>
      <c r="EJ87" s="132"/>
      <c r="EK87" s="132"/>
      <c r="EL87" s="132"/>
      <c r="EM87" s="132"/>
      <c r="EN87" s="132"/>
      <c r="EO87" s="132"/>
      <c r="EP87" s="132"/>
      <c r="EQ87" s="132"/>
      <c r="ER87" s="132"/>
      <c r="ES87" s="132"/>
      <c r="ET87" s="132"/>
      <c r="EU87" s="132"/>
      <c r="EV87" s="132"/>
      <c r="EW87" s="132"/>
      <c r="EX87" s="132"/>
      <c r="EY87" s="132"/>
      <c r="EZ87" s="132"/>
      <c r="FA87" s="132"/>
      <c r="FB87" s="132"/>
      <c r="FC87" s="132"/>
      <c r="FD87" s="132"/>
      <c r="FE87" s="132"/>
      <c r="FF87" s="132"/>
      <c r="FG87" s="132"/>
      <c r="FH87" s="132"/>
      <c r="FI87" s="132"/>
      <c r="FJ87" s="132"/>
      <c r="FK87" s="132"/>
      <c r="FL87" s="132"/>
      <c r="FM87" s="132"/>
      <c r="FN87" s="132"/>
      <c r="FO87" s="132"/>
      <c r="FP87" s="132"/>
      <c r="FQ87" s="132"/>
      <c r="FR87" s="132"/>
      <c r="FS87" s="132"/>
      <c r="FT87" s="132"/>
      <c r="FU87" s="132"/>
      <c r="FV87" s="132"/>
      <c r="FW87" s="132"/>
      <c r="FX87" s="132"/>
      <c r="FY87" s="132"/>
      <c r="FZ87" s="132"/>
      <c r="GA87" s="132"/>
      <c r="GB87" s="132"/>
      <c r="GC87" s="132"/>
      <c r="GD87" s="132"/>
      <c r="GE87" s="132"/>
      <c r="GF87" s="132"/>
    </row>
    <row r="88" spans="7:268" x14ac:dyDescent="0.25">
      <c r="G88" s="129"/>
      <c r="CT88" s="132"/>
      <c r="CU88" s="132"/>
      <c r="CV88" s="132"/>
      <c r="CW88" s="132"/>
      <c r="CX88" s="132"/>
      <c r="CY88" s="132"/>
      <c r="CZ88" s="132"/>
      <c r="DA88" s="132"/>
      <c r="DB88" s="132"/>
      <c r="DC88" s="132"/>
      <c r="DD88" s="132"/>
      <c r="DE88" s="132"/>
      <c r="DF88" s="132"/>
      <c r="DG88" s="132"/>
      <c r="DH88" s="132"/>
      <c r="DI88" s="132"/>
      <c r="DJ88" s="132"/>
      <c r="DK88" s="132"/>
      <c r="DL88" s="132"/>
      <c r="DM88" s="132"/>
      <c r="DN88" s="132"/>
      <c r="DO88" s="132"/>
      <c r="DP88" s="132"/>
      <c r="DQ88" s="132"/>
      <c r="DR88" s="132"/>
      <c r="DS88" s="132"/>
      <c r="DT88" s="132"/>
      <c r="DU88" s="132"/>
      <c r="DV88" s="132"/>
      <c r="DW88" s="132"/>
      <c r="DX88" s="133"/>
      <c r="DY88" s="132"/>
      <c r="DZ88" s="132"/>
      <c r="EA88" s="132"/>
      <c r="EB88" s="132"/>
      <c r="EC88" s="132"/>
      <c r="ED88" s="132"/>
      <c r="EE88" s="132"/>
      <c r="EF88" s="132"/>
      <c r="EG88" s="132"/>
      <c r="EH88" s="132"/>
      <c r="EI88" s="132"/>
      <c r="EJ88" s="132"/>
      <c r="EK88" s="132"/>
      <c r="EL88" s="132"/>
      <c r="EM88" s="132"/>
      <c r="EN88" s="132"/>
      <c r="EO88" s="132"/>
      <c r="EP88" s="132"/>
      <c r="EQ88" s="132"/>
      <c r="ER88" s="132"/>
      <c r="ES88" s="132"/>
      <c r="ET88" s="132"/>
      <c r="EU88" s="132"/>
      <c r="EV88" s="132"/>
      <c r="EW88" s="132"/>
      <c r="EX88" s="132"/>
      <c r="EY88" s="132"/>
      <c r="EZ88" s="132"/>
      <c r="FA88" s="132"/>
      <c r="FB88" s="132"/>
      <c r="FC88" s="132"/>
      <c r="FD88" s="132"/>
      <c r="FE88" s="132"/>
      <c r="FF88" s="132"/>
      <c r="FG88" s="132"/>
      <c r="FH88" s="132"/>
      <c r="FI88" s="132"/>
      <c r="FJ88" s="132"/>
      <c r="FK88" s="132"/>
      <c r="FL88" s="132"/>
      <c r="FM88" s="132"/>
      <c r="FN88" s="132"/>
      <c r="FO88" s="132"/>
      <c r="FP88" s="132"/>
      <c r="FQ88" s="132"/>
      <c r="FR88" s="132"/>
      <c r="FS88" s="132"/>
      <c r="FT88" s="132"/>
      <c r="FU88" s="132"/>
      <c r="FV88" s="132"/>
      <c r="FW88" s="132"/>
      <c r="FX88" s="132"/>
      <c r="FY88" s="132"/>
      <c r="FZ88" s="132"/>
      <c r="GA88" s="132"/>
      <c r="GB88" s="132"/>
      <c r="GC88" s="132"/>
      <c r="GD88" s="132"/>
      <c r="GE88" s="132"/>
      <c r="GF88" s="132"/>
    </row>
    <row r="89" spans="7:268" x14ac:dyDescent="0.25">
      <c r="G89" s="129"/>
      <c r="H89" s="129"/>
      <c r="CT89" s="132"/>
      <c r="CU89" s="132"/>
      <c r="CV89" s="132"/>
      <c r="CW89" s="132"/>
      <c r="CX89" s="132"/>
      <c r="CY89" s="132"/>
      <c r="CZ89" s="132"/>
      <c r="DA89" s="132"/>
      <c r="DB89" s="132"/>
      <c r="DC89" s="132"/>
      <c r="DD89" s="132"/>
      <c r="DE89" s="132"/>
      <c r="DF89" s="132"/>
      <c r="DG89" s="132"/>
      <c r="DH89" s="132"/>
      <c r="DI89" s="132"/>
      <c r="DJ89" s="132"/>
      <c r="DK89" s="132"/>
      <c r="DL89" s="132"/>
      <c r="DM89" s="132"/>
      <c r="DN89" s="132"/>
      <c r="DO89" s="132"/>
      <c r="DP89" s="132"/>
      <c r="DQ89" s="132"/>
      <c r="DR89" s="132"/>
      <c r="DS89" s="132"/>
      <c r="DT89" s="132"/>
      <c r="DU89" s="132"/>
      <c r="DV89" s="132"/>
      <c r="DW89" s="132"/>
      <c r="DX89" s="133"/>
      <c r="DY89" s="132"/>
      <c r="DZ89" s="132"/>
      <c r="EA89" s="132"/>
      <c r="EB89" s="132"/>
      <c r="EC89" s="132"/>
      <c r="ED89" s="132"/>
      <c r="EE89" s="132"/>
      <c r="EF89" s="132"/>
      <c r="EG89" s="132"/>
      <c r="EH89" s="132"/>
      <c r="EI89" s="132"/>
      <c r="EJ89" s="132"/>
      <c r="EK89" s="132"/>
      <c r="EL89" s="132"/>
      <c r="EM89" s="132"/>
      <c r="EN89" s="132"/>
      <c r="EO89" s="132"/>
      <c r="EP89" s="132"/>
      <c r="EQ89" s="132"/>
      <c r="ER89" s="132"/>
      <c r="ES89" s="132"/>
      <c r="ET89" s="132"/>
      <c r="EU89" s="132"/>
      <c r="EV89" s="132"/>
      <c r="EW89" s="132"/>
      <c r="EX89" s="132"/>
      <c r="EY89" s="132"/>
      <c r="EZ89" s="132"/>
      <c r="FA89" s="132"/>
      <c r="FB89" s="132"/>
      <c r="FC89" s="132"/>
      <c r="FD89" s="132"/>
      <c r="FE89" s="132"/>
      <c r="FF89" s="132"/>
      <c r="FG89" s="132"/>
      <c r="FH89" s="132"/>
      <c r="FI89" s="132"/>
      <c r="FJ89" s="132"/>
      <c r="FK89" s="132"/>
      <c r="FL89" s="132"/>
      <c r="FM89" s="132"/>
      <c r="FN89" s="132"/>
      <c r="FO89" s="132"/>
      <c r="FP89" s="132"/>
      <c r="FQ89" s="132"/>
      <c r="FR89" s="132"/>
      <c r="FS89" s="132"/>
      <c r="FT89" s="132"/>
      <c r="FU89" s="132"/>
      <c r="FV89" s="132"/>
      <c r="FW89" s="132"/>
      <c r="FX89" s="132"/>
      <c r="FY89" s="132"/>
      <c r="FZ89" s="132"/>
      <c r="GA89" s="132"/>
      <c r="GB89" s="132"/>
      <c r="GC89" s="132"/>
      <c r="GD89" s="132"/>
      <c r="GE89" s="132"/>
      <c r="GF89" s="132"/>
    </row>
    <row r="90" spans="7:268" x14ac:dyDescent="0.25">
      <c r="G90" s="129"/>
      <c r="CT90" s="132"/>
      <c r="CU90" s="132"/>
      <c r="CV90" s="132"/>
      <c r="CW90" s="132"/>
      <c r="CX90" s="132"/>
      <c r="CY90" s="132"/>
      <c r="CZ90" s="132"/>
      <c r="DA90" s="132"/>
      <c r="DB90" s="132"/>
      <c r="DC90" s="132"/>
      <c r="DD90" s="132"/>
      <c r="DE90" s="132"/>
      <c r="DF90" s="132"/>
      <c r="DG90" s="132"/>
      <c r="DH90" s="132"/>
      <c r="DI90" s="132"/>
      <c r="DJ90" s="132"/>
      <c r="DK90" s="132"/>
      <c r="DL90" s="132"/>
      <c r="DM90" s="132"/>
      <c r="DN90" s="132"/>
      <c r="DO90" s="132"/>
      <c r="DP90" s="132"/>
      <c r="DQ90" s="132"/>
      <c r="DR90" s="132"/>
      <c r="DS90" s="132"/>
      <c r="DT90" s="132"/>
      <c r="DU90" s="132"/>
      <c r="DV90" s="132"/>
      <c r="DW90" s="132"/>
      <c r="DX90" s="133"/>
      <c r="DY90" s="132"/>
      <c r="DZ90" s="132"/>
      <c r="EA90" s="132"/>
      <c r="EB90" s="132"/>
      <c r="EC90" s="132"/>
      <c r="ED90" s="132"/>
      <c r="EE90" s="132"/>
      <c r="EF90" s="132"/>
      <c r="EG90" s="132"/>
      <c r="EH90" s="132"/>
      <c r="EI90" s="132"/>
      <c r="EJ90" s="132"/>
      <c r="EK90" s="132"/>
      <c r="EL90" s="132"/>
      <c r="EM90" s="132"/>
      <c r="EN90" s="132"/>
      <c r="EO90" s="132"/>
      <c r="EP90" s="132"/>
      <c r="EQ90" s="132"/>
      <c r="ER90" s="132"/>
      <c r="ES90" s="132"/>
      <c r="ET90" s="132"/>
      <c r="EU90" s="132"/>
      <c r="EV90" s="132"/>
      <c r="EW90" s="132"/>
      <c r="EX90" s="132"/>
      <c r="EY90" s="132"/>
      <c r="EZ90" s="132"/>
      <c r="FA90" s="132"/>
      <c r="FB90" s="132"/>
      <c r="FC90" s="132"/>
      <c r="FD90" s="132"/>
      <c r="FE90" s="132"/>
      <c r="FF90" s="132"/>
      <c r="FG90" s="132"/>
      <c r="FH90" s="132"/>
      <c r="FI90" s="132"/>
      <c r="FJ90" s="132"/>
      <c r="FK90" s="132"/>
      <c r="FL90" s="132"/>
      <c r="FM90" s="132"/>
      <c r="FN90" s="132"/>
      <c r="FO90" s="132"/>
      <c r="FP90" s="132"/>
      <c r="FQ90" s="132"/>
      <c r="FR90" s="132"/>
      <c r="FS90" s="132"/>
      <c r="FT90" s="132"/>
      <c r="FU90" s="132"/>
      <c r="FV90" s="132"/>
      <c r="FW90" s="132"/>
      <c r="FX90" s="132"/>
      <c r="FY90" s="132"/>
      <c r="FZ90" s="132"/>
      <c r="GA90" s="132"/>
      <c r="GB90" s="132"/>
      <c r="GC90" s="132"/>
      <c r="GD90" s="132"/>
      <c r="GE90" s="132"/>
      <c r="GF90" s="132"/>
    </row>
    <row r="91" spans="7:268" x14ac:dyDescent="0.25">
      <c r="G91" s="129"/>
      <c r="H91" s="129"/>
      <c r="CT91" s="132"/>
      <c r="CU91" s="132"/>
      <c r="CV91" s="132"/>
      <c r="CW91" s="132"/>
      <c r="CX91" s="132"/>
      <c r="CY91" s="132"/>
      <c r="CZ91" s="132"/>
      <c r="DA91" s="132"/>
      <c r="DB91" s="132"/>
      <c r="DC91" s="132"/>
      <c r="DD91" s="132"/>
      <c r="DE91" s="132"/>
      <c r="DF91" s="132"/>
      <c r="DG91" s="132"/>
      <c r="DH91" s="132"/>
      <c r="DI91" s="132"/>
      <c r="DJ91" s="132"/>
      <c r="DK91" s="132"/>
      <c r="DL91" s="132"/>
      <c r="DM91" s="132"/>
      <c r="DN91" s="132"/>
      <c r="DO91" s="132"/>
      <c r="DP91" s="132"/>
      <c r="DQ91" s="132"/>
      <c r="DR91" s="132"/>
      <c r="DS91" s="132"/>
      <c r="DT91" s="132"/>
      <c r="DU91" s="132"/>
      <c r="DV91" s="132"/>
      <c r="DW91" s="132"/>
      <c r="DX91" s="133"/>
      <c r="DY91" s="132"/>
      <c r="DZ91" s="132"/>
      <c r="EA91" s="132"/>
      <c r="EB91" s="132"/>
      <c r="EC91" s="132"/>
      <c r="ED91" s="132"/>
      <c r="EE91" s="132"/>
      <c r="EF91" s="132"/>
      <c r="EG91" s="132"/>
      <c r="EH91" s="132"/>
      <c r="EI91" s="132"/>
      <c r="EJ91" s="132"/>
      <c r="EK91" s="132"/>
      <c r="EL91" s="132"/>
      <c r="EM91" s="132"/>
      <c r="EN91" s="132"/>
      <c r="EO91" s="132"/>
      <c r="EP91" s="132"/>
      <c r="EQ91" s="132"/>
      <c r="ER91" s="132"/>
      <c r="ES91" s="132"/>
      <c r="ET91" s="132"/>
      <c r="EU91" s="132"/>
      <c r="EV91" s="132"/>
      <c r="EW91" s="132"/>
      <c r="EX91" s="132"/>
      <c r="EY91" s="132"/>
      <c r="EZ91" s="132"/>
      <c r="FA91" s="132"/>
      <c r="FB91" s="132"/>
      <c r="FC91" s="132"/>
      <c r="FD91" s="132"/>
      <c r="FE91" s="132"/>
      <c r="FF91" s="132"/>
      <c r="FG91" s="132"/>
      <c r="FH91" s="132"/>
      <c r="FI91" s="132"/>
      <c r="FJ91" s="132"/>
      <c r="FK91" s="132"/>
      <c r="FL91" s="132"/>
      <c r="FM91" s="132"/>
      <c r="FN91" s="132"/>
      <c r="FO91" s="132"/>
      <c r="FP91" s="132"/>
      <c r="FQ91" s="132"/>
      <c r="FR91" s="132"/>
      <c r="FS91" s="132"/>
      <c r="FT91" s="132"/>
      <c r="FU91" s="132"/>
      <c r="FV91" s="132"/>
      <c r="FW91" s="132"/>
      <c r="FX91" s="132"/>
      <c r="FY91" s="132"/>
      <c r="FZ91" s="132"/>
      <c r="GA91" s="132"/>
      <c r="GB91" s="132"/>
      <c r="GC91" s="132"/>
      <c r="GD91" s="132"/>
      <c r="GE91" s="132"/>
      <c r="GF91" s="132"/>
    </row>
    <row r="92" spans="7:268" x14ac:dyDescent="0.25">
      <c r="G92" s="129"/>
      <c r="H92" s="129"/>
      <c r="CT92" s="132"/>
      <c r="CU92" s="132"/>
      <c r="CV92" s="132"/>
      <c r="CW92" s="132"/>
      <c r="CX92" s="132"/>
      <c r="CY92" s="132"/>
      <c r="CZ92" s="132"/>
      <c r="DA92" s="132"/>
      <c r="DB92" s="132"/>
      <c r="DC92" s="132"/>
      <c r="DD92" s="132"/>
      <c r="DE92" s="132"/>
      <c r="DF92" s="132"/>
      <c r="DG92" s="132"/>
      <c r="DH92" s="132"/>
      <c r="DI92" s="132"/>
      <c r="DJ92" s="132"/>
      <c r="DK92" s="132"/>
      <c r="DL92" s="132"/>
      <c r="DM92" s="132"/>
      <c r="DN92" s="132"/>
      <c r="DO92" s="132"/>
      <c r="DP92" s="132"/>
      <c r="DQ92" s="132"/>
      <c r="DR92" s="132"/>
      <c r="DS92" s="132"/>
      <c r="DT92" s="132"/>
      <c r="DU92" s="132"/>
      <c r="DV92" s="132"/>
      <c r="DW92" s="132"/>
      <c r="DX92" s="133"/>
      <c r="DY92" s="132"/>
      <c r="DZ92" s="132"/>
      <c r="EA92" s="132"/>
      <c r="EB92" s="132"/>
      <c r="EC92" s="132"/>
      <c r="ED92" s="132"/>
      <c r="EE92" s="132"/>
      <c r="EF92" s="132"/>
      <c r="EG92" s="132"/>
      <c r="EH92" s="132"/>
      <c r="EI92" s="132"/>
      <c r="EJ92" s="132"/>
      <c r="EK92" s="132"/>
      <c r="EL92" s="132"/>
      <c r="EM92" s="132"/>
      <c r="EN92" s="132"/>
      <c r="EO92" s="132"/>
      <c r="EP92" s="132"/>
      <c r="EQ92" s="132"/>
      <c r="ER92" s="132"/>
      <c r="ES92" s="132"/>
      <c r="ET92" s="132"/>
      <c r="EU92" s="132"/>
      <c r="EV92" s="132"/>
      <c r="EW92" s="132"/>
      <c r="EX92" s="132"/>
      <c r="EY92" s="132"/>
      <c r="EZ92" s="132"/>
      <c r="FA92" s="132"/>
      <c r="FB92" s="132"/>
      <c r="FC92" s="132"/>
      <c r="FD92" s="132"/>
      <c r="FE92" s="132"/>
      <c r="FF92" s="132"/>
      <c r="FG92" s="132"/>
      <c r="FH92" s="132"/>
      <c r="FI92" s="132"/>
      <c r="FJ92" s="132"/>
      <c r="FK92" s="132"/>
      <c r="FL92" s="132"/>
      <c r="FM92" s="132"/>
      <c r="FN92" s="132"/>
      <c r="FO92" s="132"/>
      <c r="FP92" s="132"/>
      <c r="FQ92" s="132"/>
      <c r="FR92" s="132"/>
      <c r="FS92" s="132"/>
      <c r="FT92" s="132"/>
      <c r="FU92" s="132"/>
      <c r="FV92" s="132"/>
      <c r="FW92" s="132"/>
      <c r="FX92" s="132"/>
      <c r="FY92" s="132"/>
      <c r="FZ92" s="132"/>
      <c r="GA92" s="132"/>
      <c r="GB92" s="132"/>
      <c r="GC92" s="132"/>
      <c r="GD92" s="132"/>
      <c r="GE92" s="132"/>
      <c r="GF92" s="132"/>
    </row>
    <row r="93" spans="7:268" x14ac:dyDescent="0.25">
      <c r="G93" s="129"/>
      <c r="CT93" s="132"/>
      <c r="CU93" s="132"/>
      <c r="CV93" s="132"/>
      <c r="CW93" s="132"/>
      <c r="CX93" s="132"/>
      <c r="CY93" s="132"/>
      <c r="CZ93" s="132"/>
      <c r="DA93" s="132"/>
      <c r="DB93" s="132"/>
      <c r="DC93" s="132"/>
      <c r="DD93" s="132"/>
      <c r="DE93" s="132"/>
      <c r="DF93" s="132"/>
      <c r="DG93" s="132"/>
      <c r="DH93" s="132"/>
      <c r="DI93" s="132"/>
      <c r="DJ93" s="132"/>
      <c r="DK93" s="132"/>
      <c r="DL93" s="132"/>
      <c r="DM93" s="132"/>
      <c r="DN93" s="132"/>
      <c r="DO93" s="132"/>
      <c r="DP93" s="132"/>
      <c r="DQ93" s="132"/>
      <c r="DR93" s="132"/>
      <c r="DS93" s="132"/>
      <c r="DT93" s="132"/>
      <c r="DU93" s="132"/>
      <c r="DV93" s="132"/>
      <c r="DW93" s="132"/>
      <c r="DX93" s="133"/>
      <c r="DY93" s="132"/>
      <c r="DZ93" s="132"/>
      <c r="EA93" s="132"/>
      <c r="EB93" s="132"/>
      <c r="EC93" s="132"/>
      <c r="ED93" s="132"/>
      <c r="EE93" s="132"/>
      <c r="EF93" s="132"/>
      <c r="EG93" s="132"/>
      <c r="EH93" s="132"/>
      <c r="EI93" s="132"/>
      <c r="EJ93" s="132"/>
      <c r="EK93" s="132"/>
      <c r="EL93" s="132"/>
      <c r="EM93" s="132"/>
      <c r="EN93" s="132"/>
      <c r="EO93" s="132"/>
      <c r="EP93" s="132"/>
      <c r="EQ93" s="132"/>
      <c r="ER93" s="132"/>
      <c r="ES93" s="132"/>
      <c r="ET93" s="132"/>
      <c r="EU93" s="132"/>
      <c r="EV93" s="132"/>
      <c r="EW93" s="132"/>
      <c r="EX93" s="132"/>
      <c r="EY93" s="132"/>
      <c r="EZ93" s="132"/>
      <c r="FA93" s="132"/>
      <c r="FB93" s="132"/>
      <c r="FC93" s="132"/>
      <c r="FD93" s="132"/>
      <c r="FE93" s="132"/>
      <c r="FF93" s="132"/>
      <c r="FG93" s="132"/>
      <c r="FH93" s="132"/>
      <c r="FI93" s="132"/>
      <c r="FJ93" s="132"/>
      <c r="FK93" s="132"/>
      <c r="FL93" s="132"/>
      <c r="FM93" s="132"/>
      <c r="FN93" s="132"/>
      <c r="FO93" s="132"/>
      <c r="FP93" s="132"/>
      <c r="FQ93" s="132"/>
      <c r="FR93" s="132"/>
      <c r="FS93" s="132"/>
      <c r="FT93" s="132"/>
      <c r="FU93" s="132"/>
      <c r="FV93" s="132"/>
      <c r="FW93" s="132"/>
      <c r="FX93" s="132"/>
      <c r="FY93" s="132"/>
      <c r="FZ93" s="132"/>
      <c r="GA93" s="132"/>
      <c r="GB93" s="132"/>
      <c r="GC93" s="132"/>
      <c r="GD93" s="132"/>
      <c r="GE93" s="132"/>
      <c r="GF93" s="132"/>
    </row>
    <row r="94" spans="7:268" x14ac:dyDescent="0.25">
      <c r="G94" s="129"/>
      <c r="CT94" s="132"/>
      <c r="CU94" s="132"/>
      <c r="CV94" s="132"/>
      <c r="CW94" s="132"/>
      <c r="CX94" s="132"/>
      <c r="CY94" s="132"/>
      <c r="CZ94" s="132"/>
      <c r="DA94" s="132"/>
      <c r="DB94" s="132"/>
      <c r="DC94" s="132"/>
      <c r="DD94" s="132"/>
      <c r="DE94" s="132"/>
      <c r="DF94" s="132"/>
      <c r="DG94" s="132"/>
      <c r="DH94" s="132"/>
      <c r="DI94" s="132"/>
      <c r="DJ94" s="132"/>
      <c r="DK94" s="132"/>
      <c r="DL94" s="132"/>
      <c r="DM94" s="132"/>
      <c r="DN94" s="132"/>
      <c r="DO94" s="132"/>
      <c r="DP94" s="132"/>
      <c r="DQ94" s="132"/>
      <c r="DR94" s="132"/>
      <c r="DS94" s="132"/>
      <c r="DT94" s="132"/>
      <c r="DU94" s="132"/>
      <c r="DV94" s="132"/>
      <c r="DW94" s="132"/>
      <c r="DX94" s="133"/>
      <c r="DY94" s="132"/>
      <c r="DZ94" s="132"/>
      <c r="EA94" s="132"/>
      <c r="EB94" s="132"/>
      <c r="EC94" s="132"/>
      <c r="ED94" s="132"/>
      <c r="EE94" s="132"/>
      <c r="EF94" s="132"/>
      <c r="EG94" s="132"/>
      <c r="EH94" s="132"/>
      <c r="EI94" s="132"/>
      <c r="EJ94" s="132"/>
      <c r="EK94" s="132"/>
      <c r="EL94" s="132"/>
      <c r="EM94" s="132"/>
      <c r="EN94" s="132"/>
      <c r="EO94" s="132"/>
      <c r="EP94" s="132"/>
      <c r="EQ94" s="132"/>
      <c r="ER94" s="132"/>
      <c r="ES94" s="132"/>
      <c r="ET94" s="132"/>
      <c r="EU94" s="132"/>
      <c r="EV94" s="132"/>
      <c r="EW94" s="132"/>
      <c r="EX94" s="132"/>
      <c r="EY94" s="132"/>
      <c r="EZ94" s="132"/>
      <c r="FA94" s="132"/>
      <c r="FB94" s="132"/>
      <c r="FC94" s="132"/>
      <c r="FD94" s="132"/>
      <c r="FE94" s="132"/>
      <c r="FF94" s="132"/>
      <c r="FG94" s="132"/>
      <c r="FH94" s="132"/>
      <c r="FI94" s="132"/>
      <c r="FJ94" s="132"/>
      <c r="FK94" s="132"/>
      <c r="FL94" s="132"/>
      <c r="FM94" s="132"/>
      <c r="FN94" s="132"/>
      <c r="FO94" s="132"/>
      <c r="FP94" s="132"/>
      <c r="FQ94" s="132"/>
      <c r="FR94" s="132"/>
      <c r="FS94" s="132"/>
      <c r="FT94" s="132"/>
      <c r="FU94" s="132"/>
      <c r="FV94" s="132"/>
      <c r="FW94" s="132"/>
      <c r="FX94" s="132"/>
      <c r="FY94" s="132"/>
      <c r="FZ94" s="132"/>
      <c r="GA94" s="132"/>
      <c r="GB94" s="132"/>
      <c r="GC94" s="132"/>
      <c r="GD94" s="132"/>
      <c r="GE94" s="132"/>
      <c r="GF94" s="132"/>
    </row>
    <row r="95" spans="7:268" x14ac:dyDescent="0.25">
      <c r="G95" s="129"/>
      <c r="CT95" s="132"/>
      <c r="CU95" s="132"/>
      <c r="CV95" s="132"/>
      <c r="CW95" s="132"/>
      <c r="CX95" s="132"/>
      <c r="CY95" s="132"/>
      <c r="CZ95" s="132"/>
      <c r="DA95" s="132"/>
      <c r="DB95" s="132"/>
      <c r="DC95" s="132"/>
      <c r="DD95" s="132"/>
      <c r="DE95" s="132"/>
      <c r="DF95" s="132"/>
      <c r="DG95" s="132"/>
      <c r="DH95" s="132"/>
      <c r="DI95" s="132"/>
      <c r="DJ95" s="132"/>
      <c r="DK95" s="132"/>
      <c r="DL95" s="132"/>
      <c r="DM95" s="132"/>
      <c r="DN95" s="132"/>
      <c r="DO95" s="132"/>
      <c r="DP95" s="132"/>
      <c r="DQ95" s="132"/>
      <c r="DR95" s="132"/>
      <c r="DS95" s="132"/>
      <c r="DT95" s="132"/>
      <c r="DU95" s="132"/>
      <c r="DV95" s="132"/>
      <c r="DW95" s="132"/>
      <c r="DX95" s="133"/>
      <c r="DY95" s="132"/>
      <c r="DZ95" s="132"/>
      <c r="EA95" s="132"/>
      <c r="EB95" s="132"/>
      <c r="EC95" s="132"/>
      <c r="ED95" s="132"/>
      <c r="EE95" s="132"/>
      <c r="EF95" s="132"/>
      <c r="EG95" s="132"/>
      <c r="EH95" s="132"/>
      <c r="EI95" s="132"/>
      <c r="EJ95" s="132"/>
      <c r="EK95" s="132"/>
      <c r="EL95" s="132"/>
      <c r="EM95" s="132"/>
      <c r="EN95" s="132"/>
      <c r="EO95" s="132"/>
      <c r="EP95" s="132"/>
      <c r="EQ95" s="132"/>
      <c r="ER95" s="132"/>
      <c r="ES95" s="132"/>
      <c r="ET95" s="132"/>
      <c r="EU95" s="132"/>
      <c r="EV95" s="132"/>
      <c r="EW95" s="132"/>
      <c r="EX95" s="132"/>
      <c r="EY95" s="132"/>
      <c r="EZ95" s="132"/>
      <c r="FA95" s="132"/>
      <c r="FB95" s="132"/>
      <c r="FC95" s="132"/>
      <c r="FD95" s="132"/>
      <c r="FE95" s="132"/>
      <c r="FF95" s="132"/>
      <c r="FG95" s="132"/>
      <c r="FH95" s="132"/>
      <c r="FI95" s="132"/>
      <c r="FJ95" s="132"/>
      <c r="FK95" s="132"/>
      <c r="FL95" s="132"/>
      <c r="FM95" s="132"/>
      <c r="FN95" s="132"/>
      <c r="FO95" s="132"/>
      <c r="FP95" s="132"/>
      <c r="FQ95" s="132"/>
      <c r="FR95" s="132"/>
      <c r="FS95" s="132"/>
      <c r="FT95" s="132"/>
      <c r="FU95" s="132"/>
      <c r="FV95" s="132"/>
      <c r="FW95" s="132"/>
      <c r="FX95" s="132"/>
      <c r="FY95" s="132"/>
      <c r="FZ95" s="132"/>
      <c r="GA95" s="132"/>
      <c r="GB95" s="132"/>
      <c r="GC95" s="132"/>
      <c r="GD95" s="132"/>
      <c r="GE95" s="132"/>
      <c r="GF95" s="132"/>
    </row>
    <row r="96" spans="7:268" x14ac:dyDescent="0.25">
      <c r="CT96" s="132"/>
      <c r="CU96" s="132"/>
      <c r="CV96" s="132"/>
      <c r="CW96" s="132"/>
      <c r="CX96" s="132"/>
      <c r="CY96" s="132"/>
      <c r="CZ96" s="132"/>
      <c r="DA96" s="132"/>
      <c r="DB96" s="132"/>
      <c r="DC96" s="132"/>
      <c r="DD96" s="132"/>
      <c r="DE96" s="132"/>
      <c r="DF96" s="132"/>
      <c r="DG96" s="132"/>
      <c r="DH96" s="132"/>
      <c r="DI96" s="132"/>
      <c r="DJ96" s="132"/>
      <c r="DK96" s="132"/>
      <c r="DL96" s="132"/>
      <c r="DM96" s="132"/>
      <c r="DN96" s="132"/>
      <c r="DO96" s="132"/>
      <c r="DP96" s="132"/>
      <c r="DQ96" s="132"/>
      <c r="DR96" s="132"/>
      <c r="DS96" s="132"/>
      <c r="DT96" s="132"/>
      <c r="DU96" s="132"/>
      <c r="DV96" s="132"/>
      <c r="DW96" s="132"/>
      <c r="DX96" s="133"/>
      <c r="DY96" s="132"/>
      <c r="DZ96" s="132"/>
      <c r="EA96" s="132"/>
      <c r="EB96" s="132"/>
      <c r="EC96" s="132"/>
      <c r="ED96" s="132"/>
      <c r="EE96" s="132"/>
      <c r="EF96" s="132"/>
      <c r="EG96" s="132"/>
      <c r="EH96" s="132"/>
      <c r="EI96" s="132"/>
      <c r="EJ96" s="132"/>
      <c r="EK96" s="132"/>
      <c r="EL96" s="132"/>
      <c r="EM96" s="132"/>
      <c r="EN96" s="132"/>
      <c r="EO96" s="132"/>
      <c r="EP96" s="132"/>
      <c r="EQ96" s="132"/>
      <c r="ER96" s="132"/>
      <c r="ES96" s="132"/>
      <c r="ET96" s="132"/>
      <c r="EU96" s="132"/>
      <c r="EV96" s="132"/>
      <c r="EW96" s="132"/>
      <c r="EX96" s="132"/>
      <c r="EY96" s="132"/>
      <c r="EZ96" s="132"/>
      <c r="FA96" s="132"/>
      <c r="FB96" s="132"/>
      <c r="FC96" s="132"/>
      <c r="FD96" s="132"/>
      <c r="FE96" s="132"/>
      <c r="FF96" s="132"/>
      <c r="FG96" s="132"/>
      <c r="FH96" s="132"/>
      <c r="FI96" s="132"/>
      <c r="FJ96" s="132"/>
      <c r="FK96" s="132"/>
      <c r="FL96" s="132"/>
      <c r="FM96" s="132"/>
      <c r="FN96" s="132"/>
      <c r="FO96" s="132"/>
      <c r="FP96" s="132"/>
      <c r="FQ96" s="132"/>
      <c r="FR96" s="132"/>
      <c r="FS96" s="132"/>
      <c r="FT96" s="132"/>
      <c r="FU96" s="132"/>
      <c r="FV96" s="132"/>
      <c r="FW96" s="132"/>
      <c r="FX96" s="132"/>
      <c r="FY96" s="132"/>
      <c r="FZ96" s="132"/>
      <c r="GA96" s="132"/>
      <c r="GB96" s="132"/>
      <c r="GC96" s="132"/>
      <c r="GD96" s="132"/>
      <c r="GE96" s="132"/>
      <c r="GF96" s="132"/>
    </row>
    <row r="97" spans="7:188" x14ac:dyDescent="0.25">
      <c r="CT97" s="132"/>
      <c r="CU97" s="132"/>
      <c r="CV97" s="132"/>
      <c r="CW97" s="132"/>
      <c r="CX97" s="132"/>
      <c r="CY97" s="132"/>
      <c r="CZ97" s="132"/>
      <c r="DA97" s="132"/>
      <c r="DB97" s="132"/>
      <c r="DC97" s="132"/>
      <c r="DD97" s="132"/>
      <c r="DE97" s="132"/>
      <c r="DF97" s="132"/>
      <c r="DG97" s="132"/>
      <c r="DH97" s="132"/>
      <c r="DI97" s="132"/>
      <c r="DJ97" s="132"/>
      <c r="DK97" s="132"/>
      <c r="DL97" s="132"/>
      <c r="DM97" s="132"/>
      <c r="DN97" s="132"/>
      <c r="DO97" s="132"/>
      <c r="DP97" s="132"/>
      <c r="DQ97" s="132"/>
      <c r="DR97" s="132"/>
      <c r="DS97" s="132"/>
      <c r="DT97" s="132"/>
      <c r="DU97" s="132"/>
      <c r="DV97" s="132"/>
      <c r="DW97" s="132"/>
      <c r="DX97" s="133"/>
      <c r="DY97" s="132"/>
      <c r="DZ97" s="132"/>
      <c r="EA97" s="132"/>
      <c r="EB97" s="132"/>
      <c r="EC97" s="132"/>
      <c r="ED97" s="132"/>
      <c r="EE97" s="132"/>
      <c r="EF97" s="132"/>
      <c r="EG97" s="132"/>
      <c r="EH97" s="132"/>
      <c r="EI97" s="132"/>
      <c r="EJ97" s="132"/>
      <c r="EK97" s="132"/>
      <c r="EL97" s="132"/>
      <c r="EM97" s="132"/>
      <c r="EN97" s="132"/>
      <c r="EO97" s="132"/>
      <c r="EP97" s="132"/>
      <c r="EQ97" s="132"/>
      <c r="ER97" s="132"/>
      <c r="ES97" s="132"/>
      <c r="ET97" s="132"/>
      <c r="EU97" s="132"/>
      <c r="EV97" s="132"/>
      <c r="EW97" s="132"/>
      <c r="EX97" s="132"/>
      <c r="EY97" s="132"/>
      <c r="EZ97" s="132"/>
      <c r="FA97" s="132"/>
      <c r="FB97" s="132"/>
      <c r="FC97" s="132"/>
      <c r="FD97" s="132"/>
      <c r="FE97" s="132"/>
      <c r="FF97" s="132"/>
      <c r="FG97" s="132"/>
      <c r="FH97" s="132"/>
      <c r="FI97" s="132"/>
      <c r="FJ97" s="132"/>
      <c r="FK97" s="132"/>
      <c r="FL97" s="132"/>
      <c r="FM97" s="132"/>
      <c r="FN97" s="132"/>
      <c r="FO97" s="132"/>
      <c r="FP97" s="132"/>
      <c r="FQ97" s="132"/>
      <c r="FR97" s="132"/>
      <c r="FS97" s="132"/>
      <c r="FT97" s="132"/>
      <c r="FU97" s="132"/>
      <c r="FV97" s="132"/>
      <c r="FW97" s="132"/>
      <c r="FX97" s="132"/>
      <c r="FY97" s="132"/>
      <c r="FZ97" s="132"/>
      <c r="GA97" s="132"/>
      <c r="GB97" s="132"/>
      <c r="GC97" s="132"/>
      <c r="GD97" s="132"/>
      <c r="GE97" s="132"/>
      <c r="GF97" s="132"/>
    </row>
    <row r="98" spans="7:188" x14ac:dyDescent="0.25">
      <c r="CT98" s="132"/>
      <c r="CU98" s="132"/>
      <c r="CV98" s="132"/>
      <c r="CW98" s="132"/>
      <c r="CX98" s="132"/>
      <c r="CY98" s="132"/>
      <c r="CZ98" s="132"/>
      <c r="DA98" s="132"/>
      <c r="DB98" s="132"/>
      <c r="DC98" s="132"/>
      <c r="DD98" s="132"/>
      <c r="DE98" s="132"/>
      <c r="DF98" s="132"/>
      <c r="DG98" s="132"/>
      <c r="DH98" s="132"/>
      <c r="DI98" s="132"/>
      <c r="DJ98" s="132"/>
      <c r="DK98" s="132"/>
      <c r="DL98" s="132"/>
      <c r="DM98" s="132"/>
      <c r="DN98" s="132"/>
      <c r="DO98" s="132"/>
      <c r="DP98" s="132"/>
      <c r="DQ98" s="132"/>
      <c r="DR98" s="132"/>
      <c r="DS98" s="132"/>
      <c r="DT98" s="132"/>
      <c r="DU98" s="132"/>
      <c r="DV98" s="132"/>
      <c r="DW98" s="132"/>
      <c r="DX98" s="133"/>
      <c r="DY98" s="132"/>
      <c r="DZ98" s="132"/>
      <c r="EA98" s="132"/>
      <c r="EB98" s="132"/>
      <c r="EC98" s="132"/>
      <c r="ED98" s="132"/>
      <c r="EE98" s="132"/>
      <c r="EF98" s="132"/>
      <c r="EG98" s="132"/>
      <c r="EH98" s="132"/>
      <c r="EI98" s="132"/>
      <c r="EJ98" s="132"/>
      <c r="EK98" s="132"/>
      <c r="EL98" s="132"/>
      <c r="EM98" s="132"/>
      <c r="EN98" s="132"/>
      <c r="EO98" s="132"/>
      <c r="EP98" s="132"/>
      <c r="EQ98" s="132"/>
      <c r="ER98" s="132"/>
      <c r="ES98" s="132"/>
      <c r="ET98" s="132"/>
      <c r="EU98" s="132"/>
      <c r="EV98" s="132"/>
      <c r="EW98" s="132"/>
      <c r="EX98" s="132"/>
      <c r="EY98" s="132"/>
      <c r="EZ98" s="132"/>
      <c r="FA98" s="132"/>
      <c r="FB98" s="132"/>
      <c r="FC98" s="132"/>
      <c r="FD98" s="132"/>
      <c r="FE98" s="132"/>
      <c r="FF98" s="132"/>
      <c r="FG98" s="132"/>
      <c r="FH98" s="132"/>
      <c r="FI98" s="132"/>
      <c r="FJ98" s="132"/>
      <c r="FK98" s="132"/>
      <c r="FL98" s="132"/>
      <c r="FM98" s="132"/>
      <c r="FN98" s="132"/>
      <c r="FO98" s="132"/>
      <c r="FP98" s="132"/>
      <c r="FQ98" s="132"/>
      <c r="FR98" s="132"/>
      <c r="FS98" s="132"/>
      <c r="FT98" s="132"/>
      <c r="FU98" s="132"/>
      <c r="FV98" s="132"/>
      <c r="FW98" s="132"/>
      <c r="FX98" s="132"/>
      <c r="FY98" s="132"/>
      <c r="FZ98" s="132"/>
      <c r="GA98" s="132"/>
      <c r="GB98" s="132"/>
      <c r="GC98" s="132"/>
      <c r="GD98" s="132"/>
      <c r="GE98" s="132"/>
      <c r="GF98" s="132"/>
    </row>
    <row r="99" spans="7:188" x14ac:dyDescent="0.25">
      <c r="G99" s="129"/>
      <c r="CT99" s="132"/>
      <c r="CU99" s="132"/>
      <c r="CV99" s="132"/>
      <c r="CW99" s="132"/>
      <c r="CX99" s="132"/>
      <c r="CY99" s="132"/>
      <c r="CZ99" s="132"/>
      <c r="DA99" s="132"/>
      <c r="DB99" s="132"/>
      <c r="DC99" s="132"/>
      <c r="DD99" s="132"/>
      <c r="DE99" s="132"/>
      <c r="DF99" s="132"/>
      <c r="DG99" s="132"/>
      <c r="DH99" s="132"/>
      <c r="DI99" s="132"/>
      <c r="DJ99" s="132"/>
      <c r="DK99" s="132"/>
      <c r="DL99" s="132"/>
      <c r="DM99" s="132"/>
      <c r="DN99" s="132"/>
      <c r="DO99" s="132"/>
      <c r="DP99" s="132"/>
      <c r="DQ99" s="132"/>
      <c r="DR99" s="132"/>
      <c r="DS99" s="132"/>
      <c r="DT99" s="132"/>
      <c r="DU99" s="132"/>
      <c r="DV99" s="132"/>
      <c r="DW99" s="132"/>
      <c r="DX99" s="133"/>
      <c r="DY99" s="132"/>
      <c r="DZ99" s="132"/>
      <c r="EA99" s="132"/>
      <c r="EB99" s="132"/>
      <c r="EC99" s="132"/>
      <c r="ED99" s="132"/>
      <c r="EE99" s="132"/>
      <c r="EF99" s="132"/>
      <c r="EG99" s="132"/>
      <c r="EH99" s="132"/>
      <c r="EI99" s="132"/>
      <c r="EJ99" s="132"/>
      <c r="EK99" s="132"/>
      <c r="EL99" s="132"/>
      <c r="EM99" s="132"/>
      <c r="EN99" s="132"/>
      <c r="EO99" s="132"/>
      <c r="EP99" s="132"/>
      <c r="EQ99" s="132"/>
      <c r="ER99" s="132"/>
      <c r="ES99" s="132"/>
      <c r="ET99" s="132"/>
      <c r="EU99" s="132"/>
      <c r="EV99" s="132"/>
      <c r="EW99" s="132"/>
      <c r="EX99" s="132"/>
      <c r="EY99" s="132"/>
      <c r="EZ99" s="132"/>
      <c r="FA99" s="132"/>
      <c r="FB99" s="132"/>
      <c r="FC99" s="132"/>
      <c r="FD99" s="132"/>
      <c r="FE99" s="132"/>
      <c r="FF99" s="132"/>
      <c r="FG99" s="132"/>
      <c r="FH99" s="132"/>
      <c r="FI99" s="132"/>
      <c r="FJ99" s="132"/>
      <c r="FK99" s="132"/>
      <c r="FL99" s="132"/>
      <c r="FM99" s="132"/>
      <c r="FN99" s="132"/>
      <c r="FO99" s="132"/>
      <c r="FP99" s="132"/>
      <c r="FQ99" s="132"/>
      <c r="FR99" s="132"/>
      <c r="FS99" s="132"/>
      <c r="FT99" s="132"/>
      <c r="FU99" s="132"/>
      <c r="FV99" s="132"/>
      <c r="FW99" s="132"/>
      <c r="FX99" s="132"/>
      <c r="FY99" s="132"/>
      <c r="FZ99" s="132"/>
      <c r="GA99" s="132"/>
      <c r="GB99" s="132"/>
      <c r="GC99" s="132"/>
      <c r="GD99" s="132"/>
      <c r="GE99" s="132"/>
      <c r="GF99" s="132"/>
    </row>
    <row r="100" spans="7:188" x14ac:dyDescent="0.25">
      <c r="CT100" s="132"/>
      <c r="CU100" s="132"/>
      <c r="CV100" s="132"/>
      <c r="CW100" s="132"/>
      <c r="CX100" s="132"/>
      <c r="CY100" s="132"/>
      <c r="CZ100" s="132"/>
      <c r="DA100" s="132"/>
      <c r="DB100" s="132"/>
      <c r="DC100" s="132"/>
      <c r="DD100" s="132"/>
      <c r="DE100" s="132"/>
      <c r="DF100" s="132"/>
      <c r="DG100" s="132"/>
      <c r="DH100" s="132"/>
      <c r="DI100" s="132"/>
      <c r="DJ100" s="132"/>
      <c r="DK100" s="132"/>
      <c r="DL100" s="132"/>
      <c r="DM100" s="132"/>
      <c r="DN100" s="132"/>
      <c r="DO100" s="132"/>
      <c r="DP100" s="132"/>
      <c r="DQ100" s="132"/>
      <c r="DR100" s="132"/>
      <c r="DS100" s="132"/>
      <c r="DT100" s="132"/>
      <c r="DU100" s="132"/>
      <c r="DV100" s="132"/>
      <c r="DW100" s="132"/>
      <c r="DX100" s="133"/>
      <c r="DY100" s="132"/>
      <c r="DZ100" s="132"/>
      <c r="EA100" s="132"/>
      <c r="EB100" s="132"/>
      <c r="EC100" s="132"/>
      <c r="ED100" s="132"/>
      <c r="EE100" s="132"/>
      <c r="EF100" s="132"/>
      <c r="EG100" s="132"/>
      <c r="EH100" s="132"/>
      <c r="EI100" s="132"/>
      <c r="EJ100" s="132"/>
      <c r="EK100" s="132"/>
      <c r="EL100" s="132"/>
      <c r="EM100" s="132"/>
      <c r="EN100" s="132"/>
      <c r="EO100" s="132"/>
      <c r="EP100" s="132"/>
      <c r="EQ100" s="132"/>
      <c r="ER100" s="132"/>
      <c r="ES100" s="132"/>
      <c r="ET100" s="132"/>
      <c r="EU100" s="132"/>
      <c r="EV100" s="132"/>
      <c r="EW100" s="132"/>
      <c r="EX100" s="132"/>
      <c r="EY100" s="132"/>
      <c r="EZ100" s="132"/>
      <c r="FA100" s="132"/>
      <c r="FB100" s="132"/>
      <c r="FC100" s="132"/>
      <c r="FD100" s="132"/>
      <c r="FE100" s="132"/>
      <c r="FF100" s="132"/>
      <c r="FG100" s="132"/>
      <c r="FH100" s="132"/>
      <c r="FI100" s="132"/>
      <c r="FJ100" s="132"/>
      <c r="FK100" s="132"/>
      <c r="FL100" s="132"/>
      <c r="FM100" s="132"/>
      <c r="FN100" s="132"/>
      <c r="FO100" s="132"/>
      <c r="FP100" s="132"/>
      <c r="FQ100" s="132"/>
      <c r="FR100" s="132"/>
      <c r="FS100" s="132"/>
      <c r="FT100" s="132"/>
      <c r="FU100" s="132"/>
      <c r="FV100" s="132"/>
      <c r="FW100" s="132"/>
      <c r="FX100" s="132"/>
      <c r="FY100" s="132"/>
      <c r="FZ100" s="132"/>
      <c r="GA100" s="132"/>
      <c r="GB100" s="132"/>
      <c r="GC100" s="132"/>
      <c r="GD100" s="132"/>
      <c r="GE100" s="132"/>
      <c r="GF100" s="132"/>
    </row>
    <row r="101" spans="7:188" x14ac:dyDescent="0.25">
      <c r="G101" s="129"/>
      <c r="CT101" s="132"/>
      <c r="CU101" s="132"/>
      <c r="CV101" s="132"/>
      <c r="CW101" s="132"/>
      <c r="CX101" s="132"/>
      <c r="CY101" s="132"/>
      <c r="CZ101" s="132"/>
      <c r="DA101" s="132"/>
      <c r="DB101" s="132"/>
      <c r="DC101" s="132"/>
      <c r="DD101" s="132"/>
      <c r="DE101" s="132"/>
      <c r="DF101" s="132"/>
      <c r="DG101" s="132"/>
      <c r="DH101" s="132"/>
      <c r="DI101" s="132"/>
      <c r="DJ101" s="132"/>
      <c r="DK101" s="132"/>
      <c r="DL101" s="132"/>
      <c r="DM101" s="132"/>
      <c r="DN101" s="132"/>
      <c r="DO101" s="132"/>
      <c r="DP101" s="132"/>
      <c r="DQ101" s="132"/>
      <c r="DR101" s="132"/>
      <c r="DS101" s="132"/>
      <c r="DT101" s="132"/>
      <c r="DU101" s="132"/>
      <c r="DV101" s="132"/>
      <c r="DW101" s="132"/>
      <c r="DX101" s="133"/>
      <c r="DY101" s="132"/>
      <c r="DZ101" s="132"/>
      <c r="EA101" s="132"/>
      <c r="EB101" s="132"/>
      <c r="EC101" s="132"/>
      <c r="ED101" s="132"/>
      <c r="EE101" s="132"/>
      <c r="EF101" s="132"/>
      <c r="EG101" s="132"/>
      <c r="EH101" s="132"/>
      <c r="EI101" s="132"/>
      <c r="EJ101" s="132"/>
      <c r="EK101" s="132"/>
      <c r="EL101" s="132"/>
      <c r="EM101" s="132"/>
      <c r="EN101" s="132"/>
      <c r="EO101" s="132"/>
      <c r="EP101" s="132"/>
      <c r="EQ101" s="132"/>
      <c r="ER101" s="132"/>
      <c r="ES101" s="132"/>
      <c r="ET101" s="132"/>
      <c r="EU101" s="132"/>
      <c r="EV101" s="132"/>
      <c r="EW101" s="132"/>
      <c r="EX101" s="132"/>
      <c r="EY101" s="132"/>
      <c r="EZ101" s="132"/>
      <c r="FA101" s="132"/>
      <c r="FB101" s="132"/>
      <c r="FC101" s="132"/>
      <c r="FD101" s="132"/>
      <c r="FE101" s="132"/>
      <c r="FF101" s="132"/>
      <c r="FG101" s="132"/>
      <c r="FH101" s="132"/>
      <c r="FI101" s="132"/>
      <c r="FJ101" s="132"/>
      <c r="FK101" s="132"/>
      <c r="FL101" s="132"/>
      <c r="FM101" s="132"/>
      <c r="FN101" s="132"/>
      <c r="FO101" s="132"/>
      <c r="FP101" s="132"/>
      <c r="FQ101" s="132"/>
      <c r="FR101" s="132"/>
      <c r="FS101" s="132"/>
      <c r="FT101" s="132"/>
      <c r="FU101" s="132"/>
      <c r="FV101" s="132"/>
      <c r="FW101" s="132"/>
      <c r="FX101" s="132"/>
      <c r="FY101" s="132"/>
      <c r="FZ101" s="132"/>
      <c r="GA101" s="132"/>
      <c r="GB101" s="132"/>
      <c r="GC101" s="132"/>
      <c r="GD101" s="132"/>
      <c r="GE101" s="132"/>
      <c r="GF101" s="132"/>
    </row>
    <row r="102" spans="7:188" x14ac:dyDescent="0.25">
      <c r="G102" s="129"/>
      <c r="CT102" s="132"/>
      <c r="CU102" s="132"/>
      <c r="CV102" s="132"/>
      <c r="CW102" s="132"/>
      <c r="CX102" s="132"/>
      <c r="CY102" s="132"/>
      <c r="CZ102" s="132"/>
      <c r="DA102" s="132"/>
      <c r="DB102" s="132"/>
      <c r="DC102" s="132"/>
      <c r="DD102" s="132"/>
      <c r="DE102" s="132"/>
      <c r="DF102" s="132"/>
      <c r="DG102" s="132"/>
      <c r="DH102" s="132"/>
      <c r="DI102" s="132"/>
      <c r="DJ102" s="132"/>
      <c r="DK102" s="132"/>
      <c r="DL102" s="132"/>
      <c r="DM102" s="132"/>
      <c r="DN102" s="132"/>
      <c r="DO102" s="132"/>
      <c r="DP102" s="132"/>
      <c r="DQ102" s="132"/>
      <c r="DR102" s="132"/>
      <c r="DS102" s="132"/>
      <c r="DT102" s="132"/>
      <c r="DU102" s="132"/>
      <c r="DV102" s="132"/>
      <c r="DW102" s="132"/>
      <c r="DX102" s="133"/>
      <c r="DY102" s="132"/>
      <c r="DZ102" s="132"/>
      <c r="EA102" s="132"/>
      <c r="EB102" s="132"/>
      <c r="EC102" s="132"/>
      <c r="ED102" s="132"/>
      <c r="EE102" s="132"/>
      <c r="EF102" s="132"/>
      <c r="EG102" s="132"/>
      <c r="EH102" s="132"/>
      <c r="EI102" s="132"/>
      <c r="EJ102" s="132"/>
      <c r="EK102" s="132"/>
      <c r="EL102" s="132"/>
      <c r="EM102" s="132"/>
      <c r="EN102" s="132"/>
      <c r="EO102" s="132"/>
      <c r="EP102" s="132"/>
      <c r="EQ102" s="132"/>
      <c r="ER102" s="132"/>
      <c r="ES102" s="132"/>
      <c r="ET102" s="132"/>
      <c r="EU102" s="132"/>
      <c r="EV102" s="132"/>
      <c r="EW102" s="132"/>
      <c r="EX102" s="132"/>
      <c r="EY102" s="132"/>
      <c r="EZ102" s="132"/>
      <c r="FA102" s="132"/>
      <c r="FB102" s="132"/>
      <c r="FC102" s="132"/>
      <c r="FD102" s="132"/>
      <c r="FE102" s="132"/>
      <c r="FF102" s="132"/>
      <c r="FG102" s="132"/>
      <c r="FH102" s="132"/>
      <c r="FI102" s="132"/>
      <c r="FJ102" s="132"/>
      <c r="FK102" s="132"/>
      <c r="FL102" s="132"/>
      <c r="FM102" s="132"/>
      <c r="FN102" s="132"/>
      <c r="FO102" s="132"/>
      <c r="FP102" s="132"/>
      <c r="FQ102" s="132"/>
      <c r="FR102" s="132"/>
      <c r="FS102" s="132"/>
      <c r="FT102" s="132"/>
      <c r="FU102" s="132"/>
      <c r="FV102" s="132"/>
      <c r="FW102" s="132"/>
      <c r="FX102" s="132"/>
      <c r="FY102" s="132"/>
      <c r="FZ102" s="132"/>
      <c r="GA102" s="132"/>
      <c r="GB102" s="132"/>
      <c r="GC102" s="132"/>
      <c r="GD102" s="132"/>
      <c r="GE102" s="132"/>
      <c r="GF102" s="132"/>
    </row>
    <row r="103" spans="7:188" x14ac:dyDescent="0.25">
      <c r="G103" s="129"/>
      <c r="CT103" s="132"/>
      <c r="CU103" s="132"/>
      <c r="CV103" s="132"/>
      <c r="CW103" s="132"/>
      <c r="CX103" s="132"/>
      <c r="CY103" s="132"/>
      <c r="CZ103" s="132"/>
      <c r="DA103" s="132"/>
      <c r="DB103" s="132"/>
      <c r="DC103" s="132"/>
      <c r="DD103" s="132"/>
      <c r="DE103" s="132"/>
      <c r="DF103" s="132"/>
      <c r="DG103" s="132"/>
      <c r="DH103" s="132"/>
      <c r="DI103" s="132"/>
      <c r="DJ103" s="132"/>
      <c r="DK103" s="132"/>
      <c r="DL103" s="132"/>
      <c r="DM103" s="132"/>
      <c r="DN103" s="132"/>
      <c r="DO103" s="132"/>
      <c r="DP103" s="132"/>
      <c r="DQ103" s="132"/>
      <c r="DR103" s="132"/>
      <c r="DS103" s="132"/>
      <c r="DT103" s="132"/>
      <c r="DU103" s="132"/>
      <c r="DV103" s="132"/>
      <c r="DW103" s="132"/>
      <c r="DX103" s="133"/>
      <c r="DY103" s="132"/>
      <c r="DZ103" s="132"/>
      <c r="EA103" s="132"/>
      <c r="EB103" s="132"/>
      <c r="EC103" s="132"/>
      <c r="ED103" s="132"/>
      <c r="EE103" s="132"/>
      <c r="EF103" s="132"/>
      <c r="EG103" s="132"/>
      <c r="EH103" s="132"/>
      <c r="EI103" s="132"/>
      <c r="EJ103" s="132"/>
      <c r="EK103" s="132"/>
      <c r="EL103" s="132"/>
      <c r="EM103" s="132"/>
      <c r="EN103" s="132"/>
      <c r="EO103" s="132"/>
      <c r="EP103" s="132"/>
      <c r="EQ103" s="132"/>
      <c r="ER103" s="132"/>
      <c r="ES103" s="132"/>
      <c r="ET103" s="132"/>
      <c r="EU103" s="132"/>
      <c r="EV103" s="132"/>
      <c r="EW103" s="132"/>
      <c r="EX103" s="132"/>
      <c r="EY103" s="132"/>
      <c r="EZ103" s="132"/>
      <c r="FA103" s="132"/>
      <c r="FB103" s="132"/>
      <c r="FC103" s="132"/>
      <c r="FD103" s="132"/>
      <c r="FE103" s="132"/>
      <c r="FF103" s="132"/>
      <c r="FG103" s="132"/>
      <c r="FH103" s="132"/>
      <c r="FI103" s="132"/>
      <c r="FJ103" s="132"/>
      <c r="FK103" s="132"/>
      <c r="FL103" s="132"/>
      <c r="FM103" s="132"/>
      <c r="FN103" s="132"/>
      <c r="FO103" s="132"/>
      <c r="FP103" s="132"/>
      <c r="FQ103" s="132"/>
      <c r="FR103" s="132"/>
      <c r="FS103" s="132"/>
      <c r="FT103" s="132"/>
      <c r="FU103" s="132"/>
      <c r="FV103" s="132"/>
      <c r="FW103" s="132"/>
      <c r="FX103" s="132"/>
      <c r="FY103" s="132"/>
      <c r="FZ103" s="132"/>
      <c r="GA103" s="132"/>
      <c r="GB103" s="132"/>
      <c r="GC103" s="132"/>
      <c r="GD103" s="132"/>
      <c r="GE103" s="132"/>
      <c r="GF103" s="132"/>
    </row>
    <row r="104" spans="7:188" x14ac:dyDescent="0.25">
      <c r="G104" s="129"/>
      <c r="CT104" s="132"/>
      <c r="CU104" s="132"/>
      <c r="CV104" s="132"/>
      <c r="CW104" s="132"/>
      <c r="CX104" s="132"/>
      <c r="CY104" s="132"/>
      <c r="CZ104" s="132"/>
      <c r="DA104" s="132"/>
      <c r="DB104" s="132"/>
      <c r="DC104" s="132"/>
      <c r="DD104" s="132"/>
      <c r="DE104" s="132"/>
      <c r="DF104" s="132"/>
      <c r="DG104" s="132"/>
      <c r="DH104" s="132"/>
      <c r="DI104" s="132"/>
      <c r="DJ104" s="132"/>
      <c r="DK104" s="132"/>
      <c r="DL104" s="132"/>
      <c r="DM104" s="132"/>
      <c r="DN104" s="132"/>
      <c r="DO104" s="132"/>
      <c r="DP104" s="132"/>
      <c r="DQ104" s="132"/>
      <c r="DR104" s="132"/>
      <c r="DS104" s="132"/>
      <c r="DT104" s="132"/>
      <c r="DU104" s="132"/>
      <c r="DV104" s="132"/>
      <c r="DW104" s="132"/>
      <c r="DX104" s="133"/>
      <c r="DY104" s="132"/>
      <c r="DZ104" s="132"/>
      <c r="EA104" s="132"/>
      <c r="EB104" s="132"/>
      <c r="EC104" s="132"/>
      <c r="ED104" s="132"/>
      <c r="EE104" s="132"/>
      <c r="EF104" s="132"/>
      <c r="EG104" s="132"/>
      <c r="EH104" s="132"/>
      <c r="EI104" s="132"/>
      <c r="EJ104" s="132"/>
      <c r="EK104" s="132"/>
      <c r="EL104" s="132"/>
      <c r="EM104" s="132"/>
      <c r="EN104" s="132"/>
      <c r="EO104" s="132"/>
      <c r="EP104" s="132"/>
      <c r="EQ104" s="132"/>
      <c r="ER104" s="132"/>
      <c r="ES104" s="132"/>
      <c r="ET104" s="132"/>
      <c r="EU104" s="132"/>
      <c r="EV104" s="132"/>
      <c r="EW104" s="132"/>
      <c r="EX104" s="132"/>
      <c r="EY104" s="132"/>
      <c r="EZ104" s="132"/>
      <c r="FA104" s="132"/>
      <c r="FB104" s="132"/>
      <c r="FC104" s="132"/>
      <c r="FD104" s="132"/>
      <c r="FE104" s="132"/>
      <c r="FF104" s="132"/>
      <c r="FG104" s="132"/>
      <c r="FH104" s="132"/>
      <c r="FI104" s="132"/>
      <c r="FJ104" s="132"/>
      <c r="FK104" s="132"/>
      <c r="FL104" s="132"/>
      <c r="FM104" s="132"/>
      <c r="FN104" s="132"/>
      <c r="FO104" s="132"/>
      <c r="FP104" s="132"/>
      <c r="FQ104" s="132"/>
      <c r="FR104" s="132"/>
      <c r="FS104" s="132"/>
      <c r="FT104" s="132"/>
      <c r="FU104" s="132"/>
      <c r="FV104" s="132"/>
      <c r="FW104" s="132"/>
      <c r="FX104" s="132"/>
      <c r="FY104" s="132"/>
      <c r="FZ104" s="132"/>
      <c r="GA104" s="132"/>
      <c r="GB104" s="132"/>
      <c r="GC104" s="132"/>
      <c r="GD104" s="132"/>
      <c r="GE104" s="132"/>
      <c r="GF104" s="132"/>
    </row>
    <row r="105" spans="7:188" x14ac:dyDescent="0.25">
      <c r="G105" s="129"/>
      <c r="CT105" s="132"/>
      <c r="CU105" s="132"/>
      <c r="CV105" s="132"/>
      <c r="CW105" s="132"/>
      <c r="CX105" s="132"/>
      <c r="CY105" s="132"/>
      <c r="CZ105" s="132"/>
      <c r="DA105" s="132"/>
      <c r="DB105" s="132"/>
      <c r="DC105" s="132"/>
      <c r="DD105" s="132"/>
      <c r="DE105" s="132"/>
      <c r="DF105" s="132"/>
      <c r="DG105" s="132"/>
      <c r="DH105" s="132"/>
      <c r="DI105" s="132"/>
      <c r="DJ105" s="132"/>
      <c r="DK105" s="132"/>
      <c r="DL105" s="132"/>
      <c r="DM105" s="132"/>
      <c r="DN105" s="132"/>
      <c r="DO105" s="132"/>
      <c r="DP105" s="132"/>
      <c r="DQ105" s="132"/>
      <c r="DR105" s="132"/>
      <c r="DS105" s="132"/>
      <c r="DT105" s="132"/>
      <c r="DU105" s="132"/>
      <c r="DV105" s="132"/>
      <c r="DW105" s="132"/>
      <c r="DX105" s="133"/>
      <c r="DY105" s="132"/>
      <c r="DZ105" s="132"/>
      <c r="EA105" s="132"/>
      <c r="EB105" s="132"/>
      <c r="EC105" s="132"/>
      <c r="ED105" s="132"/>
      <c r="EE105" s="132"/>
      <c r="EF105" s="132"/>
      <c r="EG105" s="132"/>
      <c r="EH105" s="132"/>
      <c r="EI105" s="132"/>
      <c r="EJ105" s="132"/>
      <c r="EK105" s="132"/>
      <c r="EL105" s="132"/>
      <c r="EM105" s="132"/>
      <c r="EN105" s="132"/>
      <c r="EO105" s="132"/>
      <c r="EP105" s="132"/>
      <c r="EQ105" s="132"/>
      <c r="ER105" s="132"/>
      <c r="ES105" s="132"/>
      <c r="ET105" s="132"/>
      <c r="EU105" s="132"/>
      <c r="EV105" s="132"/>
      <c r="EW105" s="132"/>
      <c r="EX105" s="132"/>
      <c r="EY105" s="132"/>
      <c r="EZ105" s="132"/>
      <c r="FA105" s="132"/>
      <c r="FB105" s="132"/>
      <c r="FC105" s="132"/>
      <c r="FD105" s="132"/>
      <c r="FE105" s="132"/>
      <c r="FF105" s="132"/>
      <c r="FG105" s="132"/>
      <c r="FH105" s="132"/>
      <c r="FI105" s="132"/>
      <c r="FJ105" s="132"/>
      <c r="FK105" s="132"/>
      <c r="FL105" s="132"/>
      <c r="FM105" s="132"/>
      <c r="FN105" s="132"/>
      <c r="FO105" s="132"/>
      <c r="FP105" s="132"/>
      <c r="FQ105" s="132"/>
      <c r="FR105" s="132"/>
      <c r="FS105" s="132"/>
      <c r="FT105" s="132"/>
      <c r="FU105" s="132"/>
      <c r="FV105" s="132"/>
      <c r="FW105" s="132"/>
      <c r="FX105" s="132"/>
      <c r="FY105" s="132"/>
      <c r="FZ105" s="132"/>
      <c r="GA105" s="132"/>
      <c r="GB105" s="132"/>
      <c r="GC105" s="132"/>
      <c r="GD105" s="132"/>
      <c r="GE105" s="132"/>
      <c r="GF105" s="132"/>
    </row>
    <row r="106" spans="7:188" x14ac:dyDescent="0.25">
      <c r="G106" s="129"/>
      <c r="CT106" s="132"/>
      <c r="CU106" s="132"/>
      <c r="CV106" s="132"/>
      <c r="CW106" s="132"/>
      <c r="CX106" s="132"/>
      <c r="CY106" s="132"/>
      <c r="CZ106" s="132"/>
      <c r="DA106" s="132"/>
      <c r="DB106" s="132"/>
      <c r="DC106" s="132"/>
      <c r="DD106" s="132"/>
      <c r="DE106" s="132"/>
      <c r="DF106" s="132"/>
      <c r="DG106" s="132"/>
      <c r="DH106" s="132"/>
      <c r="DI106" s="132"/>
      <c r="DJ106" s="132"/>
      <c r="DK106" s="132"/>
      <c r="DL106" s="132"/>
      <c r="DM106" s="132"/>
      <c r="DN106" s="132"/>
      <c r="DO106" s="132"/>
      <c r="DP106" s="132"/>
      <c r="DQ106" s="132"/>
      <c r="DR106" s="132"/>
      <c r="DS106" s="132"/>
      <c r="DT106" s="132"/>
      <c r="DU106" s="132"/>
      <c r="DV106" s="132"/>
      <c r="DW106" s="132"/>
      <c r="DX106" s="133"/>
      <c r="DY106" s="132"/>
      <c r="DZ106" s="132"/>
      <c r="EA106" s="132"/>
      <c r="EB106" s="132"/>
      <c r="EC106" s="132"/>
      <c r="ED106" s="132"/>
      <c r="EE106" s="132"/>
      <c r="EF106" s="132"/>
      <c r="EG106" s="132"/>
      <c r="EH106" s="132"/>
      <c r="EI106" s="132"/>
      <c r="EJ106" s="132"/>
      <c r="EK106" s="132"/>
      <c r="EL106" s="132"/>
      <c r="EM106" s="132"/>
      <c r="EN106" s="132"/>
      <c r="EO106" s="132"/>
      <c r="EP106" s="132"/>
      <c r="EQ106" s="132"/>
      <c r="ER106" s="132"/>
      <c r="ES106" s="132"/>
      <c r="ET106" s="132"/>
      <c r="EU106" s="132"/>
      <c r="EV106" s="132"/>
      <c r="EW106" s="132"/>
      <c r="EX106" s="132"/>
      <c r="EY106" s="132"/>
      <c r="EZ106" s="132"/>
      <c r="FA106" s="132"/>
      <c r="FB106" s="132"/>
      <c r="FC106" s="132"/>
      <c r="FD106" s="132"/>
      <c r="FE106" s="132"/>
      <c r="FF106" s="132"/>
      <c r="FG106" s="132"/>
      <c r="FH106" s="132"/>
      <c r="FI106" s="132"/>
      <c r="FJ106" s="132"/>
      <c r="FK106" s="132"/>
      <c r="FL106" s="132"/>
      <c r="FM106" s="132"/>
      <c r="FN106" s="132"/>
      <c r="FO106" s="132"/>
      <c r="FP106" s="132"/>
      <c r="FQ106" s="132"/>
      <c r="FR106" s="132"/>
      <c r="FS106" s="132"/>
      <c r="FT106" s="132"/>
      <c r="FU106" s="132"/>
      <c r="FV106" s="132"/>
      <c r="FW106" s="132"/>
      <c r="FX106" s="132"/>
      <c r="FY106" s="132"/>
      <c r="FZ106" s="132"/>
      <c r="GA106" s="132"/>
      <c r="GB106" s="132"/>
      <c r="GC106" s="132"/>
      <c r="GD106" s="132"/>
      <c r="GE106" s="132"/>
      <c r="GF106" s="132"/>
    </row>
    <row r="107" spans="7:188" x14ac:dyDescent="0.25">
      <c r="CT107" s="132"/>
      <c r="CU107" s="132"/>
      <c r="CV107" s="132"/>
      <c r="CW107" s="132"/>
      <c r="CX107" s="132"/>
      <c r="CY107" s="132"/>
      <c r="CZ107" s="132"/>
      <c r="DA107" s="132"/>
      <c r="DB107" s="132"/>
      <c r="DC107" s="132"/>
      <c r="DD107" s="132"/>
      <c r="DE107" s="132"/>
      <c r="DF107" s="132"/>
      <c r="DG107" s="132"/>
      <c r="DH107" s="132"/>
      <c r="DI107" s="132"/>
      <c r="DJ107" s="132"/>
      <c r="DK107" s="132"/>
      <c r="DL107" s="132"/>
      <c r="DM107" s="132"/>
      <c r="DN107" s="132"/>
      <c r="DO107" s="132"/>
      <c r="DP107" s="132"/>
      <c r="DQ107" s="132"/>
      <c r="DR107" s="132"/>
      <c r="DS107" s="132"/>
      <c r="DT107" s="132"/>
      <c r="DU107" s="132"/>
      <c r="DV107" s="132"/>
      <c r="DW107" s="132"/>
      <c r="DX107" s="133"/>
      <c r="DY107" s="132"/>
      <c r="DZ107" s="132"/>
      <c r="EA107" s="132"/>
      <c r="EB107" s="132"/>
      <c r="EC107" s="132"/>
      <c r="ED107" s="132"/>
      <c r="EE107" s="132"/>
      <c r="EF107" s="132"/>
      <c r="EG107" s="132"/>
      <c r="EH107" s="132"/>
      <c r="EI107" s="132"/>
      <c r="EJ107" s="132"/>
      <c r="EK107" s="132"/>
      <c r="EL107" s="132"/>
      <c r="EM107" s="132"/>
      <c r="EN107" s="132"/>
      <c r="EO107" s="132"/>
      <c r="EP107" s="132"/>
      <c r="EQ107" s="132"/>
      <c r="ER107" s="132"/>
      <c r="ES107" s="132"/>
      <c r="ET107" s="132"/>
      <c r="EU107" s="132"/>
      <c r="EV107" s="132"/>
      <c r="EW107" s="132"/>
      <c r="EX107" s="132"/>
      <c r="EY107" s="132"/>
      <c r="EZ107" s="132"/>
      <c r="FA107" s="132"/>
      <c r="FB107" s="132"/>
      <c r="FC107" s="132"/>
      <c r="FD107" s="132"/>
      <c r="FE107" s="132"/>
      <c r="FF107" s="132"/>
      <c r="FG107" s="132"/>
      <c r="FH107" s="132"/>
      <c r="FI107" s="132"/>
      <c r="FJ107" s="132"/>
      <c r="FK107" s="132"/>
      <c r="FL107" s="132"/>
      <c r="FM107" s="132"/>
      <c r="FN107" s="132"/>
      <c r="FO107" s="132"/>
      <c r="FP107" s="132"/>
      <c r="FQ107" s="132"/>
      <c r="FR107" s="132"/>
      <c r="FS107" s="132"/>
      <c r="FT107" s="132"/>
      <c r="FU107" s="132"/>
      <c r="FV107" s="132"/>
      <c r="FW107" s="132"/>
      <c r="FX107" s="132"/>
      <c r="FY107" s="132"/>
      <c r="FZ107" s="132"/>
      <c r="GA107" s="132"/>
      <c r="GB107" s="132"/>
      <c r="GC107" s="132"/>
      <c r="GD107" s="132"/>
      <c r="GE107" s="132"/>
      <c r="GF107" s="132"/>
    </row>
    <row r="108" spans="7:188" x14ac:dyDescent="0.25">
      <c r="CT108" s="132"/>
      <c r="CU108" s="132"/>
      <c r="CV108" s="132"/>
      <c r="CW108" s="132"/>
      <c r="CX108" s="132"/>
      <c r="CY108" s="132"/>
      <c r="CZ108" s="132"/>
      <c r="DA108" s="132"/>
      <c r="DB108" s="132"/>
      <c r="DC108" s="132"/>
      <c r="DD108" s="132"/>
      <c r="DE108" s="132"/>
      <c r="DF108" s="132"/>
      <c r="DG108" s="132"/>
      <c r="DH108" s="132"/>
      <c r="DI108" s="132"/>
      <c r="DJ108" s="132"/>
      <c r="DK108" s="132"/>
      <c r="DL108" s="132"/>
      <c r="DM108" s="132"/>
      <c r="DN108" s="132"/>
      <c r="DO108" s="132"/>
      <c r="DP108" s="132"/>
      <c r="DQ108" s="132"/>
      <c r="DR108" s="132"/>
      <c r="DS108" s="132"/>
      <c r="DT108" s="132"/>
      <c r="DU108" s="132"/>
      <c r="DV108" s="132"/>
      <c r="DW108" s="132"/>
      <c r="DX108" s="133"/>
      <c r="DY108" s="132"/>
      <c r="DZ108" s="132"/>
      <c r="EA108" s="132"/>
      <c r="EB108" s="132"/>
      <c r="EC108" s="132"/>
      <c r="ED108" s="132"/>
      <c r="EE108" s="132"/>
      <c r="EF108" s="132"/>
      <c r="EG108" s="132"/>
      <c r="EH108" s="132"/>
      <c r="EI108" s="132"/>
      <c r="EJ108" s="132"/>
      <c r="EK108" s="132"/>
      <c r="EL108" s="132"/>
      <c r="EM108" s="132"/>
      <c r="EN108" s="132"/>
      <c r="EO108" s="132"/>
      <c r="EP108" s="132"/>
      <c r="EQ108" s="132"/>
      <c r="ER108" s="132"/>
      <c r="ES108" s="132"/>
      <c r="ET108" s="132"/>
      <c r="EU108" s="132"/>
      <c r="EV108" s="132"/>
      <c r="EW108" s="132"/>
      <c r="EX108" s="132"/>
      <c r="EY108" s="132"/>
      <c r="EZ108" s="132"/>
      <c r="FA108" s="132"/>
      <c r="FB108" s="132"/>
      <c r="FC108" s="132"/>
      <c r="FD108" s="132"/>
      <c r="FE108" s="132"/>
      <c r="FF108" s="132"/>
      <c r="FG108" s="132"/>
      <c r="FH108" s="132"/>
      <c r="FI108" s="132"/>
      <c r="FJ108" s="132"/>
      <c r="FK108" s="132"/>
      <c r="FL108" s="132"/>
      <c r="FM108" s="132"/>
      <c r="FN108" s="132"/>
      <c r="FO108" s="132"/>
      <c r="FP108" s="132"/>
      <c r="FQ108" s="132"/>
      <c r="FR108" s="132"/>
      <c r="FS108" s="132"/>
      <c r="FT108" s="132"/>
      <c r="FU108" s="132"/>
      <c r="FV108" s="132"/>
      <c r="FW108" s="132"/>
      <c r="FX108" s="132"/>
      <c r="FY108" s="132"/>
      <c r="FZ108" s="132"/>
      <c r="GA108" s="132"/>
      <c r="GB108" s="132"/>
      <c r="GC108" s="132"/>
      <c r="GD108" s="132"/>
      <c r="GE108" s="132"/>
      <c r="GF108" s="132"/>
    </row>
    <row r="109" spans="7:188" x14ac:dyDescent="0.25">
      <c r="CT109" s="132"/>
      <c r="CU109" s="132"/>
      <c r="CV109" s="132"/>
      <c r="CW109" s="132"/>
      <c r="CX109" s="132"/>
      <c r="CY109" s="132"/>
      <c r="CZ109" s="132"/>
      <c r="DA109" s="132"/>
      <c r="DB109" s="132"/>
      <c r="DC109" s="132"/>
      <c r="DD109" s="132"/>
      <c r="DE109" s="132"/>
      <c r="DF109" s="132"/>
      <c r="DG109" s="132"/>
      <c r="DH109" s="132"/>
      <c r="DI109" s="132"/>
      <c r="DJ109" s="132"/>
      <c r="DK109" s="132"/>
      <c r="DL109" s="132"/>
      <c r="DM109" s="132"/>
      <c r="DN109" s="132"/>
      <c r="DO109" s="132"/>
      <c r="DP109" s="132"/>
      <c r="DQ109" s="132"/>
      <c r="DR109" s="132"/>
      <c r="DS109" s="132"/>
      <c r="DT109" s="132"/>
      <c r="DU109" s="132"/>
      <c r="DV109" s="132"/>
      <c r="DW109" s="132"/>
      <c r="DX109" s="133"/>
      <c r="DY109" s="132"/>
      <c r="DZ109" s="132"/>
      <c r="EA109" s="132"/>
      <c r="EB109" s="132"/>
      <c r="EC109" s="132"/>
      <c r="ED109" s="132"/>
      <c r="EE109" s="132"/>
      <c r="EF109" s="132"/>
      <c r="EG109" s="132"/>
      <c r="EH109" s="132"/>
      <c r="EI109" s="132"/>
      <c r="EJ109" s="132"/>
      <c r="EK109" s="132"/>
      <c r="EL109" s="132"/>
      <c r="EM109" s="132"/>
      <c r="EN109" s="132"/>
      <c r="EO109" s="132"/>
      <c r="EP109" s="132"/>
      <c r="EQ109" s="132"/>
      <c r="ER109" s="132"/>
      <c r="ES109" s="132"/>
      <c r="ET109" s="132"/>
      <c r="EU109" s="132"/>
      <c r="EV109" s="132"/>
      <c r="EW109" s="132"/>
      <c r="EX109" s="132"/>
      <c r="EY109" s="132"/>
      <c r="EZ109" s="132"/>
      <c r="FA109" s="132"/>
      <c r="FB109" s="132"/>
      <c r="FC109" s="132"/>
      <c r="FD109" s="132"/>
      <c r="FE109" s="132"/>
      <c r="FF109" s="132"/>
      <c r="FG109" s="132"/>
      <c r="FH109" s="132"/>
      <c r="FI109" s="132"/>
      <c r="FJ109" s="132"/>
      <c r="FK109" s="132"/>
      <c r="FL109" s="132"/>
      <c r="FM109" s="132"/>
      <c r="FN109" s="132"/>
      <c r="FO109" s="132"/>
      <c r="FP109" s="132"/>
      <c r="FQ109" s="132"/>
      <c r="FR109" s="132"/>
      <c r="FS109" s="132"/>
      <c r="FT109" s="132"/>
      <c r="FU109" s="132"/>
      <c r="FV109" s="132"/>
      <c r="FW109" s="132"/>
      <c r="FX109" s="132"/>
      <c r="FY109" s="132"/>
      <c r="FZ109" s="132"/>
      <c r="GA109" s="132"/>
      <c r="GB109" s="132"/>
      <c r="GC109" s="132"/>
      <c r="GD109" s="132"/>
      <c r="GE109" s="132"/>
      <c r="GF109" s="132"/>
    </row>
    <row r="110" spans="7:188" x14ac:dyDescent="0.25">
      <c r="G110" s="129"/>
      <c r="CT110" s="132"/>
      <c r="CU110" s="132"/>
      <c r="CV110" s="132"/>
      <c r="CW110" s="132"/>
      <c r="CX110" s="132"/>
      <c r="CY110" s="132"/>
      <c r="CZ110" s="132"/>
      <c r="DA110" s="132"/>
      <c r="DB110" s="132"/>
      <c r="DC110" s="132"/>
      <c r="DD110" s="132"/>
      <c r="DE110" s="132"/>
      <c r="DF110" s="132"/>
      <c r="DG110" s="132"/>
      <c r="DH110" s="132"/>
      <c r="DI110" s="132"/>
      <c r="DJ110" s="132"/>
      <c r="DK110" s="132"/>
      <c r="DL110" s="132"/>
      <c r="DM110" s="132"/>
      <c r="DN110" s="132"/>
      <c r="DO110" s="132"/>
      <c r="DP110" s="132"/>
      <c r="DQ110" s="132"/>
      <c r="DR110" s="132"/>
      <c r="DS110" s="132"/>
      <c r="DT110" s="132"/>
      <c r="DU110" s="132"/>
      <c r="DV110" s="132"/>
      <c r="DW110" s="132"/>
      <c r="DX110" s="133"/>
      <c r="DY110" s="132"/>
      <c r="DZ110" s="132"/>
      <c r="EA110" s="132"/>
      <c r="EB110" s="132"/>
      <c r="EC110" s="132"/>
      <c r="ED110" s="132"/>
      <c r="EE110" s="132"/>
      <c r="EF110" s="132"/>
      <c r="EG110" s="132"/>
      <c r="EH110" s="132"/>
      <c r="EI110" s="132"/>
      <c r="EJ110" s="132"/>
      <c r="EK110" s="132"/>
      <c r="EL110" s="132"/>
      <c r="EM110" s="132"/>
      <c r="EN110" s="132"/>
      <c r="EO110" s="132"/>
      <c r="EP110" s="132"/>
      <c r="EQ110" s="132"/>
      <c r="ER110" s="132"/>
      <c r="ES110" s="132"/>
      <c r="ET110" s="132"/>
      <c r="EU110" s="132"/>
      <c r="EV110" s="132"/>
      <c r="EW110" s="132"/>
      <c r="EX110" s="132"/>
      <c r="EY110" s="132"/>
      <c r="EZ110" s="132"/>
      <c r="FA110" s="132"/>
      <c r="FB110" s="132"/>
      <c r="FC110" s="132"/>
      <c r="FD110" s="132"/>
      <c r="FE110" s="132"/>
      <c r="FF110" s="132"/>
      <c r="FG110" s="132"/>
      <c r="FH110" s="132"/>
      <c r="FI110" s="132"/>
      <c r="FJ110" s="132"/>
      <c r="FK110" s="132"/>
      <c r="FL110" s="132"/>
      <c r="FM110" s="132"/>
      <c r="FN110" s="132"/>
      <c r="FO110" s="132"/>
      <c r="FP110" s="132"/>
      <c r="FQ110" s="132"/>
      <c r="FR110" s="132"/>
      <c r="FS110" s="132"/>
      <c r="FT110" s="132"/>
      <c r="FU110" s="132"/>
      <c r="FV110" s="132"/>
      <c r="FW110" s="132"/>
      <c r="FX110" s="132"/>
      <c r="FY110" s="132"/>
      <c r="FZ110" s="132"/>
      <c r="GA110" s="132"/>
      <c r="GB110" s="132"/>
      <c r="GC110" s="132"/>
      <c r="GD110" s="132"/>
      <c r="GE110" s="132"/>
      <c r="GF110" s="132"/>
    </row>
    <row r="111" spans="7:188" x14ac:dyDescent="0.25">
      <c r="G111" s="129"/>
      <c r="H111" s="129"/>
      <c r="CT111" s="132"/>
      <c r="CU111" s="132"/>
      <c r="CV111" s="132"/>
      <c r="CW111" s="132"/>
      <c r="CX111" s="132"/>
      <c r="CY111" s="132"/>
      <c r="CZ111" s="132"/>
      <c r="DA111" s="132"/>
      <c r="DB111" s="132"/>
      <c r="DC111" s="132"/>
      <c r="DD111" s="132"/>
      <c r="DE111" s="132"/>
      <c r="DF111" s="132"/>
      <c r="DG111" s="132"/>
      <c r="DH111" s="132"/>
      <c r="DI111" s="132"/>
      <c r="DJ111" s="132"/>
      <c r="DK111" s="132"/>
      <c r="DL111" s="132"/>
      <c r="DM111" s="132"/>
      <c r="DN111" s="132"/>
      <c r="DO111" s="132"/>
      <c r="DP111" s="132"/>
      <c r="DQ111" s="132"/>
      <c r="DR111" s="132"/>
      <c r="DS111" s="132"/>
      <c r="DT111" s="132"/>
      <c r="DU111" s="132"/>
      <c r="DV111" s="132"/>
      <c r="DW111" s="132"/>
      <c r="DX111" s="133"/>
      <c r="DY111" s="132"/>
      <c r="DZ111" s="132"/>
      <c r="EA111" s="132"/>
      <c r="EB111" s="132"/>
      <c r="EC111" s="132"/>
      <c r="ED111" s="132"/>
      <c r="EE111" s="132"/>
      <c r="EF111" s="132"/>
      <c r="EG111" s="132"/>
      <c r="EH111" s="132"/>
      <c r="EI111" s="132"/>
      <c r="EJ111" s="132"/>
      <c r="EK111" s="132"/>
      <c r="EL111" s="132"/>
      <c r="EM111" s="132"/>
      <c r="EN111" s="132"/>
      <c r="EO111" s="132"/>
      <c r="EP111" s="132"/>
      <c r="EQ111" s="132"/>
      <c r="ER111" s="132"/>
      <c r="ES111" s="132"/>
      <c r="ET111" s="132"/>
      <c r="EU111" s="132"/>
      <c r="EV111" s="132"/>
      <c r="EW111" s="132"/>
      <c r="EX111" s="132"/>
      <c r="EY111" s="132"/>
      <c r="EZ111" s="132"/>
      <c r="FA111" s="132"/>
      <c r="FB111" s="132"/>
      <c r="FC111" s="132"/>
      <c r="FD111" s="132"/>
      <c r="FE111" s="132"/>
      <c r="FF111" s="132"/>
      <c r="FG111" s="132"/>
      <c r="FH111" s="132"/>
      <c r="FI111" s="132"/>
      <c r="FJ111" s="132"/>
      <c r="FK111" s="132"/>
      <c r="FL111" s="132"/>
      <c r="FM111" s="132"/>
      <c r="FN111" s="132"/>
      <c r="FO111" s="132"/>
      <c r="FP111" s="132"/>
      <c r="FQ111" s="132"/>
      <c r="FR111" s="132"/>
      <c r="FS111" s="132"/>
      <c r="FT111" s="132"/>
      <c r="FU111" s="132"/>
      <c r="FV111" s="132"/>
      <c r="FW111" s="132"/>
      <c r="FX111" s="132"/>
      <c r="FY111" s="132"/>
      <c r="FZ111" s="132"/>
      <c r="GA111" s="132"/>
      <c r="GB111" s="132"/>
      <c r="GC111" s="132"/>
      <c r="GD111" s="132"/>
      <c r="GE111" s="132"/>
      <c r="GF111" s="132"/>
    </row>
    <row r="112" spans="7:188" x14ac:dyDescent="0.25">
      <c r="G112" s="129"/>
      <c r="H112" s="129"/>
      <c r="CT112" s="132"/>
      <c r="CU112" s="132"/>
      <c r="CV112" s="132"/>
      <c r="CW112" s="132"/>
      <c r="CX112" s="132"/>
      <c r="CY112" s="132"/>
      <c r="CZ112" s="132"/>
      <c r="DA112" s="132"/>
      <c r="DB112" s="132"/>
      <c r="DC112" s="132"/>
      <c r="DD112" s="132"/>
      <c r="DE112" s="132"/>
      <c r="DF112" s="132"/>
      <c r="DG112" s="132"/>
      <c r="DH112" s="132"/>
      <c r="DI112" s="132"/>
      <c r="DJ112" s="132"/>
      <c r="DK112" s="132"/>
      <c r="DL112" s="132"/>
      <c r="DM112" s="132"/>
      <c r="DN112" s="132"/>
      <c r="DO112" s="132"/>
      <c r="DP112" s="132"/>
      <c r="DQ112" s="132"/>
      <c r="DR112" s="132"/>
      <c r="DS112" s="132"/>
      <c r="DT112" s="132"/>
      <c r="DU112" s="132"/>
      <c r="DV112" s="132"/>
      <c r="DW112" s="132"/>
      <c r="DX112" s="133"/>
      <c r="DY112" s="132"/>
      <c r="DZ112" s="132"/>
      <c r="EA112" s="132"/>
      <c r="EB112" s="132"/>
      <c r="EC112" s="132"/>
      <c r="ED112" s="132"/>
      <c r="EE112" s="132"/>
      <c r="EF112" s="132"/>
      <c r="EG112" s="132"/>
      <c r="EH112" s="132"/>
      <c r="EI112" s="132"/>
      <c r="EJ112" s="132"/>
      <c r="EK112" s="132"/>
      <c r="EL112" s="132"/>
      <c r="EM112" s="132"/>
      <c r="EN112" s="132"/>
      <c r="EO112" s="132"/>
      <c r="EP112" s="132"/>
      <c r="EQ112" s="132"/>
      <c r="ER112" s="132"/>
      <c r="ES112" s="132"/>
      <c r="ET112" s="132"/>
      <c r="EU112" s="132"/>
      <c r="EV112" s="132"/>
      <c r="EW112" s="132"/>
      <c r="EX112" s="132"/>
      <c r="EY112" s="132"/>
      <c r="EZ112" s="132"/>
      <c r="FA112" s="132"/>
      <c r="FB112" s="132"/>
      <c r="FC112" s="132"/>
      <c r="FD112" s="132"/>
      <c r="FE112" s="132"/>
      <c r="FF112" s="132"/>
      <c r="FG112" s="132"/>
      <c r="FH112" s="132"/>
      <c r="FI112" s="132"/>
      <c r="FJ112" s="132"/>
      <c r="FK112" s="132"/>
      <c r="FL112" s="132"/>
      <c r="FM112" s="132"/>
      <c r="FN112" s="132"/>
      <c r="FO112" s="132"/>
      <c r="FP112" s="132"/>
      <c r="FQ112" s="132"/>
      <c r="FR112" s="132"/>
      <c r="FS112" s="132"/>
      <c r="FT112" s="132"/>
      <c r="FU112" s="132"/>
      <c r="FV112" s="132"/>
      <c r="FW112" s="132"/>
      <c r="FX112" s="132"/>
      <c r="FY112" s="132"/>
      <c r="FZ112" s="132"/>
      <c r="GA112" s="132"/>
      <c r="GB112" s="132"/>
      <c r="GC112" s="132"/>
      <c r="GD112" s="132"/>
      <c r="GE112" s="132"/>
      <c r="GF112" s="132"/>
    </row>
    <row r="113" spans="7:188" x14ac:dyDescent="0.25">
      <c r="G113" s="129"/>
      <c r="CT113" s="132"/>
      <c r="CU113" s="132"/>
      <c r="CV113" s="132"/>
      <c r="CW113" s="132"/>
      <c r="CX113" s="132"/>
      <c r="CY113" s="132"/>
      <c r="CZ113" s="132"/>
      <c r="DA113" s="132"/>
      <c r="DB113" s="132"/>
      <c r="DC113" s="132"/>
      <c r="DD113" s="132"/>
      <c r="DE113" s="132"/>
      <c r="DF113" s="132"/>
      <c r="DG113" s="132"/>
      <c r="DH113" s="132"/>
      <c r="DI113" s="132"/>
      <c r="DJ113" s="132"/>
      <c r="DK113" s="132"/>
      <c r="DL113" s="132"/>
      <c r="DM113" s="132"/>
      <c r="DN113" s="132"/>
      <c r="DO113" s="132"/>
      <c r="DP113" s="132"/>
      <c r="DQ113" s="132"/>
      <c r="DR113" s="132"/>
      <c r="DS113" s="132"/>
      <c r="DT113" s="132"/>
      <c r="DU113" s="132"/>
      <c r="DV113" s="132"/>
      <c r="DW113" s="132"/>
      <c r="DX113" s="133"/>
      <c r="DY113" s="132"/>
      <c r="DZ113" s="132"/>
      <c r="EA113" s="132"/>
      <c r="EB113" s="132"/>
      <c r="EC113" s="132"/>
      <c r="ED113" s="132"/>
      <c r="EE113" s="132"/>
      <c r="EF113" s="132"/>
      <c r="EG113" s="132"/>
      <c r="EH113" s="132"/>
      <c r="EI113" s="132"/>
      <c r="EJ113" s="132"/>
      <c r="EK113" s="132"/>
      <c r="EL113" s="132"/>
      <c r="EM113" s="132"/>
      <c r="EN113" s="132"/>
      <c r="EO113" s="132"/>
      <c r="EP113" s="132"/>
      <c r="EQ113" s="132"/>
      <c r="ER113" s="132"/>
      <c r="ES113" s="132"/>
      <c r="ET113" s="132"/>
      <c r="EU113" s="132"/>
      <c r="EV113" s="132"/>
      <c r="EW113" s="132"/>
      <c r="EX113" s="132"/>
      <c r="EY113" s="132"/>
      <c r="EZ113" s="132"/>
      <c r="FA113" s="132"/>
      <c r="FB113" s="132"/>
      <c r="FC113" s="132"/>
      <c r="FD113" s="132"/>
      <c r="FE113" s="132"/>
      <c r="FF113" s="132"/>
      <c r="FG113" s="132"/>
      <c r="FH113" s="132"/>
      <c r="FI113" s="132"/>
      <c r="FJ113" s="132"/>
      <c r="FK113" s="132"/>
      <c r="FL113" s="132"/>
      <c r="FM113" s="132"/>
      <c r="FN113" s="132"/>
      <c r="FO113" s="132"/>
      <c r="FP113" s="132"/>
      <c r="FQ113" s="132"/>
      <c r="FR113" s="132"/>
      <c r="FS113" s="132"/>
      <c r="FT113" s="132"/>
      <c r="FU113" s="132"/>
      <c r="FV113" s="132"/>
      <c r="FW113" s="132"/>
      <c r="FX113" s="132"/>
      <c r="FY113" s="132"/>
      <c r="FZ113" s="132"/>
      <c r="GA113" s="132"/>
      <c r="GB113" s="132"/>
      <c r="GC113" s="132"/>
      <c r="GD113" s="132"/>
      <c r="GE113" s="132"/>
      <c r="GF113" s="132"/>
    </row>
    <row r="114" spans="7:188" x14ac:dyDescent="0.25">
      <c r="G114" s="129"/>
      <c r="CT114" s="132"/>
      <c r="CU114" s="132"/>
      <c r="CV114" s="132"/>
      <c r="CW114" s="132"/>
      <c r="CX114" s="132"/>
      <c r="CY114" s="132"/>
      <c r="CZ114" s="132"/>
      <c r="DA114" s="132"/>
      <c r="DB114" s="132"/>
      <c r="DC114" s="132"/>
      <c r="DD114" s="132"/>
      <c r="DE114" s="132"/>
      <c r="DF114" s="132"/>
      <c r="DG114" s="132"/>
      <c r="DH114" s="132"/>
      <c r="DI114" s="132"/>
      <c r="DJ114" s="132"/>
      <c r="DK114" s="132"/>
      <c r="DL114" s="132"/>
      <c r="DM114" s="132"/>
      <c r="DN114" s="132"/>
      <c r="DO114" s="132"/>
      <c r="DP114" s="132"/>
      <c r="DQ114" s="132"/>
      <c r="DR114" s="132"/>
      <c r="DS114" s="132"/>
      <c r="DT114" s="132"/>
      <c r="DU114" s="132"/>
      <c r="DV114" s="132"/>
      <c r="DW114" s="132"/>
      <c r="DX114" s="133"/>
      <c r="DY114" s="132"/>
      <c r="DZ114" s="132"/>
      <c r="EA114" s="132"/>
      <c r="EB114" s="132"/>
      <c r="EC114" s="132"/>
      <c r="ED114" s="132"/>
      <c r="EE114" s="132"/>
      <c r="EF114" s="132"/>
      <c r="EG114" s="132"/>
      <c r="EH114" s="132"/>
      <c r="EI114" s="132"/>
      <c r="EJ114" s="132"/>
      <c r="EK114" s="132"/>
      <c r="EL114" s="132"/>
      <c r="EM114" s="132"/>
      <c r="EN114" s="132"/>
      <c r="EO114" s="132"/>
      <c r="EP114" s="132"/>
      <c r="EQ114" s="132"/>
      <c r="ER114" s="132"/>
      <c r="ES114" s="132"/>
      <c r="ET114" s="132"/>
      <c r="EU114" s="132"/>
      <c r="EV114" s="132"/>
      <c r="EW114" s="132"/>
      <c r="EX114" s="132"/>
      <c r="EY114" s="132"/>
      <c r="EZ114" s="132"/>
      <c r="FA114" s="132"/>
      <c r="FB114" s="132"/>
      <c r="FC114" s="132"/>
      <c r="FD114" s="132"/>
      <c r="FE114" s="132"/>
      <c r="FF114" s="132"/>
      <c r="FG114" s="132"/>
      <c r="FH114" s="132"/>
      <c r="FI114" s="132"/>
      <c r="FJ114" s="132"/>
      <c r="FK114" s="132"/>
      <c r="FL114" s="132"/>
      <c r="FM114" s="132"/>
      <c r="FN114" s="132"/>
      <c r="FO114" s="132"/>
      <c r="FP114" s="132"/>
      <c r="FQ114" s="132"/>
      <c r="FR114" s="132"/>
      <c r="FS114" s="132"/>
      <c r="FT114" s="132"/>
      <c r="FU114" s="132"/>
      <c r="FV114" s="132"/>
      <c r="FW114" s="132"/>
      <c r="FX114" s="132"/>
      <c r="FY114" s="132"/>
      <c r="FZ114" s="132"/>
      <c r="GA114" s="132"/>
      <c r="GB114" s="132"/>
      <c r="GC114" s="132"/>
      <c r="GD114" s="132"/>
      <c r="GE114" s="132"/>
      <c r="GF114" s="132"/>
    </row>
    <row r="115" spans="7:188" x14ac:dyDescent="0.25">
      <c r="G115" s="129"/>
      <c r="H115" s="129"/>
      <c r="CT115" s="132"/>
      <c r="CU115" s="132"/>
      <c r="CV115" s="132"/>
      <c r="CW115" s="132"/>
      <c r="CX115" s="132"/>
      <c r="CY115" s="132"/>
      <c r="CZ115" s="132"/>
      <c r="DA115" s="132"/>
      <c r="DB115" s="132"/>
      <c r="DC115" s="132"/>
      <c r="DD115" s="132"/>
      <c r="DE115" s="132"/>
      <c r="DF115" s="132"/>
      <c r="DG115" s="132"/>
      <c r="DH115" s="132"/>
      <c r="DI115" s="132"/>
      <c r="DJ115" s="132"/>
      <c r="DK115" s="132"/>
      <c r="DL115" s="132"/>
      <c r="DM115" s="132"/>
      <c r="DN115" s="132"/>
      <c r="DO115" s="132"/>
      <c r="DP115" s="132"/>
      <c r="DQ115" s="132"/>
      <c r="DR115" s="132"/>
      <c r="DS115" s="132"/>
      <c r="DT115" s="132"/>
      <c r="DU115" s="132"/>
      <c r="DV115" s="132"/>
      <c r="DW115" s="132"/>
      <c r="DX115" s="133"/>
      <c r="DY115" s="132"/>
      <c r="DZ115" s="132"/>
      <c r="EA115" s="132"/>
      <c r="EB115" s="132"/>
      <c r="EC115" s="132"/>
      <c r="ED115" s="132"/>
      <c r="EE115" s="132"/>
      <c r="EF115" s="132"/>
      <c r="EG115" s="132"/>
      <c r="EH115" s="132"/>
      <c r="EI115" s="132"/>
      <c r="EJ115" s="132"/>
      <c r="EK115" s="132"/>
      <c r="EL115" s="132"/>
      <c r="EM115" s="132"/>
      <c r="EN115" s="132"/>
      <c r="EO115" s="132"/>
      <c r="EP115" s="132"/>
      <c r="EQ115" s="132"/>
      <c r="ER115" s="132"/>
      <c r="ES115" s="132"/>
      <c r="ET115" s="132"/>
      <c r="EU115" s="132"/>
      <c r="EV115" s="132"/>
      <c r="EW115" s="132"/>
      <c r="EX115" s="132"/>
      <c r="EY115" s="132"/>
      <c r="EZ115" s="132"/>
      <c r="FA115" s="132"/>
      <c r="FB115" s="132"/>
      <c r="FC115" s="132"/>
      <c r="FD115" s="132"/>
      <c r="FE115" s="132"/>
      <c r="FF115" s="132"/>
      <c r="FG115" s="132"/>
      <c r="FH115" s="132"/>
      <c r="FI115" s="132"/>
      <c r="FJ115" s="132"/>
      <c r="FK115" s="132"/>
      <c r="FL115" s="132"/>
      <c r="FM115" s="132"/>
      <c r="FN115" s="132"/>
      <c r="FO115" s="132"/>
      <c r="FP115" s="132"/>
      <c r="FQ115" s="132"/>
      <c r="FR115" s="132"/>
      <c r="FS115" s="132"/>
      <c r="FT115" s="132"/>
      <c r="FU115" s="132"/>
      <c r="FV115" s="132"/>
      <c r="FW115" s="132"/>
      <c r="FX115" s="132"/>
      <c r="FY115" s="132"/>
      <c r="FZ115" s="132"/>
      <c r="GA115" s="132"/>
      <c r="GB115" s="132"/>
      <c r="GC115" s="132"/>
      <c r="GD115" s="132"/>
      <c r="GE115" s="132"/>
      <c r="GF115" s="132"/>
    </row>
    <row r="116" spans="7:188" x14ac:dyDescent="0.25">
      <c r="G116" s="129"/>
      <c r="CT116" s="132"/>
      <c r="CU116" s="132"/>
      <c r="CV116" s="132"/>
      <c r="CW116" s="132"/>
      <c r="CX116" s="132"/>
      <c r="CY116" s="132"/>
      <c r="CZ116" s="132"/>
      <c r="DA116" s="132"/>
      <c r="DB116" s="132"/>
      <c r="DC116" s="132"/>
      <c r="DD116" s="132"/>
      <c r="DE116" s="132"/>
      <c r="DF116" s="132"/>
      <c r="DG116" s="132"/>
      <c r="DH116" s="132"/>
      <c r="DI116" s="132"/>
      <c r="DJ116" s="132"/>
      <c r="DK116" s="132"/>
      <c r="DL116" s="132"/>
      <c r="DM116" s="132"/>
      <c r="DN116" s="132"/>
      <c r="DO116" s="132"/>
      <c r="DP116" s="132"/>
      <c r="DQ116" s="132"/>
      <c r="DR116" s="132"/>
      <c r="DS116" s="132"/>
      <c r="DT116" s="132"/>
      <c r="DU116" s="132"/>
      <c r="DV116" s="132"/>
      <c r="DW116" s="132"/>
      <c r="DX116" s="133"/>
      <c r="DY116" s="132"/>
      <c r="DZ116" s="132"/>
      <c r="EA116" s="132"/>
      <c r="EB116" s="132"/>
      <c r="EC116" s="132"/>
      <c r="ED116" s="132"/>
      <c r="EE116" s="132"/>
      <c r="EF116" s="132"/>
      <c r="EG116" s="132"/>
      <c r="EH116" s="132"/>
      <c r="EI116" s="132"/>
      <c r="EJ116" s="132"/>
      <c r="EK116" s="132"/>
      <c r="EL116" s="132"/>
      <c r="EM116" s="132"/>
      <c r="EN116" s="132"/>
      <c r="EO116" s="132"/>
      <c r="EP116" s="132"/>
      <c r="EQ116" s="132"/>
      <c r="ER116" s="132"/>
      <c r="ES116" s="132"/>
      <c r="ET116" s="132"/>
      <c r="EU116" s="132"/>
      <c r="EV116" s="132"/>
      <c r="EW116" s="132"/>
      <c r="EX116" s="132"/>
      <c r="EY116" s="132"/>
      <c r="EZ116" s="132"/>
      <c r="FA116" s="132"/>
      <c r="FB116" s="132"/>
      <c r="FC116" s="132"/>
      <c r="FD116" s="132"/>
      <c r="FE116" s="132"/>
      <c r="FF116" s="132"/>
      <c r="FG116" s="132"/>
      <c r="FH116" s="132"/>
      <c r="FI116" s="132"/>
      <c r="FJ116" s="132"/>
      <c r="FK116" s="132"/>
      <c r="FL116" s="132"/>
      <c r="FM116" s="132"/>
      <c r="FN116" s="132"/>
      <c r="FO116" s="132"/>
      <c r="FP116" s="132"/>
      <c r="FQ116" s="132"/>
      <c r="FR116" s="132"/>
      <c r="FS116" s="132"/>
      <c r="FT116" s="132"/>
      <c r="FU116" s="132"/>
      <c r="FV116" s="132"/>
      <c r="FW116" s="132"/>
      <c r="FX116" s="132"/>
      <c r="FY116" s="132"/>
      <c r="FZ116" s="132"/>
      <c r="GA116" s="132"/>
      <c r="GB116" s="132"/>
      <c r="GC116" s="132"/>
      <c r="GD116" s="132"/>
      <c r="GE116" s="132"/>
      <c r="GF116" s="132"/>
    </row>
    <row r="117" spans="7:188" x14ac:dyDescent="0.25">
      <c r="G117" s="129"/>
      <c r="H117" s="129"/>
      <c r="CT117" s="132"/>
      <c r="CU117" s="132"/>
      <c r="CV117" s="132"/>
      <c r="CW117" s="132"/>
      <c r="CX117" s="132"/>
      <c r="CY117" s="132"/>
      <c r="CZ117" s="132"/>
      <c r="DA117" s="132"/>
      <c r="DB117" s="132"/>
      <c r="DC117" s="132"/>
      <c r="DD117" s="132"/>
      <c r="DE117" s="132"/>
      <c r="DF117" s="132"/>
      <c r="DG117" s="132"/>
      <c r="DH117" s="132"/>
      <c r="DI117" s="132"/>
      <c r="DJ117" s="132"/>
      <c r="DK117" s="132"/>
      <c r="DL117" s="132"/>
      <c r="DM117" s="132"/>
      <c r="DN117" s="132"/>
      <c r="DO117" s="132"/>
      <c r="DP117" s="132"/>
      <c r="DQ117" s="132"/>
      <c r="DR117" s="132"/>
      <c r="DS117" s="132"/>
      <c r="DT117" s="132"/>
      <c r="DU117" s="132"/>
      <c r="DV117" s="132"/>
      <c r="DW117" s="132"/>
      <c r="DX117" s="133"/>
      <c r="DY117" s="132"/>
      <c r="DZ117" s="132"/>
      <c r="EA117" s="132"/>
      <c r="EB117" s="132"/>
      <c r="EC117" s="132"/>
      <c r="ED117" s="132"/>
      <c r="EE117" s="132"/>
      <c r="EF117" s="132"/>
      <c r="EG117" s="132"/>
      <c r="EH117" s="132"/>
      <c r="EI117" s="132"/>
      <c r="EJ117" s="132"/>
      <c r="EK117" s="132"/>
      <c r="EL117" s="132"/>
      <c r="EM117" s="132"/>
      <c r="EN117" s="132"/>
      <c r="EO117" s="132"/>
      <c r="EP117" s="132"/>
      <c r="EQ117" s="132"/>
      <c r="ER117" s="132"/>
      <c r="ES117" s="132"/>
      <c r="ET117" s="132"/>
      <c r="EU117" s="132"/>
      <c r="EV117" s="132"/>
      <c r="EW117" s="132"/>
      <c r="EX117" s="132"/>
      <c r="EY117" s="132"/>
      <c r="EZ117" s="132"/>
      <c r="FA117" s="132"/>
      <c r="FB117" s="132"/>
      <c r="FC117" s="132"/>
      <c r="FD117" s="132"/>
      <c r="FE117" s="132"/>
      <c r="FF117" s="132"/>
      <c r="FG117" s="132"/>
      <c r="FH117" s="132"/>
      <c r="FI117" s="132"/>
      <c r="FJ117" s="132"/>
      <c r="FK117" s="132"/>
      <c r="FL117" s="132"/>
      <c r="FM117" s="132"/>
      <c r="FN117" s="132"/>
      <c r="FO117" s="132"/>
      <c r="FP117" s="132"/>
      <c r="FQ117" s="132"/>
      <c r="FR117" s="132"/>
      <c r="FS117" s="132"/>
      <c r="FT117" s="132"/>
      <c r="FU117" s="132"/>
      <c r="FV117" s="132"/>
      <c r="FW117" s="132"/>
      <c r="FX117" s="132"/>
      <c r="FY117" s="132"/>
      <c r="FZ117" s="132"/>
      <c r="GA117" s="132"/>
      <c r="GB117" s="132"/>
      <c r="GC117" s="132"/>
      <c r="GD117" s="132"/>
      <c r="GE117" s="132"/>
      <c r="GF117" s="132"/>
    </row>
    <row r="118" spans="7:188" x14ac:dyDescent="0.25">
      <c r="G118" s="129"/>
      <c r="H118" s="129"/>
      <c r="CT118" s="132"/>
      <c r="CU118" s="132"/>
      <c r="CV118" s="132"/>
      <c r="CW118" s="132"/>
      <c r="CX118" s="132"/>
      <c r="CY118" s="132"/>
      <c r="CZ118" s="132"/>
      <c r="DA118" s="132"/>
      <c r="DB118" s="132"/>
      <c r="DC118" s="132"/>
      <c r="DD118" s="132"/>
      <c r="DE118" s="132"/>
      <c r="DF118" s="132"/>
      <c r="DG118" s="132"/>
      <c r="DH118" s="132"/>
      <c r="DI118" s="132"/>
      <c r="DJ118" s="132"/>
      <c r="DK118" s="132"/>
      <c r="DL118" s="132"/>
      <c r="DM118" s="132"/>
      <c r="DN118" s="132"/>
      <c r="DO118" s="132"/>
      <c r="DP118" s="132"/>
      <c r="DQ118" s="132"/>
      <c r="DR118" s="132"/>
      <c r="DS118" s="132"/>
      <c r="DT118" s="132"/>
      <c r="DU118" s="132"/>
      <c r="DV118" s="132"/>
      <c r="DW118" s="132"/>
      <c r="DX118" s="133"/>
      <c r="DY118" s="132"/>
      <c r="DZ118" s="132"/>
      <c r="EA118" s="132"/>
      <c r="EB118" s="132"/>
      <c r="EC118" s="132"/>
      <c r="ED118" s="132"/>
      <c r="EE118" s="132"/>
      <c r="EF118" s="132"/>
      <c r="EG118" s="132"/>
      <c r="EH118" s="132"/>
      <c r="EI118" s="132"/>
      <c r="EJ118" s="132"/>
      <c r="EK118" s="132"/>
      <c r="EL118" s="132"/>
      <c r="EM118" s="132"/>
      <c r="EN118" s="132"/>
      <c r="EO118" s="132"/>
      <c r="EP118" s="132"/>
      <c r="EQ118" s="132"/>
      <c r="ER118" s="132"/>
      <c r="ES118" s="132"/>
      <c r="ET118" s="132"/>
      <c r="EU118" s="132"/>
      <c r="EV118" s="132"/>
      <c r="EW118" s="132"/>
      <c r="EX118" s="132"/>
      <c r="EY118" s="132"/>
      <c r="EZ118" s="132"/>
      <c r="FA118" s="132"/>
      <c r="FB118" s="132"/>
      <c r="FC118" s="132"/>
      <c r="FD118" s="132"/>
      <c r="FE118" s="132"/>
      <c r="FF118" s="132"/>
      <c r="FG118" s="132"/>
      <c r="FH118" s="132"/>
      <c r="FI118" s="132"/>
      <c r="FJ118" s="132"/>
      <c r="FK118" s="132"/>
      <c r="FL118" s="132"/>
      <c r="FM118" s="132"/>
      <c r="FN118" s="132"/>
      <c r="FO118" s="132"/>
      <c r="FP118" s="132"/>
      <c r="FQ118" s="132"/>
      <c r="FR118" s="132"/>
      <c r="FS118" s="132"/>
      <c r="FT118" s="132"/>
      <c r="FU118" s="132"/>
      <c r="FV118" s="132"/>
      <c r="FW118" s="132"/>
      <c r="FX118" s="132"/>
      <c r="FY118" s="132"/>
      <c r="FZ118" s="132"/>
      <c r="GA118" s="132"/>
      <c r="GB118" s="132"/>
      <c r="GC118" s="132"/>
      <c r="GD118" s="132"/>
      <c r="GE118" s="132"/>
      <c r="GF118" s="132"/>
    </row>
    <row r="120" spans="7:188" x14ac:dyDescent="0.25">
      <c r="G120" s="129"/>
      <c r="H120" s="129"/>
    </row>
    <row r="121" spans="7:188" x14ac:dyDescent="0.25">
      <c r="G121" s="129"/>
      <c r="H121" s="129"/>
    </row>
    <row r="122" spans="7:188" x14ac:dyDescent="0.25">
      <c r="G122" s="129"/>
    </row>
    <row r="123" spans="7:188" x14ac:dyDescent="0.25">
      <c r="G123" s="129"/>
    </row>
    <row r="124" spans="7:188" x14ac:dyDescent="0.25">
      <c r="G124" s="129"/>
      <c r="H124" s="129"/>
    </row>
    <row r="125" spans="7:188" x14ac:dyDescent="0.25">
      <c r="G125" s="129"/>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vt:i4>
      </vt:variant>
    </vt:vector>
  </HeadingPairs>
  <TitlesOfParts>
    <vt:vector size="70" baseType="lpstr">
      <vt:lpstr>Summary</vt:lpstr>
      <vt:lpstr>Rate History</vt:lpstr>
      <vt:lpstr>FTSE Summary</vt:lpstr>
      <vt:lpstr>Discipline Summary</vt:lpstr>
      <vt:lpstr>Discipline Analysis</vt:lpstr>
      <vt:lpstr>Neutral</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Data</vt:lpstr>
      <vt:lpstr>'Discipline Analysis'!Print_Area</vt:lpstr>
      <vt:lpstr>'Discipline Analysis'!Print_Titles</vt:lpstr>
      <vt:lpstr>'Discipline Summary'!Print_Titles</vt:lpstr>
      <vt:lpstr>'FTSE Summary'!Print_Titles</vt:lpstr>
      <vt:lpstr>Neutral!Print_Titles</vt:lpstr>
      <vt:lpstr>'Rate History'!Print_Titles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and Technical College</dc:title>
  <dc:subject>Expenditure Study</dc:subject>
  <dc:creator>Paul Turcotte</dc:creator>
  <cp:lastModifiedBy>Paul Turcotte</cp:lastModifiedBy>
  <cp:lastPrinted>2012-11-12T15:51:18Z</cp:lastPrinted>
  <dcterms:created xsi:type="dcterms:W3CDTF">2012-11-10T05:06:36Z</dcterms:created>
  <dcterms:modified xsi:type="dcterms:W3CDTF">2012-11-26T18:43:59Z</dcterms:modified>
</cp:coreProperties>
</file>