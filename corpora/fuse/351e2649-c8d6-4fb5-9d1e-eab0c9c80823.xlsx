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heckCompatibility="1" autoCompressPictures="0"/>
  <bookViews>
    <workbookView xWindow="84" yWindow="0" windowWidth="20376" windowHeight="12816" tabRatio="500"/>
  </bookViews>
  <sheets>
    <sheet name="Capacity Planning Tool" sheetId="9" r:id="rId1"/>
    <sheet name="Assumptions" sheetId="11" r:id="rId2"/>
    <sheet name="Small Elementary Example" sheetId="6" r:id="rId3"/>
    <sheet name="Large High School Example" sheetId="8" r:id="rId4"/>
  </sheet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D27" i="6" l="1"/>
  <c r="K81" i="6"/>
  <c r="K91" i="6"/>
  <c r="G55" i="8"/>
  <c r="G56" i="8"/>
  <c r="G57" i="8"/>
  <c r="G58" i="8"/>
  <c r="G59" i="8"/>
  <c r="G60" i="8"/>
  <c r="G61" i="8"/>
  <c r="G62" i="8"/>
  <c r="G63" i="8"/>
  <c r="G64" i="8"/>
  <c r="G65" i="8"/>
  <c r="G66" i="8"/>
  <c r="G67" i="8"/>
  <c r="L108" i="8"/>
  <c r="K108" i="8"/>
  <c r="J108" i="8"/>
  <c r="I108" i="8"/>
  <c r="H108" i="8"/>
  <c r="G108" i="8"/>
  <c r="F108" i="8"/>
  <c r="E108" i="8"/>
  <c r="L87" i="8"/>
  <c r="K87" i="8"/>
  <c r="J87" i="8"/>
  <c r="I87" i="8"/>
  <c r="H87" i="8"/>
  <c r="G87" i="8"/>
  <c r="F87" i="8"/>
  <c r="E87" i="8"/>
  <c r="G55" i="6"/>
  <c r="G56" i="6"/>
  <c r="G57" i="6"/>
  <c r="G58" i="6"/>
  <c r="G59" i="6"/>
  <c r="G60" i="6"/>
  <c r="G61" i="6"/>
  <c r="G62" i="6"/>
  <c r="G63" i="6"/>
  <c r="G64" i="6"/>
  <c r="G65" i="6"/>
  <c r="G66" i="6"/>
  <c r="G67" i="6"/>
  <c r="E87" i="6"/>
  <c r="D27" i="9"/>
  <c r="G81" i="9"/>
  <c r="G80" i="9"/>
  <c r="G81" i="6"/>
  <c r="G80" i="6"/>
  <c r="D37" i="9"/>
  <c r="H82" i="9"/>
  <c r="H81" i="9"/>
  <c r="H83" i="9"/>
  <c r="I82" i="9"/>
  <c r="I81" i="9"/>
  <c r="I83" i="9"/>
  <c r="J82" i="9"/>
  <c r="J81" i="9"/>
  <c r="J83" i="9"/>
  <c r="K82" i="9"/>
  <c r="K81" i="9"/>
  <c r="K83" i="9"/>
  <c r="L82" i="9"/>
  <c r="L81" i="9"/>
  <c r="L83" i="9"/>
  <c r="G82" i="9"/>
  <c r="G83" i="9"/>
  <c r="F102" i="9"/>
  <c r="F107" i="9"/>
  <c r="G55" i="9"/>
  <c r="G56" i="9"/>
  <c r="G57" i="9"/>
  <c r="G58" i="9"/>
  <c r="G59" i="9"/>
  <c r="G60" i="9"/>
  <c r="G61" i="9"/>
  <c r="G62" i="9"/>
  <c r="G63" i="9"/>
  <c r="G64" i="9"/>
  <c r="G65" i="9"/>
  <c r="G66" i="9"/>
  <c r="G67" i="9"/>
  <c r="F108" i="9"/>
  <c r="F110" i="9"/>
  <c r="G102" i="9"/>
  <c r="G107" i="9"/>
  <c r="G108" i="9"/>
  <c r="G110" i="9"/>
  <c r="H102" i="9"/>
  <c r="H107" i="9"/>
  <c r="H108" i="9"/>
  <c r="H110" i="9"/>
  <c r="I102" i="9"/>
  <c r="I107" i="9"/>
  <c r="I108" i="9"/>
  <c r="I110" i="9"/>
  <c r="J102" i="9"/>
  <c r="J107" i="9"/>
  <c r="J108" i="9"/>
  <c r="J110" i="9"/>
  <c r="K102" i="9"/>
  <c r="K107" i="9"/>
  <c r="K108" i="9"/>
  <c r="K110" i="9"/>
  <c r="L102" i="9"/>
  <c r="L107" i="9"/>
  <c r="L108" i="9"/>
  <c r="L110" i="9"/>
  <c r="E102" i="9"/>
  <c r="E107" i="9"/>
  <c r="E108" i="9"/>
  <c r="E110" i="9"/>
  <c r="E108" i="6"/>
  <c r="E102" i="6"/>
  <c r="E107" i="6"/>
  <c r="E110" i="6"/>
  <c r="F106" i="9"/>
  <c r="F109" i="9"/>
  <c r="G106" i="9"/>
  <c r="G109" i="9"/>
  <c r="H106" i="9"/>
  <c r="H109" i="9"/>
  <c r="I106" i="9"/>
  <c r="I109" i="9"/>
  <c r="J106" i="9"/>
  <c r="J109" i="9"/>
  <c r="K106" i="9"/>
  <c r="K109" i="9"/>
  <c r="L106" i="9"/>
  <c r="L109" i="9"/>
  <c r="E106" i="9"/>
  <c r="E109" i="9"/>
  <c r="E106" i="6"/>
  <c r="E109" i="6"/>
  <c r="F87" i="9"/>
  <c r="F86" i="9"/>
  <c r="F89" i="9"/>
  <c r="G86" i="9"/>
  <c r="G87" i="9"/>
  <c r="G89" i="9"/>
  <c r="H86" i="9"/>
  <c r="H87" i="9"/>
  <c r="H89" i="9"/>
  <c r="I86" i="9"/>
  <c r="I87" i="9"/>
  <c r="I89" i="9"/>
  <c r="J86" i="9"/>
  <c r="J87" i="9"/>
  <c r="J89" i="9"/>
  <c r="K86" i="9"/>
  <c r="K87" i="9"/>
  <c r="K89" i="9"/>
  <c r="L86" i="9"/>
  <c r="L87" i="9"/>
  <c r="L89" i="9"/>
  <c r="E87" i="9"/>
  <c r="E86" i="9"/>
  <c r="E89" i="9"/>
  <c r="D37" i="6"/>
  <c r="E86" i="6"/>
  <c r="E89" i="6"/>
  <c r="F85" i="9"/>
  <c r="F88" i="9"/>
  <c r="G85" i="9"/>
  <c r="G88" i="9"/>
  <c r="H85" i="9"/>
  <c r="H88" i="9"/>
  <c r="I85" i="9"/>
  <c r="I88" i="9"/>
  <c r="J85" i="9"/>
  <c r="J88" i="9"/>
  <c r="K85" i="9"/>
  <c r="K88" i="9"/>
  <c r="L85" i="9"/>
  <c r="L88" i="9"/>
  <c r="E85" i="9"/>
  <c r="E88" i="9"/>
  <c r="E85" i="6"/>
  <c r="E88" i="6"/>
  <c r="D37" i="8"/>
  <c r="F86" i="8"/>
  <c r="F89" i="8"/>
  <c r="G81" i="8"/>
  <c r="G86" i="8"/>
  <c r="G89" i="8"/>
  <c r="H81" i="8"/>
  <c r="H86" i="8"/>
  <c r="H89" i="8"/>
  <c r="I81" i="8"/>
  <c r="I86" i="8"/>
  <c r="I89" i="8"/>
  <c r="J81" i="8"/>
  <c r="J86" i="8"/>
  <c r="J89" i="8"/>
  <c r="D27" i="8"/>
  <c r="K81" i="8"/>
  <c r="K86" i="8"/>
  <c r="K89" i="8"/>
  <c r="L81" i="8"/>
  <c r="L86" i="8"/>
  <c r="L89" i="8"/>
  <c r="E86" i="8"/>
  <c r="E89" i="8"/>
  <c r="F85" i="8"/>
  <c r="F88" i="8"/>
  <c r="G85" i="8"/>
  <c r="G88" i="8"/>
  <c r="H85" i="8"/>
  <c r="H88" i="8"/>
  <c r="I85" i="8"/>
  <c r="I88" i="8"/>
  <c r="J85" i="8"/>
  <c r="J88" i="8"/>
  <c r="K85" i="8"/>
  <c r="K88" i="8"/>
  <c r="L85" i="8"/>
  <c r="L88" i="8"/>
  <c r="E85" i="8"/>
  <c r="E88" i="8"/>
  <c r="F102" i="8"/>
  <c r="F107" i="8"/>
  <c r="F110" i="8"/>
  <c r="G102" i="8"/>
  <c r="G107" i="8"/>
  <c r="G110" i="8"/>
  <c r="H102" i="8"/>
  <c r="H107" i="8"/>
  <c r="H110" i="8"/>
  <c r="I102" i="8"/>
  <c r="I107" i="8"/>
  <c r="I110" i="8"/>
  <c r="J102" i="8"/>
  <c r="J107" i="8"/>
  <c r="J110" i="8"/>
  <c r="K102" i="8"/>
  <c r="K107" i="8"/>
  <c r="K110" i="8"/>
  <c r="L102" i="8"/>
  <c r="L107" i="8"/>
  <c r="L110" i="8"/>
  <c r="E102" i="8"/>
  <c r="E107" i="8"/>
  <c r="E110" i="8"/>
  <c r="F106" i="8"/>
  <c r="F109" i="8"/>
  <c r="G106" i="8"/>
  <c r="G109" i="8"/>
  <c r="H106" i="8"/>
  <c r="H109" i="8"/>
  <c r="I106" i="8"/>
  <c r="I109" i="8"/>
  <c r="J106" i="8"/>
  <c r="J109" i="8"/>
  <c r="K106" i="8"/>
  <c r="K109" i="8"/>
  <c r="L106" i="8"/>
  <c r="L109" i="8"/>
  <c r="E106" i="8"/>
  <c r="E109" i="8"/>
  <c r="F108" i="6"/>
  <c r="F102" i="6"/>
  <c r="F107" i="6"/>
  <c r="F110" i="6"/>
  <c r="G108" i="6"/>
  <c r="G102" i="6"/>
  <c r="G107" i="6"/>
  <c r="G110" i="6"/>
  <c r="H108" i="6"/>
  <c r="H102" i="6"/>
  <c r="H107" i="6"/>
  <c r="H110" i="6"/>
  <c r="I108" i="6"/>
  <c r="I102" i="6"/>
  <c r="I107" i="6"/>
  <c r="I110" i="6"/>
  <c r="J108" i="6"/>
  <c r="J102" i="6"/>
  <c r="J107" i="6"/>
  <c r="J110" i="6"/>
  <c r="K108" i="6"/>
  <c r="K102" i="6"/>
  <c r="K107" i="6"/>
  <c r="K110" i="6"/>
  <c r="L108" i="6"/>
  <c r="L102" i="6"/>
  <c r="L107" i="6"/>
  <c r="L110" i="6"/>
  <c r="F106" i="6"/>
  <c r="F109" i="6"/>
  <c r="G106" i="6"/>
  <c r="G109" i="6"/>
  <c r="H106" i="6"/>
  <c r="H109" i="6"/>
  <c r="I106" i="6"/>
  <c r="I109" i="6"/>
  <c r="J106" i="6"/>
  <c r="J109" i="6"/>
  <c r="K106" i="6"/>
  <c r="K109" i="6"/>
  <c r="L106" i="6"/>
  <c r="L109" i="6"/>
  <c r="F87" i="6"/>
  <c r="F86" i="6"/>
  <c r="F89" i="6"/>
  <c r="G87" i="6"/>
  <c r="G86" i="6"/>
  <c r="G89" i="6"/>
  <c r="H87" i="6"/>
  <c r="H81" i="6"/>
  <c r="H86" i="6"/>
  <c r="H89" i="6"/>
  <c r="I87" i="6"/>
  <c r="I81" i="6"/>
  <c r="I86" i="6"/>
  <c r="I89" i="6"/>
  <c r="J87" i="6"/>
  <c r="J81" i="6"/>
  <c r="J86" i="6"/>
  <c r="J89" i="6"/>
  <c r="K87" i="6"/>
  <c r="K86" i="6"/>
  <c r="K89" i="6"/>
  <c r="L87" i="6"/>
  <c r="L81" i="6"/>
  <c r="L86" i="6"/>
  <c r="L89" i="6"/>
  <c r="F85" i="6"/>
  <c r="F88" i="6"/>
  <c r="G85" i="6"/>
  <c r="G88" i="6"/>
  <c r="H85" i="6"/>
  <c r="H88" i="6"/>
  <c r="I85" i="6"/>
  <c r="I88" i="6"/>
  <c r="J85" i="6"/>
  <c r="J88" i="6"/>
  <c r="K85" i="6"/>
  <c r="K88" i="6"/>
  <c r="L85" i="6"/>
  <c r="L88" i="6"/>
  <c r="F103" i="8"/>
  <c r="F104" i="8"/>
  <c r="G103" i="8"/>
  <c r="G104" i="8"/>
  <c r="H103" i="8"/>
  <c r="H104" i="8"/>
  <c r="I103" i="8"/>
  <c r="I104" i="8"/>
  <c r="J103" i="8"/>
  <c r="J104" i="8"/>
  <c r="K103" i="8"/>
  <c r="K104" i="8"/>
  <c r="L103" i="8"/>
  <c r="L104" i="8"/>
  <c r="E103" i="8"/>
  <c r="E104" i="8"/>
  <c r="H82" i="8"/>
  <c r="H83" i="8"/>
  <c r="I82" i="8"/>
  <c r="I83" i="8"/>
  <c r="J82" i="8"/>
  <c r="J83" i="8"/>
  <c r="K82" i="8"/>
  <c r="K83" i="8"/>
  <c r="L82" i="8"/>
  <c r="L83" i="8"/>
  <c r="G82" i="8"/>
  <c r="G83" i="8"/>
  <c r="F92" i="8"/>
  <c r="F91" i="8"/>
  <c r="F93" i="8"/>
  <c r="F103" i="9"/>
  <c r="F104" i="9"/>
  <c r="G103" i="9"/>
  <c r="G104" i="9"/>
  <c r="H103" i="9"/>
  <c r="H104" i="9"/>
  <c r="I103" i="9"/>
  <c r="I104" i="9"/>
  <c r="J103" i="9"/>
  <c r="J104" i="9"/>
  <c r="K103" i="9"/>
  <c r="K104" i="9"/>
  <c r="L103" i="9"/>
  <c r="L104" i="9"/>
  <c r="E103" i="9"/>
  <c r="E104" i="9"/>
  <c r="G91" i="9"/>
  <c r="F103" i="6"/>
  <c r="F104" i="6"/>
  <c r="G103" i="6"/>
  <c r="G104" i="6"/>
  <c r="H103" i="6"/>
  <c r="H104" i="6"/>
  <c r="I103" i="6"/>
  <c r="I104" i="6"/>
  <c r="J103" i="6"/>
  <c r="J104" i="6"/>
  <c r="K103" i="6"/>
  <c r="K104" i="6"/>
  <c r="L103" i="6"/>
  <c r="L104" i="6"/>
  <c r="E103" i="6"/>
  <c r="E104" i="6"/>
  <c r="H82" i="6"/>
  <c r="H83" i="6"/>
  <c r="I82" i="6"/>
  <c r="I83" i="6"/>
  <c r="J82" i="6"/>
  <c r="J83" i="6"/>
  <c r="K82" i="6"/>
  <c r="K83" i="6"/>
  <c r="L82" i="6"/>
  <c r="L83" i="6"/>
  <c r="G82" i="6"/>
  <c r="G83" i="6"/>
  <c r="F92" i="6"/>
  <c r="F91" i="6"/>
  <c r="F93" i="6"/>
  <c r="H91" i="9"/>
  <c r="I91" i="9"/>
  <c r="J91" i="9"/>
  <c r="K91" i="9"/>
  <c r="L91" i="9"/>
  <c r="F91" i="9"/>
  <c r="F92" i="9"/>
  <c r="F93" i="9"/>
  <c r="L93" i="9"/>
  <c r="K93" i="9"/>
  <c r="J92" i="9"/>
  <c r="J93" i="9"/>
  <c r="I92" i="9"/>
  <c r="I93" i="9"/>
  <c r="H92" i="9"/>
  <c r="H93" i="9"/>
  <c r="G92" i="9"/>
  <c r="G93" i="9"/>
  <c r="E92" i="9"/>
  <c r="E91" i="9"/>
  <c r="E93" i="9"/>
  <c r="L92" i="9"/>
  <c r="K92" i="9"/>
  <c r="F82" i="9"/>
  <c r="E82" i="9"/>
  <c r="L80" i="9"/>
  <c r="K80" i="9"/>
  <c r="J80" i="9"/>
  <c r="I80" i="9"/>
  <c r="H80" i="9"/>
  <c r="F80" i="9"/>
  <c r="E80" i="9"/>
  <c r="E91" i="6"/>
  <c r="L80" i="8"/>
  <c r="K80" i="8"/>
  <c r="L80" i="6"/>
  <c r="K80" i="6"/>
  <c r="L93" i="8"/>
  <c r="K93" i="8"/>
  <c r="J92" i="8"/>
  <c r="J91" i="8"/>
  <c r="J93" i="8"/>
  <c r="I92" i="8"/>
  <c r="I91" i="8"/>
  <c r="I93" i="8"/>
  <c r="H92" i="8"/>
  <c r="H91" i="8"/>
  <c r="H93" i="8"/>
  <c r="G92" i="8"/>
  <c r="G91" i="8"/>
  <c r="G93" i="8"/>
  <c r="E92" i="8"/>
  <c r="E91" i="8"/>
  <c r="E93" i="8"/>
  <c r="L92" i="8"/>
  <c r="K92" i="8"/>
  <c r="L91" i="8"/>
  <c r="K91" i="8"/>
  <c r="F82" i="8"/>
  <c r="E82" i="8"/>
  <c r="J80" i="8"/>
  <c r="I80" i="8"/>
  <c r="H80" i="8"/>
  <c r="G80" i="8"/>
  <c r="F80" i="8"/>
  <c r="E80" i="8"/>
  <c r="L93" i="6"/>
  <c r="K93" i="6"/>
  <c r="L91" i="6"/>
  <c r="G91" i="6"/>
  <c r="G92" i="6"/>
  <c r="G93" i="6"/>
  <c r="H91" i="6"/>
  <c r="H92" i="6"/>
  <c r="H93" i="6"/>
  <c r="I91" i="6"/>
  <c r="I92" i="6"/>
  <c r="I93" i="6"/>
  <c r="J91" i="6"/>
  <c r="J92" i="6"/>
  <c r="J93" i="6"/>
  <c r="L92" i="6"/>
  <c r="K92" i="6"/>
  <c r="J80" i="6"/>
  <c r="I80" i="6"/>
  <c r="E92" i="6"/>
  <c r="E93" i="6"/>
  <c r="F80" i="6"/>
  <c r="E80" i="6"/>
  <c r="H80" i="6"/>
  <c r="F82" i="6"/>
  <c r="E82" i="6"/>
</calcChain>
</file>

<file path=xl/sharedStrings.xml><?xml version="1.0" encoding="utf-8"?>
<sst xmlns="http://schemas.openxmlformats.org/spreadsheetml/2006/main" count="338" uniqueCount="89">
  <si>
    <t>Devices</t>
  </si>
  <si>
    <t>Grade</t>
  </si>
  <si>
    <t>TOTAL</t>
  </si>
  <si>
    <t>STUDENTS</t>
  </si>
  <si>
    <t>DEVICES</t>
  </si>
  <si>
    <t>BANDWIDTH</t>
  </si>
  <si>
    <t>Total population</t>
  </si>
  <si>
    <t>Calculate an estimate for the level of simultaneous Internet usage that will be taking place in the school concurrent with assessment administration.</t>
  </si>
  <si>
    <t>Type of Use</t>
  </si>
  <si>
    <t>Web Browsing</t>
  </si>
  <si>
    <t>Email</t>
  </si>
  <si>
    <t>Number of simultaneous users (students, teachers, administrators) engaged in activity</t>
  </si>
  <si>
    <t>Audio Streaming</t>
  </si>
  <si>
    <t>Student Content Creation</t>
  </si>
  <si>
    <t>Accessing School/District Portal</t>
  </si>
  <si>
    <t>Online Learning (not interactive)</t>
  </si>
  <si>
    <t>Video Streaming (standard quality)</t>
  </si>
  <si>
    <t>Video Streaming (high-definition)</t>
  </si>
  <si>
    <t>Video Conferencing (standard quality)</t>
  </si>
  <si>
    <t>Video Conferencing (high-definition)</t>
  </si>
  <si>
    <t>Online Learning (interactive/single player)</t>
  </si>
  <si>
    <t xml:space="preserve">VoIP </t>
  </si>
  <si>
    <t>Internal Connection Speed (kbps)</t>
  </si>
  <si>
    <t>External Connection Speed (kbps)</t>
  </si>
  <si>
    <t>Bandwidth</t>
  </si>
  <si>
    <t>Bandwidth In Use</t>
  </si>
  <si>
    <t>Enter the number of computer devices available for assessment that meet PARCC Minimum Technology Specifications:</t>
  </si>
  <si>
    <t>Enter Student Population Estimates for the 2014-2015 School Year:</t>
  </si>
  <si>
    <t>(For assistance in calculating eligible devices, please use the separate PARCC-SBAC Technology Readiness Tool and PARCC Technology Guidelines)</t>
  </si>
  <si>
    <t>ENTER YOUR SCHOOL DATA</t>
  </si>
  <si>
    <t>DEVICE TO STUDENT RATIO MODELS</t>
  </si>
  <si>
    <t>Average bandwidth demand in Kbps (for reference)</t>
  </si>
  <si>
    <t>CALCULATED PLANNING MODELS</t>
  </si>
  <si>
    <t xml:space="preserve">Performance-Based Assessment </t>
  </si>
  <si>
    <t>End Of Year Assessment</t>
  </si>
  <si>
    <t>PARCC RULE OF THUMB:</t>
  </si>
  <si>
    <t>Current Availability: Bandwidth per Test Block (in kpbs)</t>
  </si>
  <si>
    <t>Reported Available</t>
  </si>
  <si>
    <t>Days Required by this model</t>
  </si>
  <si>
    <t>Estimated Devices Needed for This Model</t>
  </si>
  <si>
    <t>Devices available for assessment that meet PARCC minimum specifications- By Location</t>
  </si>
  <si>
    <t>Assessment Administration Days</t>
  </si>
  <si>
    <t>NUMBER OF ADMINISTRATION DAYS</t>
  </si>
  <si>
    <t>Enter your preferred number of administration days</t>
  </si>
  <si>
    <t>ADMINISTRATION DAY MODELS</t>
  </si>
  <si>
    <t>10 Days</t>
  </si>
  <si>
    <t>15 Days</t>
  </si>
  <si>
    <t>20 Days</t>
  </si>
  <si>
    <t>5 Days</t>
  </si>
  <si>
    <t>(Recommended for schools with one, two, or three tested grades)</t>
  </si>
  <si>
    <t>(Recommended for schools with more than three tested grade levels)</t>
  </si>
  <si>
    <t>1 Student per device for all tested students</t>
  </si>
  <si>
    <t>Calculations are based on the school population and the assessment design, using an estimate of 2 testing blocks per day.</t>
  </si>
  <si>
    <r>
      <rPr>
        <b/>
        <sz val="12"/>
        <color theme="1"/>
        <rFont val="Calibri"/>
        <family val="2"/>
        <scheme val="minor"/>
      </rPr>
      <t>Minimum Estimated Need (Administered with Caching):</t>
    </r>
    <r>
      <rPr>
        <sz val="12"/>
        <color theme="1"/>
        <rFont val="Calibri"/>
        <family val="2"/>
        <scheme val="minor"/>
      </rPr>
      <t xml:space="preserve"> Bandwidth per Test Block at Target Device Capacity (in kbps)</t>
    </r>
  </si>
  <si>
    <r>
      <t>Additional Bandwidth Needed to Meet Target Device Capacity</t>
    </r>
    <r>
      <rPr>
        <b/>
        <sz val="12"/>
        <color rgb="FF000000"/>
        <rFont val="Calibri"/>
        <family val="2"/>
        <scheme val="minor"/>
      </rPr>
      <t xml:space="preserve"> (Administered Using Caching)</t>
    </r>
  </si>
  <si>
    <r>
      <t xml:space="preserve">Additional Bandwidth Needed to Meet Target Device Capacity </t>
    </r>
    <r>
      <rPr>
        <b/>
        <sz val="12"/>
        <color rgb="FF000000"/>
        <rFont val="Calibri"/>
        <family val="2"/>
        <scheme val="minor"/>
      </rPr>
      <t>(Administered Online)</t>
    </r>
  </si>
  <si>
    <r>
      <rPr>
        <b/>
        <sz val="12"/>
        <color theme="1"/>
        <rFont val="Calibri"/>
        <family val="2"/>
        <scheme val="minor"/>
      </rPr>
      <t>Maximum Estimated Need (Administered Online):</t>
    </r>
    <r>
      <rPr>
        <sz val="12"/>
        <color theme="1"/>
        <rFont val="Calibri"/>
        <family val="2"/>
        <scheme val="minor"/>
      </rPr>
      <t xml:space="preserve"> Bandwidth per Test Block at Target Device Capacity (in kbps)</t>
    </r>
  </si>
  <si>
    <t>Minimum number of devices need to support the target number of administration days</t>
  </si>
  <si>
    <t>Additional devices needed to meet the target number of administration days</t>
  </si>
  <si>
    <t>Capacity Gap in Days</t>
  </si>
  <si>
    <t>Run calculations using the PARCC estimate of a 20-day maximum                                   OR                                            Use a different number of administration days (for example, states or districts may establish different requirements)</t>
  </si>
  <si>
    <t>Students per device based on data entered by the school</t>
  </si>
  <si>
    <t>Enter information about the school's average connection speed to the Internet (total kbps as reported by your Internet Service Provider or district technology office):</t>
  </si>
  <si>
    <t xml:space="preserve">Additional Devices Needed to Meet Target Ratio </t>
  </si>
  <si>
    <t>Students per device for all tested grades</t>
  </si>
  <si>
    <t>Enter your preferred number of administration days to be used in calculating planning models (PARCC maximum = 20 days, PARCC minimum = 5 days. States or districts may set different requirements.)</t>
  </si>
  <si>
    <t>Enter information about the school's average connection speed to the Internet in total kbps.</t>
  </si>
  <si>
    <t xml:space="preserve">Partnership for Assessment of Readiness for College and Careers (PARCC) </t>
  </si>
  <si>
    <t>Assessment Capacity Planning Tool</t>
  </si>
  <si>
    <t>Release Version 1: March 5, 2013</t>
  </si>
  <si>
    <t>SMALL ELEMENTARY SCHOOL EXAMPLE</t>
  </si>
  <si>
    <t>LARGE HIGH SCHOOL EXAMPLE</t>
  </si>
  <si>
    <t>Input fields to be completed by school</t>
  </si>
  <si>
    <t>Background data values and/or interim calculations</t>
  </si>
  <si>
    <t>Calculated capacity planning data</t>
  </si>
  <si>
    <r>
      <t>1.</t>
    </r>
    <r>
      <rPr>
        <sz val="7"/>
        <color theme="1"/>
        <rFont val="Times New Roman"/>
      </rPr>
      <t xml:space="preserve">     </t>
    </r>
    <r>
      <rPr>
        <b/>
        <sz val="12"/>
        <color theme="1"/>
        <rFont val="Calibri"/>
      </rPr>
      <t>Number of Sessions:</t>
    </r>
    <r>
      <rPr>
        <sz val="12"/>
        <color theme="1"/>
        <rFont val="Calibri"/>
      </rPr>
      <t xml:space="preserve"> PARCC assessments will be administered in a total of nine sessions.</t>
    </r>
    <r>
      <rPr>
        <b/>
        <sz val="12"/>
        <color theme="1"/>
        <rFont val="Calibri"/>
      </rPr>
      <t xml:space="preserve">  </t>
    </r>
    <r>
      <rPr>
        <sz val="12"/>
        <color theme="1"/>
        <rFont val="Calibri"/>
      </rPr>
      <t xml:space="preserve">At each grade level the </t>
    </r>
    <r>
      <rPr>
        <b/>
        <sz val="12"/>
        <color rgb="FF31849B"/>
        <rFont val="Calibri"/>
      </rPr>
      <t xml:space="preserve">Performance Based Assessment component will require </t>
    </r>
    <r>
      <rPr>
        <b/>
        <u/>
        <sz val="12"/>
        <color rgb="FF31849B"/>
        <rFont val="Calibri"/>
      </rPr>
      <t>five sessions</t>
    </r>
    <r>
      <rPr>
        <sz val="12"/>
        <color theme="1"/>
        <rFont val="Calibri"/>
      </rPr>
      <t xml:space="preserve"> – three sessions for ELA/literacy and two sessions for mathematics.  The </t>
    </r>
    <r>
      <rPr>
        <b/>
        <sz val="12"/>
        <color rgb="FF31849B"/>
        <rFont val="Calibri"/>
      </rPr>
      <t xml:space="preserve">End of Year Assessment component at each grade level will require </t>
    </r>
    <r>
      <rPr>
        <b/>
        <u/>
        <sz val="12"/>
        <color rgb="FF31849B"/>
        <rFont val="Calibri"/>
      </rPr>
      <t>four sessions</t>
    </r>
    <r>
      <rPr>
        <sz val="12"/>
        <color theme="1"/>
        <rFont val="Calibri"/>
      </rPr>
      <t xml:space="preserve"> – two sessions for ELA/literacy and two sessions for mathematics.  </t>
    </r>
  </si>
  <si>
    <t>(PARCC encourages schools to run a trusted speed test tool to generate this estimate. More information is provided in the Capacity Planning Tool Users' Guide. Alternately, schools my use as an estimate the connectivity as reported by your Internet Service Provider or district technology office):</t>
  </si>
  <si>
    <r>
      <t xml:space="preserve">The estimated output values calculated by the </t>
    </r>
    <r>
      <rPr>
        <i/>
        <sz val="12"/>
        <color theme="1"/>
        <rFont val="Calibri"/>
      </rPr>
      <t>Assessment Administration Capacity Planning Tool</t>
    </r>
    <r>
      <rPr>
        <sz val="12"/>
        <color theme="1"/>
        <rFont val="Calibri"/>
      </rPr>
      <t xml:space="preserve"> are based on the following assumptions:</t>
    </r>
  </si>
  <si>
    <r>
      <t>2.</t>
    </r>
    <r>
      <rPr>
        <sz val="7"/>
        <color theme="1"/>
        <rFont val="Times New Roman"/>
      </rPr>
      <t xml:space="preserve">     </t>
    </r>
    <r>
      <rPr>
        <b/>
        <sz val="12"/>
        <color theme="1"/>
        <rFont val="Calibri"/>
      </rPr>
      <t>Maximum Testing Window:</t>
    </r>
    <r>
      <rPr>
        <sz val="12"/>
        <color theme="1"/>
        <rFont val="Calibri"/>
      </rPr>
      <t xml:space="preserve"> Schools will have a </t>
    </r>
    <r>
      <rPr>
        <b/>
        <sz val="12"/>
        <color rgb="FF0091B2"/>
        <rFont val="Calibri"/>
      </rPr>
      <t>maximum of</t>
    </r>
    <r>
      <rPr>
        <sz val="12"/>
        <color rgb="FF0091B2"/>
        <rFont val="Calibri"/>
      </rPr>
      <t xml:space="preserve"> </t>
    </r>
    <r>
      <rPr>
        <b/>
        <u/>
        <sz val="12"/>
        <color rgb="FF0091B2"/>
        <rFont val="Calibri"/>
      </rPr>
      <t>20 school days</t>
    </r>
    <r>
      <rPr>
        <b/>
        <sz val="12"/>
        <color rgb="FF0091B2"/>
        <rFont val="Calibri"/>
      </rPr>
      <t xml:space="preserve"> to administer the Performance Based Assessment (PBA) components for ELA/literacy and mathematics and a maximum of </t>
    </r>
    <r>
      <rPr>
        <b/>
        <u/>
        <sz val="12"/>
        <color rgb="FF0091B2"/>
        <rFont val="Calibri"/>
      </rPr>
      <t>20 school days</t>
    </r>
    <r>
      <rPr>
        <b/>
        <sz val="12"/>
        <color rgb="FF0091B2"/>
        <rFont val="Calibri"/>
      </rPr>
      <t xml:space="preserve"> to administer the End of Year Assessment components (EOY) for ELA/literacy and mathematics</t>
    </r>
    <r>
      <rPr>
        <b/>
        <sz val="12"/>
        <color rgb="FF31849B"/>
        <rFont val="Calibri"/>
      </rPr>
      <t xml:space="preserve">. </t>
    </r>
    <r>
      <rPr>
        <sz val="12"/>
        <color theme="1"/>
        <rFont val="Calibri"/>
      </rPr>
      <t xml:space="preserve"> It is important to note; however, that while the testing windows will span 20 days for each component, schools will be able to complete administration of the tests in fewer days, if they have sufficient capacity to administer computer-based assessments to large numbers of students simultaneously.  </t>
    </r>
  </si>
  <si>
    <r>
      <t>3.</t>
    </r>
    <r>
      <rPr>
        <sz val="7"/>
        <color theme="1"/>
        <rFont val="Times New Roman"/>
      </rPr>
      <t xml:space="preserve">     </t>
    </r>
    <r>
      <rPr>
        <b/>
        <sz val="12"/>
        <color theme="1"/>
        <rFont val="Calibri"/>
      </rPr>
      <t>Testing Window Minimum:</t>
    </r>
    <r>
      <rPr>
        <sz val="12"/>
        <color theme="1"/>
        <rFont val="Calibri"/>
      </rPr>
      <t xml:space="preserve"> While PARCC’s test administration policies are not yet finalized, the </t>
    </r>
    <r>
      <rPr>
        <i/>
        <sz val="12"/>
        <color theme="1"/>
        <rFont val="Calibri"/>
      </rPr>
      <t>Assessment Administration Capacity Planning Tool</t>
    </r>
    <r>
      <rPr>
        <sz val="12"/>
        <color theme="1"/>
        <rFont val="Calibri"/>
      </rPr>
      <t xml:space="preserve"> uses the assumption that each individual student will not take more than one session per day. Therefore, the default </t>
    </r>
    <r>
      <rPr>
        <b/>
        <sz val="12"/>
        <color rgb="FF31849B"/>
        <rFont val="Calibri"/>
      </rPr>
      <t xml:space="preserve">minimum testing window in the Planning Tool is </t>
    </r>
    <r>
      <rPr>
        <b/>
        <u/>
        <sz val="12"/>
        <color rgb="FF31849B"/>
        <rFont val="Calibri"/>
      </rPr>
      <t xml:space="preserve">5 school days for </t>
    </r>
    <r>
      <rPr>
        <b/>
        <sz val="12"/>
        <color rgb="FF31849B"/>
        <rFont val="Calibri"/>
      </rPr>
      <t xml:space="preserve">the Performance Based Assessment (PBA) components and </t>
    </r>
    <r>
      <rPr>
        <b/>
        <u/>
        <sz val="12"/>
        <color rgb="FF31849B"/>
        <rFont val="Calibri"/>
      </rPr>
      <t>5 school days</t>
    </r>
    <r>
      <rPr>
        <b/>
        <sz val="12"/>
        <color rgb="FF31849B"/>
        <rFont val="Calibri"/>
      </rPr>
      <t xml:space="preserve"> for the End of Year Assessment components (EOY). </t>
    </r>
  </si>
  <si>
    <r>
      <t>4.</t>
    </r>
    <r>
      <rPr>
        <sz val="7"/>
        <color theme="1"/>
        <rFont val="Times New Roman"/>
      </rPr>
      <t xml:space="preserve">     </t>
    </r>
    <r>
      <rPr>
        <b/>
        <sz val="12"/>
        <color theme="1"/>
        <rFont val="Calibri"/>
      </rPr>
      <t>Bandwidth Demand of Test Sessions:</t>
    </r>
    <r>
      <rPr>
        <sz val="12"/>
        <color theme="1"/>
        <rFont val="Calibri"/>
      </rPr>
      <t xml:space="preserve">  The final bandwidth requirements for PARCC assessments have not yet be determined, and are dependent on PARCC’s development of next generation assessment items and the technology platform to deliver them. PARCC anticipates the release final bandwidth requirements by October 2013. For the purposes of the </t>
    </r>
    <r>
      <rPr>
        <i/>
        <sz val="12"/>
        <color theme="1"/>
        <rFont val="Calibri"/>
      </rPr>
      <t>Assessment Administration Capacity Planning Tool</t>
    </r>
    <r>
      <rPr>
        <sz val="12"/>
        <color theme="1"/>
        <rFont val="Calibri"/>
      </rPr>
      <t xml:space="preserve">, the calculations use levels that are at the high end of industry averages for technology and media rich online assessments:  a maximum bandwidth demand of </t>
    </r>
    <r>
      <rPr>
        <b/>
        <u/>
        <sz val="12"/>
        <color rgb="FF31849B"/>
        <rFont val="Calibri"/>
      </rPr>
      <t>100 kbps</t>
    </r>
    <r>
      <rPr>
        <b/>
        <sz val="12"/>
        <color rgb="FF31849B"/>
        <rFont val="Calibri"/>
      </rPr>
      <t xml:space="preserve"> for online administration</t>
    </r>
    <r>
      <rPr>
        <sz val="12"/>
        <color theme="1"/>
        <rFont val="Calibri"/>
      </rPr>
      <t xml:space="preserve"> where students maintain an active connection to the Internet throughout the test, and </t>
    </r>
    <r>
      <rPr>
        <b/>
        <u/>
        <sz val="12"/>
        <color rgb="FF31849B"/>
        <rFont val="Calibri"/>
      </rPr>
      <t>30 kpbs</t>
    </r>
    <r>
      <rPr>
        <b/>
        <sz val="12"/>
        <color rgb="FF31849B"/>
        <rFont val="Calibri"/>
      </rPr>
      <t xml:space="preserve"> for administration of tests using caching </t>
    </r>
    <r>
      <rPr>
        <sz val="12"/>
        <color rgb="FF31849B"/>
        <rFont val="Calibri"/>
      </rPr>
      <t>approaches</t>
    </r>
    <r>
      <rPr>
        <b/>
        <sz val="12"/>
        <color rgb="FF31849B"/>
        <rFont val="Calibri"/>
      </rPr>
      <t xml:space="preserve"> </t>
    </r>
    <r>
      <rPr>
        <sz val="12"/>
        <color theme="1"/>
        <rFont val="Calibri"/>
      </rPr>
      <t>(browser or proctor caching) that have much lower per student bandwidth demands.  PARCC’s final bandwidth requirements may be lower than the estimated values used in the Capacity Planning Tool, but are not likely to be greater than 100 kbps (online) / 30 kbps (caching); therefore schools can consider the estimates generated by the Capacity Planning Tool to be conservative approximations for general planning purposes.</t>
    </r>
  </si>
  <si>
    <r>
      <t>ASSUMPTIONS</t>
    </r>
    <r>
      <rPr>
        <sz val="18"/>
        <color theme="1"/>
        <rFont val="Calibri"/>
      </rPr>
      <t xml:space="preserve"> </t>
    </r>
    <r>
      <rPr>
        <b/>
        <sz val="18"/>
        <color rgb="FF0091B2"/>
        <rFont val="Calibri"/>
      </rPr>
      <t>USED IN THE PARCC ASSESSMENT ADMINISTRATION CAPACITY PLANNING TOOL</t>
    </r>
  </si>
  <si>
    <r>
      <rPr>
        <b/>
        <sz val="12"/>
        <color theme="8" tint="-0.249977111117893"/>
        <rFont val="Calibri"/>
        <scheme val="minor"/>
      </rPr>
      <t>PLEASE NOTE:</t>
    </r>
    <r>
      <rPr>
        <b/>
        <sz val="12"/>
        <color rgb="FF000000"/>
        <rFont val="Calibri"/>
        <family val="2"/>
        <scheme val="minor"/>
      </rPr>
      <t xml:space="preserve">  This document is for planning purposes only, to provide estimated values of high level assessment capacity calculations. The estimated specifications and other assumptions used in this tool are subject to change.</t>
    </r>
  </si>
  <si>
    <r>
      <t xml:space="preserve">Please refer to the </t>
    </r>
    <r>
      <rPr>
        <b/>
        <sz val="12"/>
        <color theme="7" tint="-0.249977111117893"/>
        <rFont val="Calibri"/>
        <scheme val="minor"/>
      </rPr>
      <t>Assumptions Tab</t>
    </r>
    <r>
      <rPr>
        <sz val="12"/>
        <color rgb="FF000000"/>
        <rFont val="Calibri"/>
        <family val="2"/>
        <scheme val="minor"/>
      </rPr>
      <t xml:space="preserve"> and the Users' Guide to the Assessment Administration Capacity Planning Tool for more information and assistance in using and interpreting the Planning Tool.</t>
    </r>
  </si>
  <si>
    <t>At the largest grade level:                     2 students per device</t>
  </si>
  <si>
    <t>At the largest grade level:                                           1 student per device</t>
  </si>
  <si>
    <r>
      <t>Note:</t>
    </r>
    <r>
      <rPr>
        <sz val="10"/>
        <color theme="1"/>
        <rFont val="Calibri"/>
      </rPr>
      <t xml:space="preserve"> Average bandwidth demands of common school technology activities derived from those used by the State Educational Technology Directors Association in their 2012 report </t>
    </r>
    <r>
      <rPr>
        <i/>
        <sz val="10"/>
        <color theme="1"/>
        <rFont val="Calibri"/>
      </rPr>
      <t>The Broadband Imperative</t>
    </r>
    <r>
      <rPr>
        <sz val="10"/>
        <color theme="1"/>
        <rFont val="Calibri"/>
      </rPr>
      <t>, as well as SETDA’s original source -- the School 2.0 Bandwidth Calculator (http://etoolkit.org/etoolkit/bandwidth_calculator).</t>
    </r>
  </si>
  <si>
    <t>Computers that can be used simultaneously in classrooms or are on computer carts</t>
  </si>
  <si>
    <t>Computers that can be used simultaneously in computer labs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</si>
</sst>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_);[Red]\(0\)"/>
    <numFmt numFmtId="165" formatCode="0;[Red]0"/>
  </numFmts>
  <fonts count="42">
    <font>
      <sz val="12"/>
      <color theme="1"/>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u/>
      <sz val="12"/>
      <color theme="11"/>
      <name val="Calibri"/>
      <family val="2"/>
      <scheme val="minor"/>
    </font>
    <font>
      <sz val="12"/>
      <name val="Calibri"/>
      <scheme val="minor"/>
    </font>
    <font>
      <sz val="16"/>
      <color theme="0"/>
      <name val="Calibri"/>
      <scheme val="minor"/>
    </font>
    <font>
      <sz val="12"/>
      <color rgb="FFFF0000"/>
      <name val="Calibri"/>
      <family val="2"/>
      <scheme val="minor"/>
    </font>
    <font>
      <sz val="12"/>
      <color rgb="FF000000"/>
      <name val="Calibri"/>
      <family val="2"/>
      <scheme val="minor"/>
    </font>
    <font>
      <b/>
      <sz val="14"/>
      <color theme="0"/>
      <name val="Calibri"/>
      <scheme val="minor"/>
    </font>
    <font>
      <b/>
      <sz val="18"/>
      <color rgb="FFFF0000"/>
      <name val="Calibri"/>
      <scheme val="minor"/>
    </font>
    <font>
      <sz val="12"/>
      <color rgb="FF0000FF"/>
      <name val="Calibri"/>
      <scheme val="minor"/>
    </font>
    <font>
      <b/>
      <sz val="12"/>
      <color rgb="FF000000"/>
      <name val="Calibri"/>
      <family val="2"/>
      <scheme val="minor"/>
    </font>
    <font>
      <sz val="20"/>
      <color theme="0"/>
      <name val="Calibri"/>
      <scheme val="minor"/>
    </font>
    <font>
      <sz val="16"/>
      <name val="Calibri"/>
      <scheme val="minor"/>
    </font>
    <font>
      <b/>
      <sz val="12"/>
      <color theme="0" tint="-0.499984740745262"/>
      <name val="Calibri"/>
      <scheme val="minor"/>
    </font>
    <font>
      <sz val="14"/>
      <color theme="0"/>
      <name val="Calibri"/>
      <scheme val="minor"/>
    </font>
    <font>
      <b/>
      <sz val="14"/>
      <name val="Calibri"/>
      <scheme val="minor"/>
    </font>
    <font>
      <b/>
      <sz val="20"/>
      <color theme="0"/>
      <name val="Calibri"/>
      <scheme val="minor"/>
    </font>
    <font>
      <b/>
      <sz val="18"/>
      <color rgb="FF000000"/>
      <name val="Calibri"/>
      <scheme val="minor"/>
    </font>
    <font>
      <b/>
      <sz val="18"/>
      <color rgb="FF808080"/>
      <name val="Calibri"/>
      <scheme val="minor"/>
    </font>
    <font>
      <b/>
      <sz val="26"/>
      <color rgb="FFFF0000"/>
      <name val="Calibri"/>
      <scheme val="minor"/>
    </font>
    <font>
      <sz val="12"/>
      <color theme="1"/>
      <name val="Calibri"/>
    </font>
    <font>
      <sz val="7"/>
      <color theme="1"/>
      <name val="Times New Roman"/>
    </font>
    <font>
      <b/>
      <sz val="12"/>
      <color theme="1"/>
      <name val="Calibri"/>
    </font>
    <font>
      <b/>
      <sz val="12"/>
      <color rgb="FF31849B"/>
      <name val="Calibri"/>
    </font>
    <font>
      <b/>
      <u/>
      <sz val="12"/>
      <color rgb="FF31849B"/>
      <name val="Calibri"/>
    </font>
    <font>
      <b/>
      <sz val="12"/>
      <color rgb="FF0091B2"/>
      <name val="Calibri"/>
    </font>
    <font>
      <sz val="12"/>
      <color rgb="FF0091B2"/>
      <name val="Calibri"/>
    </font>
    <font>
      <b/>
      <u/>
      <sz val="12"/>
      <color rgb="FF0091B2"/>
      <name val="Calibri"/>
    </font>
    <font>
      <b/>
      <sz val="12"/>
      <color theme="8" tint="-0.249977111117893"/>
      <name val="Calibri"/>
      <scheme val="minor"/>
    </font>
    <font>
      <sz val="12"/>
      <color theme="1"/>
      <name val="Gill Sans"/>
    </font>
    <font>
      <i/>
      <sz val="12"/>
      <color theme="1"/>
      <name val="Calibri"/>
    </font>
    <font>
      <sz val="12"/>
      <color rgb="FF31849B"/>
      <name val="Calibri"/>
    </font>
    <font>
      <b/>
      <sz val="18"/>
      <color rgb="FF31849B"/>
      <name val="Calibri"/>
    </font>
    <font>
      <sz val="18"/>
      <color theme="1"/>
      <name val="Calibri"/>
    </font>
    <font>
      <b/>
      <sz val="18"/>
      <color rgb="FF0091B2"/>
      <name val="Calibri"/>
    </font>
    <font>
      <b/>
      <sz val="18"/>
      <color theme="8" tint="-0.249977111117893"/>
      <name val="Calibri"/>
      <scheme val="minor"/>
    </font>
    <font>
      <b/>
      <sz val="12"/>
      <color theme="7" tint="-0.249977111117893"/>
      <name val="Calibri"/>
      <scheme val="minor"/>
    </font>
    <font>
      <b/>
      <sz val="10"/>
      <color theme="1"/>
      <name val="Calibri"/>
    </font>
    <font>
      <sz val="10"/>
      <color theme="1"/>
      <name val="Calibri"/>
    </font>
    <font>
      <i/>
      <sz val="10"/>
      <color theme="1"/>
      <name val="Calibri"/>
    </font>
  </fonts>
  <fills count="21">
    <fill>
      <patternFill patternType="none"/>
    </fill>
    <fill>
      <patternFill patternType="gray125"/>
    </fill>
    <fill>
      <patternFill patternType="solid">
        <fgColor theme="6" tint="-0.249977111117893"/>
        <bgColor indexed="64"/>
      </patternFill>
    </fill>
    <fill>
      <patternFill patternType="solid">
        <fgColor theme="6" tint="0.39997558519241921"/>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rgb="FFC4D79B"/>
        <bgColor rgb="FF000000"/>
      </patternFill>
    </fill>
    <fill>
      <patternFill patternType="solid">
        <fgColor theme="8" tint="-0.249977111117893"/>
        <bgColor indexed="64"/>
      </patternFill>
    </fill>
    <fill>
      <patternFill patternType="solid">
        <fgColor theme="8" tint="0.59999389629810485"/>
        <bgColor indexed="64"/>
      </patternFill>
    </fill>
    <fill>
      <patternFill patternType="solid">
        <fgColor rgb="FFFFFF00"/>
        <bgColor rgb="FF000000"/>
      </patternFill>
    </fill>
    <fill>
      <patternFill patternType="solid">
        <fgColor rgb="FFBFBFBF"/>
        <bgColor rgb="FF000000"/>
      </patternFill>
    </fill>
    <fill>
      <patternFill patternType="solid">
        <fgColor theme="8" tint="0.39997558519241921"/>
        <bgColor rgb="FF000000"/>
      </patternFill>
    </fill>
    <fill>
      <patternFill patternType="solid">
        <fgColor theme="6" tint="0.79998168889431442"/>
        <bgColor indexed="64"/>
      </patternFill>
    </fill>
    <fill>
      <patternFill patternType="solid">
        <fgColor theme="6" tint="0.59999389629810485"/>
        <bgColor rgb="FF000000"/>
      </patternFill>
    </fill>
    <fill>
      <patternFill patternType="solid">
        <fgColor rgb="FF92CDDC"/>
        <bgColor rgb="FF000000"/>
      </patternFill>
    </fill>
    <fill>
      <patternFill patternType="solid">
        <fgColor rgb="FFD8E4BC"/>
        <bgColor rgb="FF000000"/>
      </patternFill>
    </fill>
    <fill>
      <patternFill patternType="solid">
        <fgColor rgb="FFB7DEE8"/>
        <bgColor rgb="FF000000"/>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rgb="FF000000"/>
      </right>
      <top style="medium">
        <color auto="1"/>
      </top>
      <bottom style="thin">
        <color auto="1"/>
      </bottom>
      <diagonal/>
    </border>
    <border>
      <left style="medium">
        <color rgb="FF000000"/>
      </left>
      <right/>
      <top style="medium">
        <color auto="1"/>
      </top>
      <bottom style="thin">
        <color auto="1"/>
      </bottom>
      <diagonal/>
    </border>
  </borders>
  <cellStyleXfs count="676">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139">
    <xf numFmtId="0" fontId="0" fillId="0" borderId="0" xfId="0"/>
    <xf numFmtId="0" fontId="0" fillId="0" borderId="0" xfId="0" applyAlignment="1">
      <alignment wrapText="1"/>
    </xf>
    <xf numFmtId="0" fontId="0" fillId="0" borderId="0" xfId="0" applyFill="1"/>
    <xf numFmtId="0" fontId="7" fillId="0" borderId="0" xfId="0" applyFont="1"/>
    <xf numFmtId="0" fontId="5" fillId="0" borderId="0" xfId="0" applyFont="1"/>
    <xf numFmtId="0" fontId="0" fillId="4" borderId="4" xfId="0" applyFill="1" applyBorder="1" applyAlignment="1">
      <alignment wrapText="1"/>
    </xf>
    <xf numFmtId="0" fontId="0" fillId="5" borderId="0" xfId="0" applyFill="1"/>
    <xf numFmtId="0" fontId="0" fillId="0" borderId="0" xfId="0" applyFill="1" applyBorder="1" applyAlignment="1">
      <alignment wrapText="1"/>
    </xf>
    <xf numFmtId="0" fontId="2" fillId="5" borderId="0" xfId="0" applyFont="1" applyFill="1"/>
    <xf numFmtId="0" fontId="0" fillId="4" borderId="1" xfId="0" applyFill="1" applyBorder="1" applyAlignment="1">
      <alignment wrapText="1"/>
    </xf>
    <xf numFmtId="0" fontId="0" fillId="0" borderId="0" xfId="0" applyAlignment="1">
      <alignment vertical="top"/>
    </xf>
    <xf numFmtId="0" fontId="1" fillId="5" borderId="0" xfId="0" applyFont="1" applyFill="1"/>
    <xf numFmtId="0" fontId="0" fillId="4" borderId="1" xfId="0" applyFill="1" applyBorder="1"/>
    <xf numFmtId="0" fontId="0" fillId="0" borderId="1" xfId="0" applyBorder="1"/>
    <xf numFmtId="0" fontId="0" fillId="2" borderId="0" xfId="0" applyFill="1"/>
    <xf numFmtId="0" fontId="9" fillId="5" borderId="0" xfId="0" applyFont="1" applyFill="1"/>
    <xf numFmtId="0" fontId="0" fillId="7" borderId="0" xfId="0" applyFill="1"/>
    <xf numFmtId="0" fontId="0" fillId="7" borderId="0" xfId="0" applyFill="1" applyBorder="1" applyAlignment="1">
      <alignment wrapText="1"/>
    </xf>
    <xf numFmtId="0" fontId="1" fillId="0" borderId="0" xfId="0" applyFont="1" applyFill="1"/>
    <xf numFmtId="0" fontId="0" fillId="0" borderId="1" xfId="0" applyFill="1" applyBorder="1" applyAlignment="1">
      <alignment wrapText="1"/>
    </xf>
    <xf numFmtId="0" fontId="2" fillId="2" borderId="0" xfId="0" applyFont="1" applyFill="1"/>
    <xf numFmtId="0" fontId="10" fillId="0" borderId="0" xfId="0" applyFont="1"/>
    <xf numFmtId="0" fontId="3" fillId="0" borderId="0" xfId="383" applyAlignment="1">
      <alignment horizontal="left" vertical="top"/>
    </xf>
    <xf numFmtId="0" fontId="11" fillId="0" borderId="0" xfId="0" applyFont="1"/>
    <xf numFmtId="0" fontId="0" fillId="7" borderId="1" xfId="0" applyFill="1" applyBorder="1"/>
    <xf numFmtId="0" fontId="0" fillId="0" borderId="0" xfId="0" applyFont="1" applyFill="1"/>
    <xf numFmtId="0" fontId="0" fillId="5" borderId="0" xfId="0" applyFont="1" applyFill="1"/>
    <xf numFmtId="0" fontId="0" fillId="11" borderId="0" xfId="0" applyFill="1"/>
    <xf numFmtId="0" fontId="0" fillId="11" borderId="0" xfId="0" applyFill="1" applyAlignment="1">
      <alignment vertical="top"/>
    </xf>
    <xf numFmtId="0" fontId="0" fillId="12" borderId="1" xfId="0" applyFill="1" applyBorder="1" applyAlignment="1">
      <alignment wrapText="1"/>
    </xf>
    <xf numFmtId="0" fontId="1" fillId="12" borderId="3" xfId="0" applyFont="1" applyFill="1" applyBorder="1" applyAlignment="1">
      <alignment wrapText="1"/>
    </xf>
    <xf numFmtId="0" fontId="1" fillId="12" borderId="1" xfId="0" applyFont="1" applyFill="1" applyBorder="1" applyAlignment="1">
      <alignment wrapText="1"/>
    </xf>
    <xf numFmtId="0" fontId="1" fillId="0" borderId="0" xfId="0" applyFont="1" applyFill="1" applyBorder="1" applyAlignment="1">
      <alignment horizontal="right" wrapText="1"/>
    </xf>
    <xf numFmtId="0" fontId="0" fillId="0" borderId="1" xfId="0" applyFill="1" applyBorder="1" applyAlignment="1"/>
    <xf numFmtId="0" fontId="0" fillId="12" borderId="1" xfId="0" applyFill="1" applyBorder="1"/>
    <xf numFmtId="0" fontId="0" fillId="6" borderId="1" xfId="0" applyFill="1" applyBorder="1"/>
    <xf numFmtId="0" fontId="13" fillId="8" borderId="0" xfId="0" applyFont="1" applyFill="1"/>
    <xf numFmtId="0" fontId="0" fillId="8" borderId="0" xfId="0" applyFill="1"/>
    <xf numFmtId="0" fontId="15" fillId="0" borderId="0" xfId="0" applyFont="1" applyFill="1"/>
    <xf numFmtId="0" fontId="0" fillId="0" borderId="1" xfId="0" applyBorder="1" applyAlignment="1">
      <alignment horizontal="center" wrapText="1"/>
    </xf>
    <xf numFmtId="0" fontId="0" fillId="0" borderId="0" xfId="0" applyAlignment="1">
      <alignment vertical="top" wrapText="1"/>
    </xf>
    <xf numFmtId="0" fontId="8" fillId="0" borderId="0" xfId="0" applyFont="1" applyFill="1" applyAlignment="1">
      <alignment wrapText="1"/>
    </xf>
    <xf numFmtId="0" fontId="0" fillId="0" borderId="2" xfId="0" applyBorder="1" applyAlignment="1">
      <alignment horizontal="center" wrapText="1"/>
    </xf>
    <xf numFmtId="0" fontId="0" fillId="0" borderId="8" xfId="0" applyBorder="1" applyAlignment="1">
      <alignment horizontal="center" wrapText="1"/>
    </xf>
    <xf numFmtId="165" fontId="0" fillId="0" borderId="0" xfId="0" applyNumberFormat="1" applyBorder="1"/>
    <xf numFmtId="164" fontId="0" fillId="0" borderId="0" xfId="0" applyNumberFormat="1" applyBorder="1"/>
    <xf numFmtId="165" fontId="0" fillId="0" borderId="0" xfId="0" applyNumberFormat="1"/>
    <xf numFmtId="164" fontId="0" fillId="6" borderId="1" xfId="0" applyNumberFormat="1" applyFill="1" applyBorder="1"/>
    <xf numFmtId="0" fontId="0" fillId="0" borderId="0" xfId="0" applyFont="1"/>
    <xf numFmtId="0" fontId="15" fillId="0" borderId="0" xfId="0" applyFont="1"/>
    <xf numFmtId="0" fontId="12" fillId="13" borderId="10" xfId="0" applyFont="1" applyFill="1" applyBorder="1"/>
    <xf numFmtId="0" fontId="8" fillId="14" borderId="9" xfId="0" applyFont="1" applyFill="1" applyBorder="1"/>
    <xf numFmtId="0" fontId="8" fillId="14" borderId="10" xfId="0" applyFont="1" applyFill="1" applyBorder="1" applyAlignment="1">
      <alignment wrapText="1"/>
    </xf>
    <xf numFmtId="0" fontId="1" fillId="0" borderId="0" xfId="0" applyFont="1" applyAlignment="1">
      <alignment wrapText="1"/>
    </xf>
    <xf numFmtId="0" fontId="16" fillId="2" borderId="0" xfId="0" applyFont="1" applyFill="1"/>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11"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17" fillId="5" borderId="0" xfId="0" applyFont="1" applyFill="1" applyAlignment="1">
      <alignment horizontal="left" wrapText="1"/>
    </xf>
    <xf numFmtId="0" fontId="5" fillId="5" borderId="1" xfId="0" applyFont="1" applyFill="1" applyBorder="1" applyAlignment="1">
      <alignment horizontal="center" wrapText="1"/>
    </xf>
    <xf numFmtId="0" fontId="0" fillId="2" borderId="0" xfId="0" applyFill="1" applyAlignment="1">
      <alignment wrapText="1"/>
    </xf>
    <xf numFmtId="0" fontId="0" fillId="0" borderId="0" xfId="0" applyFill="1" applyAlignment="1">
      <alignment wrapText="1"/>
    </xf>
    <xf numFmtId="165" fontId="7" fillId="0" borderId="1" xfId="0" applyNumberFormat="1" applyFont="1" applyBorder="1"/>
    <xf numFmtId="165" fontId="0" fillId="0" borderId="1" xfId="0" applyNumberFormat="1" applyBorder="1" applyAlignment="1">
      <alignment wrapText="1"/>
    </xf>
    <xf numFmtId="165" fontId="0" fillId="0" borderId="1" xfId="0" applyNumberFormat="1" applyBorder="1"/>
    <xf numFmtId="0" fontId="0" fillId="0" borderId="1" xfId="0" applyBorder="1" applyAlignment="1">
      <alignment wrapText="1"/>
    </xf>
    <xf numFmtId="0" fontId="8" fillId="10" borderId="1" xfId="0" applyFont="1" applyFill="1" applyBorder="1" applyAlignment="1">
      <alignment wrapText="1"/>
    </xf>
    <xf numFmtId="0" fontId="8" fillId="0" borderId="1" xfId="0" applyFont="1" applyFill="1" applyBorder="1" applyAlignment="1">
      <alignment wrapText="1"/>
    </xf>
    <xf numFmtId="0" fontId="0" fillId="9" borderId="1" xfId="0" applyFill="1" applyBorder="1"/>
    <xf numFmtId="0" fontId="0" fillId="0" borderId="5" xfId="0" applyFill="1" applyBorder="1" applyAlignment="1">
      <alignment horizontal="left"/>
    </xf>
    <xf numFmtId="0" fontId="0" fillId="0" borderId="4" xfId="0" applyFill="1" applyBorder="1" applyAlignment="1">
      <alignment horizontal="left"/>
    </xf>
    <xf numFmtId="0" fontId="5" fillId="3" borderId="5" xfId="0" applyFont="1" applyFill="1" applyBorder="1" applyAlignment="1">
      <alignment horizontal="center" vertical="center"/>
    </xf>
    <xf numFmtId="0" fontId="2" fillId="8" borderId="5" xfId="0" applyFont="1" applyFill="1" applyBorder="1" applyAlignment="1">
      <alignment horizontal="center" vertical="center"/>
    </xf>
    <xf numFmtId="0" fontId="0" fillId="0" borderId="5" xfId="0" applyFill="1" applyBorder="1" applyAlignment="1">
      <alignment horizontal="left"/>
    </xf>
    <xf numFmtId="0" fontId="0" fillId="0" borderId="4" xfId="0" applyFill="1" applyBorder="1" applyAlignment="1">
      <alignment horizontal="left"/>
    </xf>
    <xf numFmtId="0" fontId="7" fillId="0" borderId="0" xfId="0" applyFont="1" applyFill="1"/>
    <xf numFmtId="0" fontId="16" fillId="0" borderId="0" xfId="0" applyFont="1" applyFill="1"/>
    <xf numFmtId="0" fontId="18" fillId="11" borderId="0" xfId="0" applyFont="1" applyFill="1"/>
    <xf numFmtId="0" fontId="1" fillId="0" borderId="0" xfId="0" applyFont="1" applyAlignment="1">
      <alignment vertical="top" wrapText="1"/>
    </xf>
    <xf numFmtId="0" fontId="8" fillId="17" borderId="1" xfId="0" applyFont="1" applyFill="1" applyBorder="1" applyAlignment="1">
      <alignment wrapText="1"/>
    </xf>
    <xf numFmtId="0" fontId="5" fillId="4" borderId="1" xfId="0" applyFont="1" applyFill="1" applyBorder="1"/>
    <xf numFmtId="165" fontId="0" fillId="0" borderId="1" xfId="0" applyNumberFormat="1" applyBorder="1" applyAlignment="1">
      <alignment horizontal="left"/>
    </xf>
    <xf numFmtId="165" fontId="0" fillId="0" borderId="0" xfId="0" applyNumberFormat="1" applyAlignment="1">
      <alignment wrapText="1"/>
    </xf>
    <xf numFmtId="0" fontId="7" fillId="0" borderId="0" xfId="0" applyFont="1" applyFill="1" applyBorder="1"/>
    <xf numFmtId="0" fontId="5" fillId="3" borderId="1" xfId="0" applyFont="1" applyFill="1" applyBorder="1" applyAlignment="1">
      <alignment horizontal="center" vertical="center"/>
    </xf>
    <xf numFmtId="0" fontId="0" fillId="0" borderId="5" xfId="0" applyFill="1" applyBorder="1" applyAlignment="1">
      <alignment horizontal="left"/>
    </xf>
    <xf numFmtId="0" fontId="0" fillId="0" borderId="4" xfId="0" applyFill="1" applyBorder="1" applyAlignment="1">
      <alignment horizontal="left"/>
    </xf>
    <xf numFmtId="0" fontId="0" fillId="4" borderId="4" xfId="0" applyFill="1" applyBorder="1" applyAlignment="1" applyProtection="1">
      <alignment wrapText="1"/>
      <protection locked="0"/>
    </xf>
    <xf numFmtId="0" fontId="12" fillId="13" borderId="10" xfId="0" applyFont="1" applyFill="1" applyBorder="1" applyProtection="1">
      <protection locked="0"/>
    </xf>
    <xf numFmtId="0" fontId="5" fillId="4" borderId="1" xfId="0" applyFont="1" applyFill="1" applyBorder="1" applyProtection="1">
      <protection locked="0"/>
    </xf>
    <xf numFmtId="0" fontId="0" fillId="4" borderId="1" xfId="0" applyFill="1" applyBorder="1" applyAlignment="1" applyProtection="1">
      <alignment wrapText="1"/>
      <protection locked="0"/>
    </xf>
    <xf numFmtId="0" fontId="0" fillId="4" borderId="1" xfId="0" applyFill="1" applyBorder="1" applyProtection="1">
      <protection locked="0"/>
    </xf>
    <xf numFmtId="0" fontId="0" fillId="0" borderId="1" xfId="0" applyBorder="1" applyAlignment="1">
      <alignment vertical="top" wrapText="1"/>
    </xf>
    <xf numFmtId="0" fontId="12" fillId="18" borderId="0" xfId="0" applyFont="1" applyFill="1"/>
    <xf numFmtId="0" fontId="8" fillId="0" borderId="0" xfId="0" applyFont="1"/>
    <xf numFmtId="0" fontId="12" fillId="0" borderId="0" xfId="0" applyFont="1" applyAlignment="1">
      <alignment horizontal="left" vertical="top"/>
    </xf>
    <xf numFmtId="0" fontId="19" fillId="0" borderId="0" xfId="0" applyFont="1"/>
    <xf numFmtId="0" fontId="20" fillId="0" borderId="0" xfId="0" applyFont="1"/>
    <xf numFmtId="0" fontId="8" fillId="13" borderId="0" xfId="0" applyFont="1" applyFill="1"/>
    <xf numFmtId="0" fontId="8" fillId="14" borderId="0" xfId="0" applyFont="1" applyFill="1"/>
    <xf numFmtId="0" fontId="8" fillId="19" borderId="0" xfId="0" applyFont="1" applyFill="1"/>
    <xf numFmtId="0" fontId="8" fillId="0" borderId="0" xfId="0" applyFont="1" applyAlignment="1">
      <alignment horizontal="left" vertical="top" wrapText="1"/>
    </xf>
    <xf numFmtId="0" fontId="21" fillId="0" borderId="0" xfId="0" applyFont="1"/>
    <xf numFmtId="0" fontId="21" fillId="0" borderId="0" xfId="0" applyFont="1" applyAlignment="1">
      <alignment vertical="center"/>
    </xf>
    <xf numFmtId="0" fontId="22" fillId="0" borderId="0" xfId="0" applyFont="1" applyAlignment="1">
      <alignment horizontal="left" vertical="top" wrapText="1"/>
    </xf>
    <xf numFmtId="0" fontId="31" fillId="0" borderId="0" xfId="0" applyFont="1" applyAlignment="1">
      <alignment vertical="center" wrapText="1"/>
    </xf>
    <xf numFmtId="0" fontId="22" fillId="0" borderId="0" xfId="0" applyFont="1" applyAlignment="1">
      <alignment vertical="center" wrapText="1"/>
    </xf>
    <xf numFmtId="0" fontId="22" fillId="0" borderId="0" xfId="0" applyFont="1" applyAlignment="1">
      <alignment horizontal="left" vertical="center" wrapText="1" indent="1"/>
    </xf>
    <xf numFmtId="0" fontId="34" fillId="0" borderId="0" xfId="0" applyFont="1" applyAlignment="1">
      <alignment vertical="center"/>
    </xf>
    <xf numFmtId="0" fontId="37" fillId="0" borderId="0" xfId="0" applyFont="1"/>
    <xf numFmtId="0" fontId="12" fillId="20" borderId="9" xfId="0" applyFont="1" applyFill="1" applyBorder="1" applyAlignment="1">
      <alignment wrapText="1"/>
    </xf>
    <xf numFmtId="0" fontId="8" fillId="0" borderId="0" xfId="0" applyFont="1" applyAlignment="1">
      <alignment horizontal="center"/>
    </xf>
    <xf numFmtId="0" fontId="39" fillId="0" borderId="0" xfId="0" applyFont="1" applyAlignment="1">
      <alignment horizontal="left" vertical="center" wrapText="1"/>
    </xf>
    <xf numFmtId="0" fontId="0" fillId="0" borderId="5" xfId="0" applyFill="1" applyBorder="1" applyAlignment="1">
      <alignment horizontal="left"/>
    </xf>
    <xf numFmtId="0" fontId="0" fillId="0" borderId="4" xfId="0" applyFill="1" applyBorder="1" applyAlignment="1">
      <alignment horizontal="left"/>
    </xf>
    <xf numFmtId="0" fontId="8" fillId="15" borderId="5" xfId="0" applyFont="1" applyFill="1" applyBorder="1" applyAlignment="1">
      <alignment horizontal="center" vertical="center" wrapText="1"/>
    </xf>
    <xf numFmtId="0" fontId="8" fillId="15" borderId="4" xfId="0" applyFont="1" applyFill="1" applyBorder="1" applyAlignment="1">
      <alignment horizontal="center" vertical="center" wrapText="1"/>
    </xf>
    <xf numFmtId="0" fontId="9" fillId="5" borderId="0" xfId="0" applyFont="1" applyFill="1" applyAlignment="1">
      <alignment horizontal="left" wrapText="1"/>
    </xf>
    <xf numFmtId="0" fontId="0" fillId="12" borderId="5" xfId="0" applyFill="1" applyBorder="1" applyAlignment="1">
      <alignment horizontal="left" wrapText="1"/>
    </xf>
    <xf numFmtId="0" fontId="0" fillId="12" borderId="4" xfId="0" applyFill="1" applyBorder="1" applyAlignment="1">
      <alignment horizontal="left" wrapText="1"/>
    </xf>
    <xf numFmtId="0" fontId="0" fillId="5" borderId="0" xfId="0" applyFont="1" applyFill="1" applyAlignment="1">
      <alignment horizontal="center" wrapText="1"/>
    </xf>
    <xf numFmtId="0" fontId="2" fillId="8" borderId="6"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5" fillId="16" borderId="13" xfId="0" applyFont="1" applyFill="1" applyBorder="1" applyAlignment="1">
      <alignment horizontal="center" vertical="center" wrapText="1"/>
    </xf>
    <xf numFmtId="0" fontId="5" fillId="16" borderId="14" xfId="0" applyFont="1" applyFill="1" applyBorder="1" applyAlignment="1">
      <alignment horizontal="center" vertical="center" wrapText="1"/>
    </xf>
    <xf numFmtId="0" fontId="0" fillId="16" borderId="13" xfId="0" applyFill="1" applyBorder="1" applyAlignment="1">
      <alignment horizontal="center" wrapText="1"/>
    </xf>
    <xf numFmtId="0" fontId="0" fillId="16" borderId="14" xfId="0" applyFill="1" applyBorder="1" applyAlignment="1">
      <alignment horizontal="center" wrapText="1"/>
    </xf>
    <xf numFmtId="0" fontId="12" fillId="0" borderId="0" xfId="0" applyFont="1" applyAlignment="1">
      <alignment horizontal="left" vertical="top" wrapText="1"/>
    </xf>
    <xf numFmtId="0" fontId="8" fillId="0" borderId="0" xfId="0" applyFont="1" applyAlignment="1">
      <alignment horizontal="left" vertical="top" wrapText="1" shrinkToFit="1"/>
    </xf>
    <xf numFmtId="0" fontId="14" fillId="2" borderId="0" xfId="0" applyFont="1" applyFill="1" applyAlignment="1">
      <alignment horizontal="center" vertical="center" wrapText="1"/>
    </xf>
    <xf numFmtId="0" fontId="6" fillId="8" borderId="0" xfId="0" applyFont="1" applyFill="1" applyBorder="1" applyAlignment="1">
      <alignment horizontal="center"/>
    </xf>
    <xf numFmtId="0" fontId="5" fillId="10" borderId="6"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5" fillId="10" borderId="16"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8" fillId="18" borderId="0" xfId="0" applyFont="1" applyFill="1" applyAlignment="1">
      <alignment horizontal="center" wrapText="1"/>
    </xf>
  </cellXfs>
  <cellStyles count="67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Followed Hyperlink" xfId="596" builtinId="9" hidden="1"/>
    <cellStyle name="Followed Hyperlink" xfId="597" builtinId="9" hidden="1"/>
    <cellStyle name="Followed Hyperlink" xfId="598" builtinId="9" hidden="1"/>
    <cellStyle name="Followed Hyperlink" xfId="599" builtinId="9" hidden="1"/>
    <cellStyle name="Followed Hyperlink" xfId="600" builtinId="9" hidden="1"/>
    <cellStyle name="Followed Hyperlink" xfId="601" builtinId="9" hidden="1"/>
    <cellStyle name="Followed Hyperlink" xfId="602" builtinId="9" hidden="1"/>
    <cellStyle name="Followed Hyperlink" xfId="603" builtinId="9" hidden="1"/>
    <cellStyle name="Followed Hyperlink" xfId="604" builtinId="9" hidden="1"/>
    <cellStyle name="Followed Hyperlink" xfId="605" builtinId="9" hidden="1"/>
    <cellStyle name="Followed Hyperlink" xfId="606" builtinId="9" hidden="1"/>
    <cellStyle name="Followed Hyperlink" xfId="607" builtinId="9" hidden="1"/>
    <cellStyle name="Followed Hyperlink" xfId="608" builtinId="9" hidden="1"/>
    <cellStyle name="Followed Hyperlink" xfId="609" builtinId="9" hidden="1"/>
    <cellStyle name="Followed Hyperlink" xfId="610" builtinId="9" hidden="1"/>
    <cellStyle name="Followed Hyperlink" xfId="611" builtinId="9" hidden="1"/>
    <cellStyle name="Followed Hyperlink" xfId="612" builtinId="9" hidden="1"/>
    <cellStyle name="Followed Hyperlink" xfId="613" builtinId="9" hidden="1"/>
    <cellStyle name="Followed Hyperlink" xfId="614" builtinId="9" hidden="1"/>
    <cellStyle name="Followed Hyperlink" xfId="615" builtinId="9" hidden="1"/>
    <cellStyle name="Followed Hyperlink" xfId="616" builtinId="9" hidden="1"/>
    <cellStyle name="Followed Hyperlink" xfId="617" builtinId="9" hidden="1"/>
    <cellStyle name="Followed Hyperlink" xfId="618" builtinId="9" hidden="1"/>
    <cellStyle name="Followed Hyperlink" xfId="619" builtinId="9" hidden="1"/>
    <cellStyle name="Followed Hyperlink" xfId="620" builtinId="9" hidden="1"/>
    <cellStyle name="Followed Hyperlink" xfId="621" builtinId="9" hidden="1"/>
    <cellStyle name="Followed Hyperlink" xfId="622" builtinId="9" hidden="1"/>
    <cellStyle name="Followed Hyperlink" xfId="623" builtinId="9" hidden="1"/>
    <cellStyle name="Followed Hyperlink" xfId="624" builtinId="9" hidden="1"/>
    <cellStyle name="Followed Hyperlink" xfId="625" builtinId="9" hidden="1"/>
    <cellStyle name="Followed Hyperlink" xfId="626" builtinId="9" hidden="1"/>
    <cellStyle name="Followed Hyperlink" xfId="627" builtinId="9" hidden="1"/>
    <cellStyle name="Followed Hyperlink" xfId="628" builtinId="9" hidden="1"/>
    <cellStyle name="Followed Hyperlink" xfId="629" builtinId="9" hidden="1"/>
    <cellStyle name="Followed Hyperlink" xfId="630" builtinId="9" hidden="1"/>
    <cellStyle name="Followed Hyperlink" xfId="631" builtinId="9" hidden="1"/>
    <cellStyle name="Followed Hyperlink" xfId="632" builtinId="9" hidden="1"/>
    <cellStyle name="Followed Hyperlink" xfId="633" builtinId="9" hidden="1"/>
    <cellStyle name="Followed Hyperlink" xfId="634" builtinId="9" hidden="1"/>
    <cellStyle name="Followed Hyperlink" xfId="635" builtinId="9" hidden="1"/>
    <cellStyle name="Followed Hyperlink" xfId="636" builtinId="9" hidden="1"/>
    <cellStyle name="Followed Hyperlink" xfId="637" builtinId="9" hidden="1"/>
    <cellStyle name="Followed Hyperlink" xfId="638" builtinId="9" hidden="1"/>
    <cellStyle name="Followed Hyperlink" xfId="639" builtinId="9" hidden="1"/>
    <cellStyle name="Followed Hyperlink" xfId="640" builtinId="9" hidden="1"/>
    <cellStyle name="Followed Hyperlink" xfId="641" builtinId="9" hidden="1"/>
    <cellStyle name="Followed Hyperlink" xfId="642" builtinId="9" hidden="1"/>
    <cellStyle name="Followed Hyperlink" xfId="643" builtinId="9" hidden="1"/>
    <cellStyle name="Followed Hyperlink" xfId="644" builtinId="9" hidden="1"/>
    <cellStyle name="Followed Hyperlink" xfId="645" builtinId="9" hidden="1"/>
    <cellStyle name="Followed Hyperlink" xfId="646" builtinId="9" hidden="1"/>
    <cellStyle name="Followed Hyperlink" xfId="647" builtinId="9" hidden="1"/>
    <cellStyle name="Followed Hyperlink" xfId="648" builtinId="9" hidden="1"/>
    <cellStyle name="Followed Hyperlink" xfId="649" builtinId="9" hidden="1"/>
    <cellStyle name="Followed Hyperlink" xfId="650" builtinId="9" hidden="1"/>
    <cellStyle name="Followed Hyperlink" xfId="651" builtinId="9" hidden="1"/>
    <cellStyle name="Followed Hyperlink" xfId="652" builtinId="9" hidden="1"/>
    <cellStyle name="Followed Hyperlink" xfId="653" builtinId="9" hidden="1"/>
    <cellStyle name="Followed Hyperlink" xfId="654" builtinId="9" hidden="1"/>
    <cellStyle name="Followed Hyperlink" xfId="655" builtinId="9" hidden="1"/>
    <cellStyle name="Followed Hyperlink" xfId="656" builtinId="9" hidden="1"/>
    <cellStyle name="Followed Hyperlink" xfId="657" builtinId="9" hidden="1"/>
    <cellStyle name="Followed Hyperlink" xfId="658" builtinId="9" hidden="1"/>
    <cellStyle name="Followed Hyperlink" xfId="659" builtinId="9" hidden="1"/>
    <cellStyle name="Followed Hyperlink" xfId="660" builtinId="9" hidden="1"/>
    <cellStyle name="Followed Hyperlink" xfId="661" builtinId="9" hidden="1"/>
    <cellStyle name="Followed Hyperlink" xfId="662" builtinId="9" hidden="1"/>
    <cellStyle name="Followed Hyperlink" xfId="663" builtinId="9" hidden="1"/>
    <cellStyle name="Followed Hyperlink" xfId="664" builtinId="9" hidden="1"/>
    <cellStyle name="Followed Hyperlink" xfId="665" builtinId="9" hidden="1"/>
    <cellStyle name="Followed Hyperlink" xfId="666" builtinId="9" hidden="1"/>
    <cellStyle name="Followed Hyperlink" xfId="667" builtinId="9" hidden="1"/>
    <cellStyle name="Followed Hyperlink" xfId="668" builtinId="9" hidden="1"/>
    <cellStyle name="Followed Hyperlink" xfId="669" builtinId="9" hidden="1"/>
    <cellStyle name="Followed Hyperlink" xfId="670" builtinId="9" hidden="1"/>
    <cellStyle name="Followed Hyperlink" xfId="671" builtinId="9" hidden="1"/>
    <cellStyle name="Followed Hyperlink" xfId="672" builtinId="9" hidden="1"/>
    <cellStyle name="Followed Hyperlink" xfId="673" builtinId="9" hidden="1"/>
    <cellStyle name="Followed Hyperlink" xfId="674" builtinId="9" hidden="1"/>
    <cellStyle name="Followed Hyperlink" xfId="67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12700</xdr:colOff>
      <xdr:row>0</xdr:row>
      <xdr:rowOff>838200</xdr:rowOff>
    </xdr:to>
    <xdr:pic>
      <xdr:nvPicPr>
        <xdr:cNvPr id="2049"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12700</xdr:colOff>
      <xdr:row>0</xdr:row>
      <xdr:rowOff>838200</xdr:rowOff>
    </xdr:to>
    <xdr:pic>
      <xdr:nvPicPr>
        <xdr:cNvPr id="3"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12700</xdr:colOff>
      <xdr:row>0</xdr:row>
      <xdr:rowOff>838200</xdr:rowOff>
    </xdr:to>
    <xdr:pic>
      <xdr:nvPicPr>
        <xdr:cNvPr id="4"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12700</xdr:colOff>
      <xdr:row>0</xdr:row>
      <xdr:rowOff>838200</xdr:rowOff>
    </xdr:to>
    <xdr:pic>
      <xdr:nvPicPr>
        <xdr:cNvPr id="5"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12700</xdr:colOff>
      <xdr:row>0</xdr:row>
      <xdr:rowOff>838200</xdr:rowOff>
    </xdr:to>
    <xdr:pic>
      <xdr:nvPicPr>
        <xdr:cNvPr id="3073"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12700</xdr:colOff>
      <xdr:row>0</xdr:row>
      <xdr:rowOff>838200</xdr:rowOff>
    </xdr:to>
    <xdr:pic>
      <xdr:nvPicPr>
        <xdr:cNvPr id="3"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12700</xdr:colOff>
      <xdr:row>0</xdr:row>
      <xdr:rowOff>838200</xdr:rowOff>
    </xdr:to>
    <xdr:pic>
      <xdr:nvPicPr>
        <xdr:cNvPr id="4"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12700</xdr:colOff>
      <xdr:row>0</xdr:row>
      <xdr:rowOff>838200</xdr:rowOff>
    </xdr:to>
    <xdr:pic>
      <xdr:nvPicPr>
        <xdr:cNvPr id="1025"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12700</xdr:colOff>
      <xdr:row>0</xdr:row>
      <xdr:rowOff>838200</xdr:rowOff>
    </xdr:to>
    <xdr:pic>
      <xdr:nvPicPr>
        <xdr:cNvPr id="3" name="Picture 1" descr="clip_image0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13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svangundy@achieve.org"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svangundy@achiev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8" tint="-0.249977111117893"/>
  </sheetPr>
  <dimension ref="A1:W113"/>
  <sheetViews>
    <sheetView tabSelected="1" workbookViewId="0">
      <selection activeCell="D35" sqref="D35"/>
    </sheetView>
  </sheetViews>
  <sheetFormatPr defaultColWidth="11.19921875" defaultRowHeight="15.6"/>
  <cols>
    <col min="1" max="1" width="19.69921875" customWidth="1"/>
    <col min="2" max="2" width="7.19921875" customWidth="1"/>
    <col min="3" max="3" width="24.69921875" customWidth="1"/>
    <col min="4" max="4" width="19" customWidth="1"/>
    <col min="5" max="5" width="16.69921875" customWidth="1"/>
    <col min="6" max="6" width="16.296875" customWidth="1"/>
    <col min="7" max="7" width="15.796875" customWidth="1"/>
    <col min="8" max="8" width="15" customWidth="1"/>
    <col min="9" max="9" width="17" customWidth="1"/>
    <col min="10" max="10" width="16" customWidth="1"/>
    <col min="11" max="11" width="13.796875" customWidth="1"/>
    <col min="12" max="12" width="17.69921875" customWidth="1"/>
    <col min="13" max="13" width="13.5" customWidth="1"/>
    <col min="14" max="14" width="15" customWidth="1"/>
    <col min="15" max="15" width="14.796875" customWidth="1"/>
  </cols>
  <sheetData>
    <row r="1" spans="1:23" ht="87" customHeight="1">
      <c r="A1" s="112"/>
      <c r="B1" s="112"/>
      <c r="C1" s="95"/>
      <c r="D1" s="104"/>
      <c r="E1" s="95"/>
      <c r="F1" s="95"/>
      <c r="G1" s="95"/>
      <c r="H1" s="95"/>
      <c r="I1" s="95"/>
      <c r="J1" s="95"/>
      <c r="K1" s="95"/>
      <c r="L1" s="95"/>
      <c r="M1" s="95"/>
      <c r="N1" s="95"/>
      <c r="O1" s="95"/>
      <c r="P1" s="95"/>
      <c r="Q1" s="95"/>
      <c r="R1" s="95"/>
      <c r="S1" s="95"/>
      <c r="T1" s="95"/>
      <c r="U1" s="95"/>
      <c r="V1" s="95"/>
      <c r="W1" s="95"/>
    </row>
    <row r="2" spans="1:23" ht="31.05" customHeight="1">
      <c r="A2" s="97" t="s">
        <v>67</v>
      </c>
      <c r="B2" s="95"/>
      <c r="C2" s="95"/>
      <c r="D2" s="103"/>
      <c r="E2" s="95"/>
      <c r="F2" s="95"/>
      <c r="G2" s="95"/>
      <c r="H2" s="95"/>
      <c r="I2" s="95"/>
      <c r="J2" s="95"/>
      <c r="K2" s="95"/>
      <c r="L2" s="95"/>
      <c r="M2" s="95"/>
      <c r="N2" s="95"/>
      <c r="O2" s="95"/>
      <c r="P2" s="95"/>
      <c r="Q2" s="95"/>
      <c r="R2" s="95"/>
      <c r="S2" s="95"/>
      <c r="T2" s="95"/>
      <c r="U2" s="95"/>
      <c r="V2" s="95"/>
      <c r="W2" s="95"/>
    </row>
    <row r="3" spans="1:23" ht="22.95" customHeight="1">
      <c r="A3" s="110" t="s">
        <v>68</v>
      </c>
      <c r="B3" s="97"/>
      <c r="C3" s="97"/>
      <c r="D3" s="97"/>
      <c r="E3" s="97"/>
      <c r="G3" s="128" t="s">
        <v>82</v>
      </c>
      <c r="H3" s="128"/>
      <c r="I3" s="96"/>
      <c r="J3" s="95"/>
      <c r="K3" s="23"/>
      <c r="L3" s="95"/>
      <c r="M3" s="95"/>
      <c r="N3" s="95"/>
      <c r="O3" s="95"/>
      <c r="P3" s="95"/>
      <c r="Q3" s="95"/>
      <c r="R3" s="95"/>
      <c r="S3" s="95"/>
      <c r="T3" s="95"/>
      <c r="U3" s="95"/>
      <c r="V3" s="95"/>
      <c r="W3" s="95"/>
    </row>
    <row r="4" spans="1:23" ht="22.95" customHeight="1">
      <c r="B4" s="97"/>
      <c r="C4" s="97"/>
      <c r="D4" s="95"/>
      <c r="E4" s="95"/>
      <c r="G4" s="128"/>
      <c r="H4" s="128"/>
      <c r="I4" s="105"/>
      <c r="J4" s="105"/>
      <c r="K4" s="105"/>
      <c r="L4" s="105"/>
      <c r="M4" s="95"/>
      <c r="N4" s="95"/>
      <c r="O4" s="95"/>
      <c r="P4" s="95"/>
      <c r="Q4" s="95"/>
      <c r="R4" s="95"/>
      <c r="S4" s="95"/>
      <c r="T4" s="95"/>
      <c r="U4" s="95"/>
      <c r="V4" s="95"/>
      <c r="W4" s="95"/>
    </row>
    <row r="5" spans="1:23" ht="23.4">
      <c r="A5" s="21"/>
      <c r="B5" s="95"/>
      <c r="C5" s="95"/>
      <c r="D5" s="95"/>
      <c r="E5" s="95"/>
      <c r="G5" s="128"/>
      <c r="H5" s="128"/>
      <c r="I5" s="105"/>
      <c r="J5" s="105"/>
      <c r="K5" s="105"/>
      <c r="L5" s="105"/>
      <c r="M5" s="95"/>
      <c r="N5" s="95"/>
      <c r="O5" s="95"/>
      <c r="P5" s="95"/>
      <c r="Q5" s="95"/>
      <c r="R5" s="95"/>
      <c r="S5" s="95"/>
      <c r="T5" s="95"/>
      <c r="U5" s="95"/>
      <c r="V5" s="95"/>
      <c r="W5" s="95"/>
    </row>
    <row r="6" spans="1:23" ht="31.95" customHeight="1">
      <c r="A6" s="98" t="s">
        <v>69</v>
      </c>
      <c r="B6" s="98"/>
      <c r="C6" s="98"/>
      <c r="D6" s="95"/>
      <c r="E6" s="95"/>
      <c r="G6" s="128"/>
      <c r="H6" s="128"/>
      <c r="I6" s="105"/>
      <c r="J6" s="105"/>
      <c r="K6" s="105"/>
      <c r="L6" s="105"/>
      <c r="M6" s="95"/>
      <c r="N6" s="95"/>
      <c r="O6" s="95"/>
      <c r="P6" s="95"/>
      <c r="Q6" s="95"/>
      <c r="R6" s="95"/>
      <c r="S6" s="95"/>
      <c r="T6" s="95"/>
      <c r="U6" s="95"/>
      <c r="V6" s="95"/>
      <c r="W6" s="95"/>
    </row>
    <row r="7" spans="1:23" ht="28.05" customHeight="1">
      <c r="A7" s="98"/>
      <c r="B7" s="95"/>
      <c r="C7" s="95"/>
      <c r="D7" s="95"/>
      <c r="E7" s="95"/>
      <c r="G7" s="128"/>
      <c r="H7" s="128"/>
      <c r="I7" s="105"/>
      <c r="J7" s="105"/>
      <c r="K7" s="105"/>
      <c r="L7" s="105"/>
      <c r="M7" s="95"/>
      <c r="N7" s="95"/>
      <c r="O7" s="95"/>
      <c r="P7" s="95"/>
      <c r="Q7" s="95"/>
      <c r="R7" s="95"/>
      <c r="S7" s="95"/>
      <c r="T7" s="95"/>
      <c r="U7" s="95"/>
      <c r="V7" s="95"/>
      <c r="W7" s="95"/>
    </row>
    <row r="8" spans="1:23" ht="22.95" customHeight="1">
      <c r="A8" s="98"/>
      <c r="B8" s="99"/>
      <c r="C8" s="95" t="s">
        <v>72</v>
      </c>
      <c r="D8" s="95"/>
      <c r="E8" s="95"/>
      <c r="F8" s="95"/>
      <c r="G8" s="129" t="s">
        <v>83</v>
      </c>
      <c r="H8" s="129"/>
      <c r="I8" s="105"/>
      <c r="J8" s="105"/>
      <c r="K8" s="105"/>
      <c r="L8" s="105"/>
      <c r="M8" s="95"/>
      <c r="N8" s="95"/>
      <c r="O8" s="95"/>
      <c r="P8" s="95"/>
      <c r="Q8" s="95"/>
      <c r="R8" s="95"/>
      <c r="S8" s="95"/>
      <c r="T8" s="95"/>
      <c r="U8" s="95"/>
      <c r="V8" s="95"/>
      <c r="W8" s="95"/>
    </row>
    <row r="9" spans="1:23" ht="22.95" customHeight="1">
      <c r="A9" s="98"/>
      <c r="B9" s="100"/>
      <c r="C9" s="95" t="s">
        <v>73</v>
      </c>
      <c r="D9" s="95"/>
      <c r="E9" s="95"/>
      <c r="F9" s="96"/>
      <c r="G9" s="129"/>
      <c r="H9" s="129"/>
      <c r="I9" s="105"/>
      <c r="J9" s="105"/>
      <c r="K9" s="105"/>
      <c r="L9" s="105"/>
      <c r="M9" s="95"/>
      <c r="N9" s="95"/>
      <c r="O9" s="95"/>
      <c r="P9" s="95"/>
      <c r="Q9" s="95"/>
      <c r="R9" s="95"/>
      <c r="S9" s="95"/>
      <c r="T9" s="95"/>
      <c r="U9" s="95"/>
      <c r="V9" s="95"/>
      <c r="W9" s="95"/>
    </row>
    <row r="10" spans="1:23" ht="22.95" customHeight="1">
      <c r="A10" s="98"/>
      <c r="B10" s="101"/>
      <c r="C10" s="95" t="s">
        <v>74</v>
      </c>
      <c r="D10" s="95"/>
      <c r="E10" s="95"/>
      <c r="F10" s="22"/>
      <c r="G10" s="129"/>
      <c r="H10" s="129"/>
      <c r="I10" s="105"/>
      <c r="J10" s="105"/>
      <c r="K10" s="105"/>
      <c r="L10" s="105"/>
      <c r="M10" s="95"/>
      <c r="N10" s="95"/>
      <c r="O10" s="95"/>
      <c r="P10" s="95"/>
      <c r="Q10" s="95"/>
      <c r="R10" s="95"/>
      <c r="S10" s="95"/>
      <c r="T10" s="95"/>
      <c r="U10" s="95"/>
      <c r="V10" s="95"/>
      <c r="W10" s="95"/>
    </row>
    <row r="11" spans="1:23" ht="23.4">
      <c r="A11" s="98"/>
      <c r="B11" s="95"/>
      <c r="C11" s="95"/>
      <c r="D11" s="95"/>
      <c r="E11" s="95"/>
      <c r="F11" s="95"/>
      <c r="G11" s="129"/>
      <c r="H11" s="129"/>
      <c r="I11" s="105"/>
      <c r="J11" s="105"/>
      <c r="K11" s="105"/>
      <c r="L11" s="105"/>
      <c r="M11" s="95"/>
      <c r="N11" s="95"/>
      <c r="O11" s="95"/>
      <c r="P11" s="95"/>
      <c r="Q11" s="95"/>
      <c r="R11" s="95"/>
      <c r="S11" s="95"/>
      <c r="T11" s="95"/>
      <c r="U11" s="95"/>
      <c r="V11" s="95"/>
      <c r="W11" s="95"/>
    </row>
    <row r="12" spans="1:23">
      <c r="A12" s="95"/>
      <c r="B12" s="95"/>
      <c r="C12" s="95"/>
      <c r="D12" s="95"/>
      <c r="E12" s="95"/>
      <c r="F12" s="95"/>
      <c r="G12" s="95"/>
      <c r="H12" s="95"/>
      <c r="I12" s="102"/>
      <c r="J12" s="102"/>
      <c r="K12" s="102"/>
      <c r="L12" s="102"/>
      <c r="M12" s="95"/>
      <c r="N12" s="95"/>
      <c r="O12" s="95"/>
      <c r="P12" s="95"/>
      <c r="Q12" s="95"/>
      <c r="R12" s="95"/>
      <c r="S12" s="95"/>
      <c r="T12" s="95"/>
      <c r="U12" s="95"/>
      <c r="V12" s="95"/>
      <c r="W12" s="95"/>
    </row>
    <row r="13" spans="1:23" ht="28.05" customHeight="1">
      <c r="A13" s="78" t="s">
        <v>29</v>
      </c>
      <c r="B13" s="27"/>
      <c r="C13" s="27"/>
      <c r="D13" s="27"/>
      <c r="E13" s="27"/>
      <c r="F13" s="27"/>
      <c r="G13" s="27"/>
      <c r="I13" s="102"/>
      <c r="J13" s="102"/>
      <c r="K13" s="102"/>
      <c r="L13" s="102"/>
    </row>
    <row r="14" spans="1:23" s="10" customFormat="1" ht="40.950000000000003" customHeight="1">
      <c r="A14" s="28"/>
      <c r="B14" s="28"/>
      <c r="C14" s="28"/>
      <c r="D14" s="28"/>
      <c r="E14" s="28"/>
      <c r="F14" s="28"/>
      <c r="G14" s="28"/>
      <c r="I14" s="102"/>
      <c r="J14" s="102"/>
      <c r="K14" s="102"/>
      <c r="L14" s="102"/>
    </row>
    <row r="15" spans="1:23" s="11" customFormat="1" ht="18">
      <c r="A15" s="15" t="s">
        <v>3</v>
      </c>
      <c r="C15" s="11" t="s">
        <v>27</v>
      </c>
    </row>
    <row r="16" spans="1:23">
      <c r="A16" s="8"/>
    </row>
    <row r="17" spans="1:6">
      <c r="A17" s="8"/>
      <c r="C17" s="30" t="s">
        <v>1</v>
      </c>
      <c r="D17" s="31" t="s">
        <v>6</v>
      </c>
    </row>
    <row r="18" spans="1:6">
      <c r="A18" s="8"/>
      <c r="C18" s="29">
        <v>3</v>
      </c>
      <c r="D18" s="88"/>
    </row>
    <row r="19" spans="1:6">
      <c r="A19" s="8"/>
      <c r="C19" s="29">
        <v>4</v>
      </c>
      <c r="D19" s="88"/>
    </row>
    <row r="20" spans="1:6">
      <c r="A20" s="8"/>
      <c r="C20" s="29">
        <v>5</v>
      </c>
      <c r="D20" s="88"/>
    </row>
    <row r="21" spans="1:6">
      <c r="A21" s="8"/>
      <c r="C21" s="29">
        <v>6</v>
      </c>
      <c r="D21" s="88"/>
    </row>
    <row r="22" spans="1:6">
      <c r="A22" s="8"/>
      <c r="C22" s="29">
        <v>7</v>
      </c>
      <c r="D22" s="88"/>
    </row>
    <row r="23" spans="1:6">
      <c r="A23" s="8"/>
      <c r="C23" s="29">
        <v>8</v>
      </c>
      <c r="D23" s="88"/>
    </row>
    <row r="24" spans="1:6">
      <c r="A24" s="8"/>
      <c r="C24" s="29">
        <v>9</v>
      </c>
      <c r="D24" s="88"/>
    </row>
    <row r="25" spans="1:6">
      <c r="A25" s="8"/>
      <c r="C25" s="29">
        <v>10</v>
      </c>
      <c r="D25" s="88"/>
    </row>
    <row r="26" spans="1:6">
      <c r="A26" s="8"/>
      <c r="C26" s="29">
        <v>11</v>
      </c>
      <c r="D26" s="88"/>
    </row>
    <row r="27" spans="1:6">
      <c r="A27" s="8"/>
      <c r="C27" s="32" t="s">
        <v>2</v>
      </c>
      <c r="D27" s="17">
        <f>SUM(D18:D26)</f>
        <v>0</v>
      </c>
      <c r="E27" s="7"/>
    </row>
    <row r="28" spans="1:6">
      <c r="A28" s="8"/>
    </row>
    <row r="30" spans="1:6" s="2" customFormat="1">
      <c r="D30" s="7"/>
      <c r="E30" s="7"/>
      <c r="F30" s="7"/>
    </row>
    <row r="31" spans="1:6" s="11" customFormat="1" ht="18">
      <c r="A31" s="15" t="s">
        <v>4</v>
      </c>
      <c r="C31" s="11" t="s">
        <v>26</v>
      </c>
    </row>
    <row r="32" spans="1:6" s="11" customFormat="1" ht="18">
      <c r="A32" s="15"/>
      <c r="C32" s="26" t="s">
        <v>28</v>
      </c>
    </row>
    <row r="33" spans="1:9" s="18" customFormat="1" ht="18">
      <c r="A33" s="15"/>
      <c r="C33" s="25"/>
    </row>
    <row r="34" spans="1:9" s="18" customFormat="1" ht="46.95" customHeight="1">
      <c r="A34" s="15"/>
      <c r="C34" s="116" t="s">
        <v>40</v>
      </c>
      <c r="D34" s="117"/>
    </row>
    <row r="35" spans="1:9" s="18" customFormat="1" ht="63">
      <c r="A35" s="15"/>
      <c r="C35" s="111" t="s">
        <v>87</v>
      </c>
      <c r="D35" s="89"/>
    </row>
    <row r="36" spans="1:9" s="18" customFormat="1" ht="47.4">
      <c r="A36" s="15"/>
      <c r="C36" s="111" t="s">
        <v>88</v>
      </c>
      <c r="D36" s="89"/>
      <c r="E36" s="76"/>
    </row>
    <row r="37" spans="1:9" s="18" customFormat="1" ht="18">
      <c r="A37" s="15"/>
      <c r="C37" s="51" t="s">
        <v>2</v>
      </c>
      <c r="D37" s="52">
        <f>D35+D36</f>
        <v>0</v>
      </c>
    </row>
    <row r="38" spans="1:9">
      <c r="D38" s="3"/>
      <c r="E38" s="3"/>
    </row>
    <row r="39" spans="1:9" s="11" customFormat="1" ht="18" customHeight="1">
      <c r="A39" s="118" t="s">
        <v>42</v>
      </c>
      <c r="C39" s="11" t="s">
        <v>65</v>
      </c>
    </row>
    <row r="40" spans="1:9" s="11" customFormat="1" ht="18" customHeight="1">
      <c r="A40" s="118"/>
    </row>
    <row r="41" spans="1:9">
      <c r="A41" s="118"/>
      <c r="D41" s="3"/>
      <c r="E41" s="3"/>
    </row>
    <row r="42" spans="1:9" s="4" customFormat="1" ht="47.4">
      <c r="A42" s="59"/>
      <c r="D42" s="60" t="s">
        <v>43</v>
      </c>
    </row>
    <row r="43" spans="1:9" ht="140.4">
      <c r="A43" s="6"/>
      <c r="C43" s="29" t="s">
        <v>60</v>
      </c>
      <c r="D43" s="90"/>
      <c r="E43" s="3"/>
    </row>
    <row r="44" spans="1:9">
      <c r="A44" s="6"/>
      <c r="C44" s="7"/>
      <c r="D44" s="84"/>
      <c r="E44" s="3"/>
    </row>
    <row r="46" spans="1:9" s="11" customFormat="1" ht="18">
      <c r="A46" s="15" t="s">
        <v>5</v>
      </c>
      <c r="C46" s="11" t="s">
        <v>66</v>
      </c>
    </row>
    <row r="47" spans="1:9" s="11" customFormat="1" ht="31.95" customHeight="1">
      <c r="A47" s="15"/>
      <c r="C47" s="121" t="s">
        <v>76</v>
      </c>
      <c r="D47" s="121"/>
      <c r="E47" s="121"/>
      <c r="F47" s="121"/>
      <c r="G47" s="121"/>
      <c r="H47" s="121"/>
      <c r="I47" s="121"/>
    </row>
    <row r="48" spans="1:9" s="18" customFormat="1" ht="18">
      <c r="A48" s="15"/>
    </row>
    <row r="49" spans="1:12" ht="31.2">
      <c r="A49" s="8"/>
      <c r="C49" s="29" t="s">
        <v>22</v>
      </c>
      <c r="D49" s="29" t="s">
        <v>23</v>
      </c>
    </row>
    <row r="50" spans="1:12">
      <c r="A50" s="6"/>
      <c r="C50" s="91"/>
      <c r="D50" s="88"/>
    </row>
    <row r="51" spans="1:12">
      <c r="A51" s="6"/>
    </row>
    <row r="52" spans="1:12" s="11" customFormat="1">
      <c r="C52" s="11" t="s">
        <v>7</v>
      </c>
    </row>
    <row r="53" spans="1:12" s="18" customFormat="1">
      <c r="A53" s="11"/>
    </row>
    <row r="54" spans="1:12" ht="93.6">
      <c r="A54" s="6"/>
      <c r="C54" s="119" t="s">
        <v>8</v>
      </c>
      <c r="D54" s="120"/>
      <c r="E54" s="29" t="s">
        <v>11</v>
      </c>
      <c r="F54" s="29" t="s">
        <v>31</v>
      </c>
      <c r="G54" s="34" t="s">
        <v>25</v>
      </c>
    </row>
    <row r="55" spans="1:12">
      <c r="A55" s="6"/>
      <c r="C55" s="114" t="s">
        <v>10</v>
      </c>
      <c r="D55" s="115"/>
      <c r="E55" s="92"/>
      <c r="F55" s="35">
        <v>500</v>
      </c>
      <c r="G55" s="24">
        <f t="shared" ref="G55:G66" si="0">E55*F55</f>
        <v>0</v>
      </c>
      <c r="I55" s="113" t="s">
        <v>86</v>
      </c>
      <c r="J55" s="113"/>
      <c r="K55" s="113"/>
      <c r="L55" s="113"/>
    </row>
    <row r="56" spans="1:12">
      <c r="A56" s="6"/>
      <c r="C56" s="114" t="s">
        <v>9</v>
      </c>
      <c r="D56" s="115"/>
      <c r="E56" s="92"/>
      <c r="F56" s="35">
        <v>500</v>
      </c>
      <c r="G56" s="24">
        <f t="shared" si="0"/>
        <v>0</v>
      </c>
      <c r="I56" s="113"/>
      <c r="J56" s="113"/>
      <c r="K56" s="113"/>
      <c r="L56" s="113"/>
    </row>
    <row r="57" spans="1:12">
      <c r="A57" s="6"/>
      <c r="C57" s="114" t="s">
        <v>15</v>
      </c>
      <c r="D57" s="115"/>
      <c r="E57" s="92"/>
      <c r="F57" s="35">
        <v>250</v>
      </c>
      <c r="G57" s="24">
        <f t="shared" si="0"/>
        <v>0</v>
      </c>
      <c r="I57" s="113"/>
      <c r="J57" s="113"/>
      <c r="K57" s="113"/>
      <c r="L57" s="113"/>
    </row>
    <row r="58" spans="1:12">
      <c r="A58" s="6"/>
      <c r="C58" s="114" t="s">
        <v>20</v>
      </c>
      <c r="D58" s="115"/>
      <c r="E58" s="92"/>
      <c r="F58" s="35">
        <v>1000</v>
      </c>
      <c r="G58" s="24">
        <f t="shared" si="0"/>
        <v>0</v>
      </c>
      <c r="I58" s="113"/>
      <c r="J58" s="113"/>
      <c r="K58" s="113"/>
      <c r="L58" s="113"/>
    </row>
    <row r="59" spans="1:12">
      <c r="A59" s="6"/>
      <c r="C59" s="114" t="s">
        <v>12</v>
      </c>
      <c r="D59" s="115"/>
      <c r="E59" s="92"/>
      <c r="F59" s="35">
        <v>100</v>
      </c>
      <c r="G59" s="24">
        <f t="shared" si="0"/>
        <v>0</v>
      </c>
      <c r="I59" s="113"/>
      <c r="J59" s="113"/>
      <c r="K59" s="113"/>
      <c r="L59" s="113"/>
    </row>
    <row r="60" spans="1:12">
      <c r="A60" s="6"/>
      <c r="C60" s="114" t="s">
        <v>13</v>
      </c>
      <c r="D60" s="115"/>
      <c r="E60" s="92"/>
      <c r="F60" s="35">
        <v>150</v>
      </c>
      <c r="G60" s="24">
        <f t="shared" si="0"/>
        <v>0</v>
      </c>
    </row>
    <row r="61" spans="1:12">
      <c r="A61" s="6"/>
      <c r="C61" s="114" t="s">
        <v>14</v>
      </c>
      <c r="D61" s="115"/>
      <c r="E61" s="92"/>
      <c r="F61" s="35">
        <v>250</v>
      </c>
      <c r="G61" s="24">
        <f t="shared" si="0"/>
        <v>0</v>
      </c>
    </row>
    <row r="62" spans="1:12">
      <c r="A62" s="6"/>
      <c r="C62" s="114" t="s">
        <v>16</v>
      </c>
      <c r="D62" s="115"/>
      <c r="E62" s="92"/>
      <c r="F62" s="35">
        <v>700</v>
      </c>
      <c r="G62" s="24">
        <f t="shared" si="0"/>
        <v>0</v>
      </c>
    </row>
    <row r="63" spans="1:12">
      <c r="A63" s="6"/>
      <c r="C63" s="114" t="s">
        <v>17</v>
      </c>
      <c r="D63" s="115"/>
      <c r="E63" s="92"/>
      <c r="F63" s="35">
        <v>4000</v>
      </c>
      <c r="G63" s="24">
        <f t="shared" si="0"/>
        <v>0</v>
      </c>
    </row>
    <row r="64" spans="1:12">
      <c r="A64" s="6"/>
      <c r="C64" s="33" t="s">
        <v>18</v>
      </c>
      <c r="D64" s="33"/>
      <c r="E64" s="92"/>
      <c r="F64" s="35">
        <v>1000</v>
      </c>
      <c r="G64" s="24">
        <f t="shared" si="0"/>
        <v>0</v>
      </c>
    </row>
    <row r="65" spans="1:20">
      <c r="A65" s="6"/>
      <c r="C65" s="33" t="s">
        <v>19</v>
      </c>
      <c r="D65" s="33"/>
      <c r="E65" s="92"/>
      <c r="F65" s="35">
        <v>4000</v>
      </c>
      <c r="G65" s="24">
        <f t="shared" si="0"/>
        <v>0</v>
      </c>
    </row>
    <row r="66" spans="1:20">
      <c r="A66" s="6"/>
      <c r="C66" s="86" t="s">
        <v>21</v>
      </c>
      <c r="D66" s="87"/>
      <c r="E66" s="92"/>
      <c r="F66" s="35">
        <v>500</v>
      </c>
      <c r="G66" s="24">
        <f t="shared" si="0"/>
        <v>0</v>
      </c>
    </row>
    <row r="67" spans="1:20">
      <c r="G67" s="16">
        <f>SUM(G55:G66)</f>
        <v>0</v>
      </c>
      <c r="H67" s="16" t="s">
        <v>2</v>
      </c>
    </row>
    <row r="68" spans="1:20">
      <c r="A68" s="2"/>
      <c r="B68" s="2"/>
    </row>
    <row r="69" spans="1:20" s="2" customFormat="1"/>
    <row r="70" spans="1:20">
      <c r="A70" s="2"/>
      <c r="B70" s="2"/>
      <c r="J70" s="2"/>
      <c r="K70" s="2"/>
    </row>
    <row r="71" spans="1:20" s="2" customFormat="1" ht="37.950000000000003" customHeight="1">
      <c r="A71" s="36" t="s">
        <v>32</v>
      </c>
      <c r="B71" s="37"/>
      <c r="C71" s="37"/>
      <c r="D71" s="37"/>
      <c r="E71" s="37"/>
      <c r="F71" s="37"/>
      <c r="G71" s="37"/>
    </row>
    <row r="72" spans="1:20" s="2" customFormat="1" ht="34.950000000000003" customHeight="1">
      <c r="A72" s="37"/>
      <c r="B72" s="37"/>
      <c r="C72" s="37"/>
      <c r="D72" s="37"/>
      <c r="E72" s="37"/>
      <c r="F72" s="37"/>
      <c r="G72" s="37"/>
    </row>
    <row r="73" spans="1:20" s="14" customFormat="1" ht="58.95" customHeight="1">
      <c r="A73" s="130" t="s">
        <v>30</v>
      </c>
      <c r="B73" s="130"/>
      <c r="C73" s="130"/>
    </row>
    <row r="74" spans="1:20" s="14" customFormat="1" ht="18">
      <c r="B74" s="54" t="s">
        <v>52</v>
      </c>
    </row>
    <row r="75" spans="1:20" s="14" customFormat="1" ht="18">
      <c r="B75" s="54"/>
    </row>
    <row r="76" spans="1:20" ht="22.05" customHeight="1" thickBot="1">
      <c r="A76" s="14"/>
      <c r="G76" s="131" t="s">
        <v>35</v>
      </c>
      <c r="H76" s="131"/>
      <c r="I76" s="131"/>
      <c r="J76" s="131"/>
      <c r="Q76" s="2"/>
      <c r="R76" s="2"/>
      <c r="S76" s="2"/>
      <c r="T76" s="2"/>
    </row>
    <row r="77" spans="1:20" ht="75" customHeight="1">
      <c r="A77" s="14"/>
      <c r="E77" s="122" t="s">
        <v>61</v>
      </c>
      <c r="F77" s="123"/>
      <c r="G77" s="132" t="s">
        <v>84</v>
      </c>
      <c r="H77" s="133"/>
      <c r="I77" s="134" t="s">
        <v>85</v>
      </c>
      <c r="J77" s="135"/>
      <c r="K77" s="122" t="s">
        <v>51</v>
      </c>
      <c r="L77" s="123"/>
      <c r="Q77" s="2"/>
      <c r="R77" s="2"/>
      <c r="S77" s="2"/>
      <c r="T77" s="2"/>
    </row>
    <row r="78" spans="1:20" ht="31.95" customHeight="1">
      <c r="A78" s="14"/>
      <c r="E78" s="55"/>
      <c r="F78" s="56"/>
      <c r="G78" s="124" t="s">
        <v>49</v>
      </c>
      <c r="H78" s="125"/>
      <c r="I78" s="126" t="s">
        <v>50</v>
      </c>
      <c r="J78" s="127"/>
      <c r="K78" s="57"/>
      <c r="L78" s="58"/>
      <c r="Q78" s="2"/>
      <c r="R78" s="2"/>
      <c r="S78" s="2"/>
      <c r="T78" s="2"/>
    </row>
    <row r="79" spans="1:20" ht="46.8">
      <c r="A79" s="14"/>
      <c r="E79" s="42" t="s">
        <v>33</v>
      </c>
      <c r="F79" s="43" t="s">
        <v>34</v>
      </c>
      <c r="G79" s="42" t="s">
        <v>33</v>
      </c>
      <c r="H79" s="43" t="s">
        <v>34</v>
      </c>
      <c r="I79" s="42" t="s">
        <v>33</v>
      </c>
      <c r="J79" s="43" t="s">
        <v>34</v>
      </c>
      <c r="K79" s="42" t="s">
        <v>33</v>
      </c>
      <c r="L79" s="43" t="s">
        <v>34</v>
      </c>
      <c r="Q79" s="2"/>
      <c r="R79" s="2"/>
      <c r="S79" s="2"/>
      <c r="T79" s="2"/>
    </row>
    <row r="80" spans="1:20" ht="43.95" customHeight="1">
      <c r="A80" s="14"/>
      <c r="C80" s="53" t="s">
        <v>0</v>
      </c>
      <c r="D80" s="93" t="s">
        <v>64</v>
      </c>
      <c r="E80" s="13" t="e">
        <f>ROUNDUP((D27/D37),0)</f>
        <v>#DIV/0!</v>
      </c>
      <c r="F80" s="13" t="e">
        <f>ROUNDUP((D27/D37),0)</f>
        <v>#DIV/0!</v>
      </c>
      <c r="G80" s="13" t="e">
        <f>ROUNDUP((D27/G81),0)</f>
        <v>#DIV/0!</v>
      </c>
      <c r="H80" s="13" t="e">
        <f>ROUNDUP((D27/G81),0)</f>
        <v>#DIV/0!</v>
      </c>
      <c r="I80" s="13" t="e">
        <f>ROUNDUP((D27/I81),0)</f>
        <v>#DIV/0!</v>
      </c>
      <c r="J80" s="13" t="e">
        <f>ROUNDUP((D27/J81),0)</f>
        <v>#DIV/0!</v>
      </c>
      <c r="K80" s="13" t="e">
        <f>ROUNDUP((D27/K81),0)</f>
        <v>#DIV/0!</v>
      </c>
      <c r="L80" s="13" t="e">
        <f>ROUNDUP((D27/L81),0)</f>
        <v>#DIV/0!</v>
      </c>
      <c r="N80" s="38"/>
      <c r="Q80" s="2"/>
      <c r="R80" s="2"/>
      <c r="S80" s="2"/>
      <c r="T80" s="2"/>
    </row>
    <row r="81" spans="1:20" ht="57" customHeight="1">
      <c r="A81" s="14"/>
      <c r="D81" s="66" t="s">
        <v>39</v>
      </c>
      <c r="E81" s="35"/>
      <c r="F81" s="35"/>
      <c r="G81" s="13">
        <f>ROUNDUP(((MAX(D18:D26))/2),0)</f>
        <v>0</v>
      </c>
      <c r="H81" s="13">
        <f>ROUNDUP(((MAX(D18:D26))/2),0)</f>
        <v>0</v>
      </c>
      <c r="I81" s="13">
        <f>MAX(D18:D26)</f>
        <v>0</v>
      </c>
      <c r="J81" s="13">
        <f>MAX(D18:D26)</f>
        <v>0</v>
      </c>
      <c r="K81" s="13">
        <f>D27</f>
        <v>0</v>
      </c>
      <c r="L81" s="13">
        <f>D27</f>
        <v>0</v>
      </c>
      <c r="Q81" s="2"/>
      <c r="R81" s="2"/>
      <c r="S81" s="2"/>
      <c r="T81" s="2"/>
    </row>
    <row r="82" spans="1:20" ht="36" customHeight="1">
      <c r="A82" s="14"/>
      <c r="C82" s="1"/>
      <c r="D82" s="66" t="s">
        <v>37</v>
      </c>
      <c r="E82" s="13">
        <f>D37</f>
        <v>0</v>
      </c>
      <c r="F82" s="13">
        <f>D37</f>
        <v>0</v>
      </c>
      <c r="G82" s="13">
        <f>D37</f>
        <v>0</v>
      </c>
      <c r="H82" s="13">
        <f>D37</f>
        <v>0</v>
      </c>
      <c r="I82" s="13">
        <f>D37</f>
        <v>0</v>
      </c>
      <c r="J82" s="13">
        <f>D37</f>
        <v>0</v>
      </c>
      <c r="K82" s="13">
        <f>D37</f>
        <v>0</v>
      </c>
      <c r="L82" s="13">
        <f>D37</f>
        <v>0</v>
      </c>
      <c r="Q82" s="2"/>
      <c r="R82" s="2"/>
      <c r="S82" s="2"/>
      <c r="T82" s="2"/>
    </row>
    <row r="83" spans="1:20" ht="64.95" customHeight="1">
      <c r="A83" s="14"/>
      <c r="C83" s="1"/>
      <c r="D83" s="67" t="s">
        <v>63</v>
      </c>
      <c r="E83" s="47"/>
      <c r="F83" s="47"/>
      <c r="G83" s="63">
        <f>IF(((G82-G81)&gt;0),"No Gap",(G82-G81))</f>
        <v>0</v>
      </c>
      <c r="H83" s="63">
        <f t="shared" ref="H83:L83" si="1">IF(((H82-H81)&gt;0),"No Gap",(H82-H81))</f>
        <v>0</v>
      </c>
      <c r="I83" s="63">
        <f t="shared" si="1"/>
        <v>0</v>
      </c>
      <c r="J83" s="63">
        <f t="shared" si="1"/>
        <v>0</v>
      </c>
      <c r="K83" s="63">
        <f t="shared" si="1"/>
        <v>0</v>
      </c>
      <c r="L83" s="63">
        <f t="shared" si="1"/>
        <v>0</v>
      </c>
      <c r="Q83" s="2"/>
      <c r="R83" s="2"/>
      <c r="S83" s="2"/>
      <c r="T83" s="2"/>
    </row>
    <row r="84" spans="1:20">
      <c r="A84" s="14"/>
      <c r="C84" s="1"/>
      <c r="D84" s="68"/>
      <c r="E84" s="13"/>
      <c r="F84" s="13"/>
      <c r="G84" s="13"/>
      <c r="H84" s="13"/>
      <c r="I84" s="13"/>
      <c r="J84" s="13"/>
      <c r="K84" s="13"/>
      <c r="L84" s="13"/>
      <c r="Q84" s="2"/>
      <c r="R84" s="2"/>
      <c r="S84" s="2"/>
      <c r="T84" s="2"/>
    </row>
    <row r="85" spans="1:20" ht="93.6">
      <c r="A85" s="14"/>
      <c r="C85" s="79" t="s">
        <v>24</v>
      </c>
      <c r="D85" s="66" t="s">
        <v>56</v>
      </c>
      <c r="E85" s="13">
        <f>D37*100</f>
        <v>0</v>
      </c>
      <c r="F85" s="13">
        <f>D37*100</f>
        <v>0</v>
      </c>
      <c r="G85" s="13">
        <f>G81*100</f>
        <v>0</v>
      </c>
      <c r="H85" s="13">
        <f>H81*100</f>
        <v>0</v>
      </c>
      <c r="I85" s="13">
        <f>I81*100</f>
        <v>0</v>
      </c>
      <c r="J85" s="13">
        <f t="shared" ref="J85:L85" si="2">J81*100</f>
        <v>0</v>
      </c>
      <c r="K85" s="13">
        <f t="shared" si="2"/>
        <v>0</v>
      </c>
      <c r="L85" s="13">
        <f t="shared" si="2"/>
        <v>0</v>
      </c>
      <c r="Q85" s="2"/>
      <c r="R85" s="2"/>
      <c r="S85" s="2"/>
      <c r="T85" s="2"/>
    </row>
    <row r="86" spans="1:20" ht="109.2">
      <c r="A86" s="14"/>
      <c r="C86" s="53"/>
      <c r="D86" s="66" t="s">
        <v>53</v>
      </c>
      <c r="E86" s="13">
        <f>D37*30</f>
        <v>0</v>
      </c>
      <c r="F86" s="13">
        <f>D37*30</f>
        <v>0</v>
      </c>
      <c r="G86" s="13">
        <f>G81*30</f>
        <v>0</v>
      </c>
      <c r="H86" s="13">
        <f>H81*30</f>
        <v>0</v>
      </c>
      <c r="I86" s="13">
        <f t="shared" ref="I86:L86" si="3">I81*30</f>
        <v>0</v>
      </c>
      <c r="J86" s="13">
        <f t="shared" si="3"/>
        <v>0</v>
      </c>
      <c r="K86" s="13">
        <f t="shared" si="3"/>
        <v>0</v>
      </c>
      <c r="L86" s="13">
        <f t="shared" si="3"/>
        <v>0</v>
      </c>
      <c r="Q86" s="2"/>
      <c r="R86" s="2"/>
      <c r="S86" s="2"/>
      <c r="T86" s="2"/>
    </row>
    <row r="87" spans="1:20" ht="46.8">
      <c r="A87" s="14"/>
      <c r="D87" s="66" t="s">
        <v>36</v>
      </c>
      <c r="E87" s="13">
        <f>MIN(C50,D50)-G67</f>
        <v>0</v>
      </c>
      <c r="F87" s="13">
        <f>MIN(C50,D50)-G67</f>
        <v>0</v>
      </c>
      <c r="G87" s="13">
        <f>MIN(C50,D50)-G67</f>
        <v>0</v>
      </c>
      <c r="H87" s="13">
        <f>MIN(C50,D50)-G67</f>
        <v>0</v>
      </c>
      <c r="I87" s="13">
        <f>MIN(C50,D50)-G67</f>
        <v>0</v>
      </c>
      <c r="J87" s="13">
        <f>MIN(C50,D50)-G67</f>
        <v>0</v>
      </c>
      <c r="K87" s="13">
        <f>MIN(C50,D50)-G67</f>
        <v>0</v>
      </c>
      <c r="L87" s="13">
        <f>MIN(C50,D50)-G67</f>
        <v>0</v>
      </c>
      <c r="Q87" s="2"/>
      <c r="R87" s="2"/>
      <c r="S87" s="2"/>
      <c r="T87" s="2"/>
    </row>
    <row r="88" spans="1:20" ht="93.6">
      <c r="A88" s="14"/>
      <c r="D88" s="80" t="s">
        <v>55</v>
      </c>
      <c r="E88" s="66">
        <f>IF(((E87-E85)&gt;0),"No Gap",(E87-E85))</f>
        <v>0</v>
      </c>
      <c r="F88" s="66">
        <f t="shared" ref="F88:L88" si="4">IF(((F87-F85)&gt;0),"No Gap",(F87-F85))</f>
        <v>0</v>
      </c>
      <c r="G88" s="66">
        <f t="shared" si="4"/>
        <v>0</v>
      </c>
      <c r="H88" s="66">
        <f t="shared" si="4"/>
        <v>0</v>
      </c>
      <c r="I88" s="66">
        <f t="shared" si="4"/>
        <v>0</v>
      </c>
      <c r="J88" s="66">
        <f t="shared" si="4"/>
        <v>0</v>
      </c>
      <c r="K88" s="66">
        <f t="shared" si="4"/>
        <v>0</v>
      </c>
      <c r="L88" s="66">
        <f t="shared" si="4"/>
        <v>0</v>
      </c>
      <c r="Q88" s="2"/>
      <c r="R88" s="2"/>
      <c r="S88" s="2"/>
      <c r="T88" s="2"/>
    </row>
    <row r="89" spans="1:20" s="1" customFormat="1" ht="93.6">
      <c r="A89" s="61"/>
      <c r="D89" s="67" t="s">
        <v>54</v>
      </c>
      <c r="E89" s="64">
        <f>IF(((E87-E86)&gt;0),"No Gap",(E87-E86))</f>
        <v>0</v>
      </c>
      <c r="F89" s="64">
        <f t="shared" ref="F89:L89" si="5">IF(((F87-F86)&gt;0),"No Gap",(F87-F86))</f>
        <v>0</v>
      </c>
      <c r="G89" s="64">
        <f t="shared" si="5"/>
        <v>0</v>
      </c>
      <c r="H89" s="64">
        <f t="shared" si="5"/>
        <v>0</v>
      </c>
      <c r="I89" s="64">
        <f t="shared" si="5"/>
        <v>0</v>
      </c>
      <c r="J89" s="64">
        <f t="shared" si="5"/>
        <v>0</v>
      </c>
      <c r="K89" s="64">
        <f t="shared" si="5"/>
        <v>0</v>
      </c>
      <c r="L89" s="64">
        <f t="shared" si="5"/>
        <v>0</v>
      </c>
      <c r="Q89" s="62"/>
      <c r="R89" s="62"/>
      <c r="S89" s="62"/>
      <c r="T89" s="62"/>
    </row>
    <row r="90" spans="1:20">
      <c r="A90" s="14"/>
      <c r="D90" s="13"/>
      <c r="E90" s="13"/>
      <c r="F90" s="13"/>
      <c r="G90" s="13"/>
      <c r="H90" s="13"/>
      <c r="I90" s="13"/>
      <c r="J90" s="13"/>
      <c r="K90" s="13"/>
      <c r="L90" s="13"/>
      <c r="Q90" s="2"/>
      <c r="R90" s="2"/>
      <c r="S90" s="2"/>
      <c r="T90" s="2"/>
    </row>
    <row r="91" spans="1:20" ht="31.2">
      <c r="A91" s="14"/>
      <c r="C91" s="53" t="s">
        <v>41</v>
      </c>
      <c r="D91" s="66" t="s">
        <v>38</v>
      </c>
      <c r="E91" s="13" t="e">
        <f>ROUNDUP(((D27*5)/(D37*2)),0)</f>
        <v>#DIV/0!</v>
      </c>
      <c r="F91" s="13" t="e">
        <f>ROUNDUP(((D27*4)/(D37*2)),0)</f>
        <v>#DIV/0!</v>
      </c>
      <c r="G91" s="13" t="e">
        <f>ROUNDUP(((D27*5)/(G81*2)),0)</f>
        <v>#DIV/0!</v>
      </c>
      <c r="H91" s="13" t="e">
        <f>ROUNDUP(((D27*4)/(H81*2)),0)</f>
        <v>#DIV/0!</v>
      </c>
      <c r="I91" s="13" t="e">
        <f>ROUNDUP(((D27*5)/(I81*2)),0)</f>
        <v>#DIV/0!</v>
      </c>
      <c r="J91" s="13" t="e">
        <f>ROUNDUP(((D27*4)/(J81*2)),0)</f>
        <v>#DIV/0!</v>
      </c>
      <c r="K91" s="66" t="e">
        <f>IF((ROUNDUP(((D27*5)/(K81*2)),0))&lt;5,"PARCC 5-Day Minimum",(ROUNDUP(((D27*5)/(K81*2)),0)))</f>
        <v>#DIV/0!</v>
      </c>
      <c r="L91" s="66" t="e">
        <f>IF((ROUNDUP(((D27*5)/(L81*2)),0))&lt;5,"PARCC 5-Day Minimum",(ROUNDUP(((D27*5)/(L81*2)),0)))</f>
        <v>#DIV/0!</v>
      </c>
      <c r="Q91" s="2"/>
      <c r="R91" s="2"/>
      <c r="S91" s="2"/>
      <c r="T91" s="2"/>
    </row>
    <row r="92" spans="1:20" ht="25.05" customHeight="1">
      <c r="A92" s="14"/>
      <c r="D92" s="19" t="s">
        <v>37</v>
      </c>
      <c r="E92" s="13">
        <f>D43</f>
        <v>0</v>
      </c>
      <c r="F92" s="13">
        <f>D43</f>
        <v>0</v>
      </c>
      <c r="G92" s="13">
        <f>D43</f>
        <v>0</v>
      </c>
      <c r="H92" s="13">
        <f>D43</f>
        <v>0</v>
      </c>
      <c r="I92" s="13">
        <f>D43</f>
        <v>0</v>
      </c>
      <c r="J92" s="13">
        <f>D43</f>
        <v>0</v>
      </c>
      <c r="K92" s="13">
        <f>D43</f>
        <v>0</v>
      </c>
      <c r="L92" s="13">
        <f>D43</f>
        <v>0</v>
      </c>
      <c r="Q92" s="2"/>
      <c r="R92" s="2"/>
      <c r="S92" s="2"/>
      <c r="T92" s="2"/>
    </row>
    <row r="93" spans="1:20" ht="36" customHeight="1">
      <c r="A93" s="14"/>
      <c r="D93" s="69" t="s">
        <v>59</v>
      </c>
      <c r="E93" s="65" t="e">
        <f>IF(((E92-E91)&gt;0),"No Gap",(E92-E91))</f>
        <v>#DIV/0!</v>
      </c>
      <c r="F93" s="82" t="e">
        <f>IF(((F92-F91)&gt;0),"No Gap",(F92-F91))</f>
        <v>#DIV/0!</v>
      </c>
      <c r="G93" s="82" t="e">
        <f t="shared" ref="G93:J93" si="6">IF(((G92-G91)&gt;0),"No Gap",(G92-G91))</f>
        <v>#DIV/0!</v>
      </c>
      <c r="H93" s="82" t="e">
        <f t="shared" si="6"/>
        <v>#DIV/0!</v>
      </c>
      <c r="I93" s="82" t="e">
        <f t="shared" si="6"/>
        <v>#DIV/0!</v>
      </c>
      <c r="J93" s="82" t="e">
        <f t="shared" si="6"/>
        <v>#DIV/0!</v>
      </c>
      <c r="K93" s="82" t="e">
        <f>IF((ROUNDUP(((D27*5)/(K81*2)),0))&lt;5,"No Gap",(K92-K91))</f>
        <v>#DIV/0!</v>
      </c>
      <c r="L93" s="82" t="e">
        <f>IF((ROUNDUP(((D27*5)/(L81*2)),0))&lt;5,"No Gap",(L92-L91))</f>
        <v>#DIV/0!</v>
      </c>
      <c r="Q93" s="2"/>
      <c r="R93" s="2"/>
      <c r="S93" s="2"/>
      <c r="T93" s="2"/>
    </row>
    <row r="94" spans="1:20">
      <c r="A94" s="2"/>
      <c r="E94" s="44"/>
      <c r="F94" s="45"/>
      <c r="Q94" s="2"/>
      <c r="R94" s="2"/>
      <c r="S94" s="2"/>
      <c r="T94" s="2"/>
    </row>
    <row r="95" spans="1:20">
      <c r="A95" s="2"/>
      <c r="Q95" s="2"/>
      <c r="R95" s="2"/>
      <c r="S95" s="2"/>
      <c r="T95" s="2"/>
    </row>
    <row r="96" spans="1:20" s="20" customFormat="1" ht="51" customHeight="1">
      <c r="A96" s="130" t="s">
        <v>44</v>
      </c>
      <c r="B96" s="130"/>
      <c r="C96" s="130"/>
    </row>
    <row r="97" spans="1:23" s="14" customFormat="1" ht="18">
      <c r="B97" s="54" t="s">
        <v>52</v>
      </c>
    </row>
    <row r="98" spans="1:23" s="14" customFormat="1" ht="18">
      <c r="B98" s="54"/>
    </row>
    <row r="99" spans="1:23" s="2" customFormat="1" ht="18">
      <c r="A99" s="14"/>
      <c r="B99" s="77"/>
    </row>
    <row r="100" spans="1:23" ht="28.05" customHeight="1">
      <c r="A100" s="14"/>
      <c r="E100" s="73" t="s">
        <v>47</v>
      </c>
      <c r="F100" s="73" t="s">
        <v>47</v>
      </c>
      <c r="G100" s="72" t="s">
        <v>46</v>
      </c>
      <c r="H100" s="72" t="s">
        <v>46</v>
      </c>
      <c r="I100" s="73" t="s">
        <v>45</v>
      </c>
      <c r="J100" s="73" t="s">
        <v>45</v>
      </c>
      <c r="K100" s="72" t="s">
        <v>48</v>
      </c>
      <c r="L100" s="85" t="s">
        <v>48</v>
      </c>
      <c r="T100" s="2"/>
      <c r="U100" s="2"/>
      <c r="V100" s="2"/>
      <c r="W100" s="2"/>
    </row>
    <row r="101" spans="1:23" ht="46.8">
      <c r="A101" s="14"/>
      <c r="C101" s="1"/>
      <c r="D101" s="1"/>
      <c r="E101" s="39" t="s">
        <v>33</v>
      </c>
      <c r="F101" s="39" t="s">
        <v>34</v>
      </c>
      <c r="G101" s="39" t="s">
        <v>33</v>
      </c>
      <c r="H101" s="39" t="s">
        <v>34</v>
      </c>
      <c r="I101" s="39" t="s">
        <v>33</v>
      </c>
      <c r="J101" s="39" t="s">
        <v>34</v>
      </c>
      <c r="K101" s="39" t="s">
        <v>33</v>
      </c>
      <c r="L101" s="39" t="s">
        <v>34</v>
      </c>
      <c r="T101" s="2"/>
      <c r="U101" s="2"/>
      <c r="V101" s="2"/>
      <c r="W101" s="2"/>
    </row>
    <row r="102" spans="1:23" ht="78">
      <c r="A102" s="14"/>
      <c r="C102" s="79" t="s">
        <v>0</v>
      </c>
      <c r="D102" s="66" t="s">
        <v>57</v>
      </c>
      <c r="E102">
        <f>ROUNDUP((((D27*5)/20)/2),0)</f>
        <v>0</v>
      </c>
      <c r="F102">
        <f>ROUNDUP((((D27*5)/20)/2),0)</f>
        <v>0</v>
      </c>
      <c r="G102">
        <f>ROUNDUP((((D27*5)/15)/2),0)</f>
        <v>0</v>
      </c>
      <c r="H102">
        <f>ROUNDUP((((D27*5)/15)/2),0)</f>
        <v>0</v>
      </c>
      <c r="I102">
        <f>ROUNDUP((((D27*5)/10)/2),0)</f>
        <v>0</v>
      </c>
      <c r="J102">
        <f>ROUNDUP((((D27*5)/10)/2),0)</f>
        <v>0</v>
      </c>
      <c r="K102">
        <f>ROUNDUP((((D27*5)/5)/2),0)</f>
        <v>0</v>
      </c>
      <c r="L102">
        <f>ROUNDUP((((D27*5)/5)/2),0)</f>
        <v>0</v>
      </c>
      <c r="N102" s="49"/>
      <c r="T102" s="2"/>
      <c r="U102" s="2"/>
      <c r="V102" s="2"/>
      <c r="W102" s="2"/>
    </row>
    <row r="103" spans="1:23" ht="33" customHeight="1">
      <c r="A103" s="14"/>
      <c r="C103" s="53"/>
      <c r="D103" s="66" t="s">
        <v>37</v>
      </c>
      <c r="E103">
        <f>D37</f>
        <v>0</v>
      </c>
      <c r="F103">
        <f>D37</f>
        <v>0</v>
      </c>
      <c r="G103">
        <f>D37</f>
        <v>0</v>
      </c>
      <c r="H103">
        <f>D37</f>
        <v>0</v>
      </c>
      <c r="I103">
        <f>D37</f>
        <v>0</v>
      </c>
      <c r="J103">
        <f>D37</f>
        <v>0</v>
      </c>
      <c r="K103">
        <f>D37</f>
        <v>0</v>
      </c>
      <c r="L103">
        <f>D37</f>
        <v>0</v>
      </c>
      <c r="N103" s="49"/>
      <c r="T103" s="2"/>
      <c r="U103" s="2"/>
      <c r="V103" s="2"/>
      <c r="W103" s="2"/>
    </row>
    <row r="104" spans="1:23" ht="62.4">
      <c r="A104" s="14"/>
      <c r="C104" s="53"/>
      <c r="D104" s="67" t="s">
        <v>58</v>
      </c>
      <c r="E104" s="46">
        <f>IF(((E103-E102)&gt;0),"No Gap",(E103-E102))</f>
        <v>0</v>
      </c>
      <c r="F104" s="46">
        <f t="shared" ref="F104:L104" si="7">IF(((F103-F102)&gt;0),"No Gap",(F103-F102))</f>
        <v>0</v>
      </c>
      <c r="G104" s="46">
        <f t="shared" si="7"/>
        <v>0</v>
      </c>
      <c r="H104" s="46">
        <f t="shared" si="7"/>
        <v>0</v>
      </c>
      <c r="I104" s="46">
        <f t="shared" si="7"/>
        <v>0</v>
      </c>
      <c r="J104" s="46">
        <f t="shared" si="7"/>
        <v>0</v>
      </c>
      <c r="K104" s="46">
        <f t="shared" si="7"/>
        <v>0</v>
      </c>
      <c r="L104" s="46">
        <f t="shared" si="7"/>
        <v>0</v>
      </c>
      <c r="N104" s="49"/>
      <c r="T104" s="2"/>
      <c r="U104" s="2"/>
      <c r="V104" s="2"/>
      <c r="W104" s="2"/>
    </row>
    <row r="105" spans="1:23">
      <c r="A105" s="14"/>
      <c r="C105" s="53"/>
      <c r="D105" s="1"/>
      <c r="N105" s="49"/>
      <c r="T105" s="2"/>
      <c r="U105" s="2"/>
      <c r="V105" s="2"/>
      <c r="W105" s="2"/>
    </row>
    <row r="106" spans="1:23" ht="93.6">
      <c r="A106" s="14"/>
      <c r="C106" s="79" t="s">
        <v>24</v>
      </c>
      <c r="D106" s="66" t="s">
        <v>56</v>
      </c>
      <c r="E106">
        <f>E102*100</f>
        <v>0</v>
      </c>
      <c r="F106">
        <f t="shared" ref="F106:L106" si="8">F102*100</f>
        <v>0</v>
      </c>
      <c r="G106">
        <f t="shared" si="8"/>
        <v>0</v>
      </c>
      <c r="H106">
        <f t="shared" si="8"/>
        <v>0</v>
      </c>
      <c r="I106">
        <f t="shared" si="8"/>
        <v>0</v>
      </c>
      <c r="J106">
        <f t="shared" si="8"/>
        <v>0</v>
      </c>
      <c r="K106">
        <f t="shared" si="8"/>
        <v>0</v>
      </c>
      <c r="L106">
        <f t="shared" si="8"/>
        <v>0</v>
      </c>
      <c r="N106" s="38"/>
      <c r="T106" s="2"/>
      <c r="U106" s="2"/>
      <c r="V106" s="2"/>
      <c r="W106" s="2"/>
    </row>
    <row r="107" spans="1:23" ht="109.2">
      <c r="A107" s="14"/>
      <c r="C107" s="40"/>
      <c r="D107" s="66" t="s">
        <v>53</v>
      </c>
      <c r="E107">
        <f>E102*30</f>
        <v>0</v>
      </c>
      <c r="F107">
        <f t="shared" ref="F107:L107" si="9">F102*30</f>
        <v>0</v>
      </c>
      <c r="G107">
        <f t="shared" si="9"/>
        <v>0</v>
      </c>
      <c r="H107">
        <f t="shared" si="9"/>
        <v>0</v>
      </c>
      <c r="I107">
        <f t="shared" si="9"/>
        <v>0</v>
      </c>
      <c r="J107">
        <f t="shared" si="9"/>
        <v>0</v>
      </c>
      <c r="K107">
        <f t="shared" si="9"/>
        <v>0</v>
      </c>
      <c r="L107">
        <f t="shared" si="9"/>
        <v>0</v>
      </c>
      <c r="N107" s="38"/>
      <c r="T107" s="2"/>
      <c r="U107" s="2"/>
      <c r="V107" s="2"/>
      <c r="W107" s="2"/>
    </row>
    <row r="108" spans="1:23" ht="58.05" customHeight="1">
      <c r="A108" s="14"/>
      <c r="C108" s="1"/>
      <c r="D108" s="66" t="s">
        <v>36</v>
      </c>
      <c r="E108">
        <f>MIN(C50,D50)-G67</f>
        <v>0</v>
      </c>
      <c r="F108">
        <f>MIN(C50,D50)-G67</f>
        <v>0</v>
      </c>
      <c r="G108">
        <f>MIN(C50,D50)-G67</f>
        <v>0</v>
      </c>
      <c r="H108">
        <f>MIN(C50,D50)-G67</f>
        <v>0</v>
      </c>
      <c r="I108">
        <f>MIN(C50,D50)-G67</f>
        <v>0</v>
      </c>
      <c r="J108" s="48">
        <f>MIN(C50,D50)-G67</f>
        <v>0</v>
      </c>
      <c r="K108">
        <f>MIN(C50,D50)-G67</f>
        <v>0</v>
      </c>
      <c r="L108">
        <f>MIN(C50,D50)-G67</f>
        <v>0</v>
      </c>
      <c r="N108" s="49"/>
      <c r="T108" s="2"/>
      <c r="U108" s="2"/>
      <c r="V108" s="2"/>
      <c r="W108" s="2"/>
    </row>
    <row r="109" spans="1:23" ht="93.6">
      <c r="A109" s="14"/>
      <c r="C109" s="1"/>
      <c r="D109" s="80" t="s">
        <v>55</v>
      </c>
      <c r="E109" s="83">
        <f>IF(((E108-E106)&gt;0),"No Gap",(E108-E106))</f>
        <v>0</v>
      </c>
      <c r="F109" s="83">
        <f t="shared" ref="F109:L109" si="10">IF(((F108-F106)&gt;0),"No Gap",(F108-F106))</f>
        <v>0</v>
      </c>
      <c r="G109" s="83">
        <f t="shared" si="10"/>
        <v>0</v>
      </c>
      <c r="H109" s="83">
        <f t="shared" si="10"/>
        <v>0</v>
      </c>
      <c r="I109" s="83">
        <f t="shared" si="10"/>
        <v>0</v>
      </c>
      <c r="J109" s="83">
        <f t="shared" si="10"/>
        <v>0</v>
      </c>
      <c r="K109" s="83">
        <f t="shared" si="10"/>
        <v>0</v>
      </c>
      <c r="L109" s="83">
        <f t="shared" si="10"/>
        <v>0</v>
      </c>
      <c r="M109" s="83"/>
      <c r="N109" s="49"/>
      <c r="T109" s="2"/>
      <c r="U109" s="2"/>
      <c r="V109" s="2"/>
      <c r="W109" s="2"/>
    </row>
    <row r="110" spans="1:23" ht="93.6">
      <c r="A110" s="14"/>
      <c r="C110" s="1"/>
      <c r="D110" s="67" t="s">
        <v>54</v>
      </c>
      <c r="E110" s="83">
        <f>IF(((E108-E107)&gt;0),"No Gap",(E108-E107))</f>
        <v>0</v>
      </c>
      <c r="F110" s="83">
        <f t="shared" ref="F110:L110" si="11">IF(((F108-F107)&gt;0),"No Gap",(F108-F107))</f>
        <v>0</v>
      </c>
      <c r="G110" s="83">
        <f t="shared" si="11"/>
        <v>0</v>
      </c>
      <c r="H110" s="83">
        <f t="shared" si="11"/>
        <v>0</v>
      </c>
      <c r="I110" s="83">
        <f t="shared" si="11"/>
        <v>0</v>
      </c>
      <c r="J110" s="83">
        <f t="shared" si="11"/>
        <v>0</v>
      </c>
      <c r="K110" s="83">
        <f t="shared" si="11"/>
        <v>0</v>
      </c>
      <c r="L110" s="83">
        <f t="shared" si="11"/>
        <v>0</v>
      </c>
      <c r="R110" s="2"/>
      <c r="S110" s="2"/>
      <c r="T110" s="2"/>
      <c r="U110" s="2"/>
    </row>
    <row r="111" spans="1:23">
      <c r="A111" s="14"/>
      <c r="C111" s="1"/>
      <c r="D111" s="41"/>
      <c r="E111" s="46"/>
      <c r="F111" s="46"/>
      <c r="G111" s="46"/>
      <c r="H111" s="46"/>
      <c r="I111" s="46"/>
      <c r="J111" s="46"/>
      <c r="K111" s="46"/>
      <c r="L111" s="46"/>
      <c r="R111" s="2"/>
      <c r="S111" s="2"/>
      <c r="T111" s="2"/>
      <c r="U111" s="2"/>
    </row>
    <row r="113" spans="4:4">
      <c r="D113" s="1"/>
    </row>
  </sheetData>
  <sheetProtection password="C584" sheet="1" objects="1" scenarios="1" selectLockedCells="1"/>
  <mergeCells count="26">
    <mergeCell ref="A96:C96"/>
    <mergeCell ref="C63:D63"/>
    <mergeCell ref="A73:C73"/>
    <mergeCell ref="G76:J76"/>
    <mergeCell ref="E77:F77"/>
    <mergeCell ref="G77:H77"/>
    <mergeCell ref="I77:J77"/>
    <mergeCell ref="K77:L77"/>
    <mergeCell ref="G78:H78"/>
    <mergeCell ref="I78:J78"/>
    <mergeCell ref="G3:H7"/>
    <mergeCell ref="G8:H11"/>
    <mergeCell ref="A1:B1"/>
    <mergeCell ref="I55:L59"/>
    <mergeCell ref="C62:D62"/>
    <mergeCell ref="C34:D34"/>
    <mergeCell ref="A39:A41"/>
    <mergeCell ref="C54:D54"/>
    <mergeCell ref="C55:D55"/>
    <mergeCell ref="C56:D56"/>
    <mergeCell ref="C47:I47"/>
    <mergeCell ref="C57:D57"/>
    <mergeCell ref="C58:D58"/>
    <mergeCell ref="C59:D59"/>
    <mergeCell ref="C60:D60"/>
    <mergeCell ref="C61:D61"/>
  </mergeCells>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7" tint="-0.249977111117893"/>
  </sheetPr>
  <dimension ref="A1:A12"/>
  <sheetViews>
    <sheetView workbookViewId="0">
      <selection activeCell="C5" sqref="C5"/>
    </sheetView>
  </sheetViews>
  <sheetFormatPr defaultColWidth="11.19921875" defaultRowHeight="15.6"/>
  <cols>
    <col min="1" max="1" width="97.796875" customWidth="1"/>
  </cols>
  <sheetData>
    <row r="1" spans="1:1" ht="39" customHeight="1">
      <c r="A1" s="109" t="s">
        <v>81</v>
      </c>
    </row>
    <row r="2" spans="1:1">
      <c r="A2" s="107"/>
    </row>
    <row r="3" spans="1:1" ht="31.2">
      <c r="A3" s="107" t="s">
        <v>77</v>
      </c>
    </row>
    <row r="4" spans="1:1">
      <c r="A4" s="107"/>
    </row>
    <row r="5" spans="1:1" ht="62.4">
      <c r="A5" s="108" t="s">
        <v>75</v>
      </c>
    </row>
    <row r="6" spans="1:1">
      <c r="A6" s="108"/>
    </row>
    <row r="7" spans="1:1" ht="93.6">
      <c r="A7" s="108" t="s">
        <v>78</v>
      </c>
    </row>
    <row r="8" spans="1:1">
      <c r="A8" s="108"/>
    </row>
    <row r="9" spans="1:1" ht="78">
      <c r="A9" s="108" t="s">
        <v>79</v>
      </c>
    </row>
    <row r="10" spans="1:1">
      <c r="A10" s="107"/>
    </row>
    <row r="11" spans="1:1" ht="171.6">
      <c r="A11" s="108" t="s">
        <v>80</v>
      </c>
    </row>
    <row r="12" spans="1:1">
      <c r="A12" s="106"/>
    </row>
  </sheetData>
  <sheetProtection password="C584" sheet="1" objects="1" scenarios="1" selectLockedCells="1"/>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3"/>
  <sheetViews>
    <sheetView workbookViewId="0">
      <selection activeCell="D35" sqref="D35"/>
    </sheetView>
  </sheetViews>
  <sheetFormatPr defaultColWidth="11.19921875" defaultRowHeight="15.6"/>
  <cols>
    <col min="1" max="1" width="19.69921875" customWidth="1"/>
    <col min="2" max="2" width="7.19921875" customWidth="1"/>
    <col min="3" max="3" width="24.69921875" customWidth="1"/>
    <col min="4" max="4" width="19" customWidth="1"/>
    <col min="5" max="5" width="16.69921875" customWidth="1"/>
    <col min="6" max="6" width="16.296875" customWidth="1"/>
    <col min="7" max="7" width="15.796875" customWidth="1"/>
    <col min="8" max="8" width="15" customWidth="1"/>
    <col min="9" max="9" width="17" customWidth="1"/>
    <col min="10" max="10" width="16" customWidth="1"/>
    <col min="11" max="11" width="13.796875" customWidth="1"/>
    <col min="12" max="12" width="17.69921875" customWidth="1"/>
    <col min="13" max="13" width="13.5" customWidth="1"/>
    <col min="14" max="14" width="15" customWidth="1"/>
    <col min="15" max="15" width="14.796875" customWidth="1"/>
  </cols>
  <sheetData>
    <row r="1" spans="1:23" ht="87" customHeight="1">
      <c r="A1" s="112"/>
      <c r="B1" s="112"/>
      <c r="C1" s="95"/>
      <c r="D1" s="104" t="s">
        <v>70</v>
      </c>
      <c r="E1" s="95"/>
      <c r="F1" s="95"/>
      <c r="G1" s="95"/>
      <c r="H1" s="95"/>
      <c r="I1" s="95"/>
      <c r="J1" s="95"/>
      <c r="K1" s="95"/>
      <c r="L1" s="95"/>
      <c r="M1" s="95"/>
      <c r="N1" s="95"/>
      <c r="O1" s="95"/>
      <c r="P1" s="95"/>
      <c r="Q1" s="95"/>
      <c r="R1" s="95"/>
      <c r="S1" s="95"/>
      <c r="T1" s="95"/>
      <c r="U1" s="95"/>
      <c r="V1" s="95"/>
      <c r="W1" s="95"/>
    </row>
    <row r="2" spans="1:23" ht="31.05" customHeight="1">
      <c r="A2" s="97" t="s">
        <v>67</v>
      </c>
      <c r="B2" s="95"/>
      <c r="C2" s="95"/>
      <c r="D2" s="103"/>
      <c r="E2" s="95"/>
      <c r="F2" s="95"/>
      <c r="G2" s="95"/>
      <c r="H2" s="95"/>
      <c r="I2" s="95"/>
      <c r="J2" s="95"/>
      <c r="K2" s="95"/>
      <c r="L2" s="95"/>
      <c r="M2" s="95"/>
      <c r="N2" s="95"/>
      <c r="O2" s="95"/>
      <c r="P2" s="95"/>
      <c r="Q2" s="95"/>
      <c r="R2" s="95"/>
      <c r="S2" s="95"/>
      <c r="T2" s="95"/>
      <c r="U2" s="95"/>
      <c r="V2" s="95"/>
      <c r="W2" s="95"/>
    </row>
    <row r="3" spans="1:23" ht="22.95" customHeight="1">
      <c r="A3" s="110" t="s">
        <v>68</v>
      </c>
      <c r="B3" s="97"/>
      <c r="C3" s="97"/>
      <c r="D3" s="97"/>
      <c r="E3" s="97"/>
      <c r="G3" s="128" t="s">
        <v>82</v>
      </c>
      <c r="H3" s="128"/>
      <c r="I3" s="96"/>
      <c r="J3" s="95"/>
      <c r="K3" s="23"/>
      <c r="L3" s="95"/>
      <c r="M3" s="95"/>
      <c r="N3" s="95"/>
      <c r="O3" s="95"/>
      <c r="P3" s="95"/>
      <c r="Q3" s="95"/>
      <c r="R3" s="95"/>
      <c r="S3" s="95"/>
      <c r="T3" s="95"/>
      <c r="U3" s="95"/>
      <c r="V3" s="95"/>
      <c r="W3" s="95"/>
    </row>
    <row r="4" spans="1:23" ht="22.95" customHeight="1">
      <c r="B4" s="97"/>
      <c r="C4" s="97"/>
      <c r="D4" s="95"/>
      <c r="E4" s="95"/>
      <c r="G4" s="128"/>
      <c r="H4" s="128"/>
      <c r="I4" s="105"/>
      <c r="J4" s="105"/>
      <c r="K4" s="105"/>
      <c r="L4" s="105"/>
      <c r="M4" s="95"/>
      <c r="N4" s="95"/>
      <c r="O4" s="95"/>
      <c r="P4" s="95"/>
      <c r="Q4" s="95"/>
      <c r="R4" s="95"/>
      <c r="S4" s="95"/>
      <c r="T4" s="95"/>
      <c r="U4" s="95"/>
      <c r="V4" s="95"/>
      <c r="W4" s="95"/>
    </row>
    <row r="5" spans="1:23" ht="23.4">
      <c r="A5" s="21"/>
      <c r="B5" s="95"/>
      <c r="C5" s="95"/>
      <c r="D5" s="95"/>
      <c r="E5" s="95"/>
      <c r="G5" s="128"/>
      <c r="H5" s="128"/>
      <c r="I5" s="105"/>
      <c r="J5" s="105"/>
      <c r="K5" s="105"/>
      <c r="L5" s="105"/>
      <c r="M5" s="95"/>
      <c r="N5" s="95"/>
      <c r="O5" s="95"/>
      <c r="P5" s="95"/>
      <c r="Q5" s="95"/>
      <c r="R5" s="95"/>
      <c r="S5" s="95"/>
      <c r="T5" s="95"/>
      <c r="U5" s="95"/>
      <c r="V5" s="95"/>
      <c r="W5" s="95"/>
    </row>
    <row r="6" spans="1:23" ht="31.95" customHeight="1">
      <c r="A6" s="98" t="s">
        <v>69</v>
      </c>
      <c r="B6" s="98"/>
      <c r="C6" s="98"/>
      <c r="D6" s="95"/>
      <c r="E6" s="95"/>
      <c r="G6" s="128"/>
      <c r="H6" s="128"/>
      <c r="I6" s="105"/>
      <c r="J6" s="105"/>
      <c r="K6" s="105"/>
      <c r="L6" s="105"/>
      <c r="M6" s="95"/>
      <c r="N6" s="95"/>
      <c r="O6" s="95"/>
      <c r="P6" s="95"/>
      <c r="Q6" s="95"/>
      <c r="R6" s="95"/>
      <c r="S6" s="95"/>
      <c r="T6" s="95"/>
      <c r="U6" s="95"/>
      <c r="V6" s="95"/>
      <c r="W6" s="95"/>
    </row>
    <row r="7" spans="1:23" ht="28.05" customHeight="1">
      <c r="A7" s="98"/>
      <c r="B7" s="95"/>
      <c r="C7" s="95"/>
      <c r="D7" s="95"/>
      <c r="E7" s="95"/>
      <c r="G7" s="128"/>
      <c r="H7" s="128"/>
      <c r="I7" s="105"/>
      <c r="J7" s="105"/>
      <c r="K7" s="105"/>
      <c r="L7" s="105"/>
      <c r="M7" s="95"/>
      <c r="N7" s="95"/>
      <c r="O7" s="95"/>
      <c r="P7" s="95"/>
      <c r="Q7" s="95"/>
      <c r="R7" s="95"/>
      <c r="S7" s="95"/>
      <c r="T7" s="95"/>
      <c r="U7" s="95"/>
      <c r="V7" s="95"/>
      <c r="W7" s="95"/>
    </row>
    <row r="8" spans="1:23" ht="22.95" customHeight="1">
      <c r="A8" s="98"/>
      <c r="B8" s="99"/>
      <c r="C8" s="95" t="s">
        <v>72</v>
      </c>
      <c r="D8" s="95"/>
      <c r="E8" s="95"/>
      <c r="F8" s="95"/>
      <c r="G8" s="129" t="s">
        <v>83</v>
      </c>
      <c r="H8" s="129"/>
      <c r="I8" s="105"/>
      <c r="J8" s="105"/>
      <c r="K8" s="105"/>
      <c r="L8" s="105"/>
      <c r="M8" s="95"/>
      <c r="N8" s="95"/>
      <c r="O8" s="95"/>
      <c r="P8" s="95"/>
      <c r="Q8" s="95"/>
      <c r="R8" s="95"/>
      <c r="S8" s="95"/>
      <c r="T8" s="95"/>
      <c r="U8" s="95"/>
      <c r="V8" s="95"/>
      <c r="W8" s="95"/>
    </row>
    <row r="9" spans="1:23" ht="22.95" customHeight="1">
      <c r="A9" s="98"/>
      <c r="B9" s="100"/>
      <c r="C9" s="95" t="s">
        <v>73</v>
      </c>
      <c r="D9" s="95"/>
      <c r="E9" s="95"/>
      <c r="F9" s="96"/>
      <c r="G9" s="129"/>
      <c r="H9" s="129"/>
      <c r="I9" s="105"/>
      <c r="J9" s="105"/>
      <c r="K9" s="105"/>
      <c r="L9" s="105"/>
      <c r="M9" s="95"/>
      <c r="N9" s="95"/>
      <c r="O9" s="95"/>
      <c r="P9" s="95"/>
      <c r="Q9" s="95"/>
      <c r="R9" s="95"/>
      <c r="S9" s="95"/>
      <c r="T9" s="95"/>
      <c r="U9" s="95"/>
      <c r="V9" s="95"/>
      <c r="W9" s="95"/>
    </row>
    <row r="10" spans="1:23" ht="22.95" customHeight="1">
      <c r="A10" s="98"/>
      <c r="B10" s="101"/>
      <c r="C10" s="95" t="s">
        <v>74</v>
      </c>
      <c r="D10" s="95"/>
      <c r="E10" s="95"/>
      <c r="F10" s="22"/>
      <c r="G10" s="129"/>
      <c r="H10" s="129"/>
      <c r="I10" s="105"/>
      <c r="J10" s="105"/>
      <c r="K10" s="105"/>
      <c r="L10" s="105"/>
      <c r="M10" s="95"/>
      <c r="N10" s="95"/>
      <c r="O10" s="95"/>
      <c r="P10" s="95"/>
      <c r="Q10" s="95"/>
      <c r="R10" s="95"/>
      <c r="S10" s="95"/>
      <c r="T10" s="95"/>
      <c r="U10" s="95"/>
      <c r="V10" s="95"/>
      <c r="W10" s="95"/>
    </row>
    <row r="11" spans="1:23" ht="23.4">
      <c r="A11" s="98"/>
      <c r="B11" s="95"/>
      <c r="C11" s="95"/>
      <c r="D11" s="95"/>
      <c r="E11" s="95"/>
      <c r="F11" s="95"/>
      <c r="G11" s="129"/>
      <c r="H11" s="129"/>
      <c r="I11" s="105"/>
      <c r="J11" s="105"/>
      <c r="K11" s="105"/>
      <c r="L11" s="105"/>
      <c r="M11" s="95"/>
      <c r="N11" s="95"/>
      <c r="O11" s="95"/>
      <c r="P11" s="95"/>
      <c r="Q11" s="95"/>
      <c r="R11" s="95"/>
      <c r="S11" s="95"/>
      <c r="T11" s="95"/>
      <c r="U11" s="95"/>
      <c r="V11" s="95"/>
      <c r="W11" s="95"/>
    </row>
    <row r="12" spans="1:23">
      <c r="A12" s="95"/>
      <c r="B12" s="95"/>
      <c r="C12" s="95"/>
      <c r="D12" s="95"/>
      <c r="E12" s="95"/>
      <c r="F12" s="95"/>
      <c r="G12" s="95"/>
      <c r="H12" s="95"/>
      <c r="I12" s="102"/>
      <c r="J12" s="102"/>
      <c r="K12" s="102"/>
      <c r="L12" s="102"/>
      <c r="M12" s="95"/>
      <c r="N12" s="95"/>
      <c r="O12" s="95"/>
      <c r="P12" s="95"/>
      <c r="Q12" s="95"/>
      <c r="R12" s="95"/>
      <c r="S12" s="95"/>
      <c r="T12" s="95"/>
      <c r="U12" s="95"/>
      <c r="V12" s="95"/>
      <c r="W12" s="95"/>
    </row>
    <row r="13" spans="1:23" ht="28.05" customHeight="1">
      <c r="A13" s="78" t="s">
        <v>29</v>
      </c>
      <c r="B13" s="27"/>
      <c r="C13" s="27"/>
      <c r="D13" s="27"/>
      <c r="E13" s="27"/>
      <c r="F13" s="27"/>
      <c r="G13" s="27"/>
      <c r="I13" s="102"/>
      <c r="J13" s="102"/>
      <c r="K13" s="102"/>
      <c r="L13" s="102"/>
    </row>
    <row r="14" spans="1:23" s="10" customFormat="1" ht="40.950000000000003" customHeight="1">
      <c r="A14" s="28"/>
      <c r="B14" s="28"/>
      <c r="C14" s="28"/>
      <c r="D14" s="28"/>
      <c r="E14" s="28"/>
      <c r="F14" s="28"/>
      <c r="G14" s="28"/>
      <c r="I14" s="102"/>
      <c r="J14" s="102"/>
      <c r="K14" s="102"/>
      <c r="L14" s="102"/>
    </row>
    <row r="15" spans="1:23" s="11" customFormat="1" ht="18">
      <c r="A15" s="15" t="s">
        <v>3</v>
      </c>
      <c r="C15" s="11" t="s">
        <v>27</v>
      </c>
    </row>
    <row r="16" spans="1:23">
      <c r="A16" s="8"/>
    </row>
    <row r="17" spans="1:6">
      <c r="A17" s="8"/>
      <c r="C17" s="30" t="s">
        <v>1</v>
      </c>
      <c r="D17" s="31" t="s">
        <v>6</v>
      </c>
    </row>
    <row r="18" spans="1:6">
      <c r="A18" s="8"/>
      <c r="C18" s="29">
        <v>3</v>
      </c>
      <c r="D18" s="88">
        <v>122</v>
      </c>
    </row>
    <row r="19" spans="1:6">
      <c r="A19" s="8"/>
      <c r="C19" s="29">
        <v>4</v>
      </c>
      <c r="D19" s="88">
        <v>118</v>
      </c>
    </row>
    <row r="20" spans="1:6">
      <c r="A20" s="8"/>
      <c r="C20" s="29">
        <v>5</v>
      </c>
      <c r="D20" s="88">
        <v>120</v>
      </c>
    </row>
    <row r="21" spans="1:6">
      <c r="A21" s="8"/>
      <c r="C21" s="29">
        <v>6</v>
      </c>
      <c r="D21" s="88">
        <v>124</v>
      </c>
    </row>
    <row r="22" spans="1:6">
      <c r="A22" s="8"/>
      <c r="C22" s="29">
        <v>7</v>
      </c>
      <c r="D22" s="88"/>
    </row>
    <row r="23" spans="1:6">
      <c r="A23" s="8"/>
      <c r="C23" s="29">
        <v>8</v>
      </c>
      <c r="D23" s="88"/>
    </row>
    <row r="24" spans="1:6">
      <c r="A24" s="8"/>
      <c r="C24" s="29">
        <v>9</v>
      </c>
      <c r="D24" s="88"/>
    </row>
    <row r="25" spans="1:6">
      <c r="A25" s="8"/>
      <c r="C25" s="29">
        <v>10</v>
      </c>
      <c r="D25" s="88"/>
    </row>
    <row r="26" spans="1:6">
      <c r="A26" s="8"/>
      <c r="C26" s="29">
        <v>11</v>
      </c>
      <c r="D26" s="88"/>
    </row>
    <row r="27" spans="1:6">
      <c r="A27" s="8"/>
      <c r="C27" s="32" t="s">
        <v>2</v>
      </c>
      <c r="D27" s="17">
        <f>SUM(D18:D26)</f>
        <v>484</v>
      </c>
      <c r="E27" s="7"/>
    </row>
    <row r="28" spans="1:6">
      <c r="A28" s="8"/>
    </row>
    <row r="30" spans="1:6" s="2" customFormat="1">
      <c r="D30" s="7"/>
      <c r="E30" s="7"/>
      <c r="F30" s="7"/>
    </row>
    <row r="31" spans="1:6" s="11" customFormat="1" ht="18">
      <c r="A31" s="15" t="s">
        <v>4</v>
      </c>
      <c r="C31" s="11" t="s">
        <v>26</v>
      </c>
    </row>
    <row r="32" spans="1:6" s="11" customFormat="1" ht="18">
      <c r="A32" s="15"/>
      <c r="C32" s="26" t="s">
        <v>28</v>
      </c>
    </row>
    <row r="33" spans="1:9" s="18" customFormat="1" ht="18">
      <c r="A33" s="15"/>
      <c r="C33" s="25"/>
    </row>
    <row r="34" spans="1:9" s="18" customFormat="1" ht="46.95" customHeight="1">
      <c r="A34" s="15"/>
      <c r="C34" s="116" t="s">
        <v>40</v>
      </c>
      <c r="D34" s="117"/>
    </row>
    <row r="35" spans="1:9" s="18" customFormat="1" ht="63">
      <c r="A35" s="15"/>
      <c r="C35" s="111" t="s">
        <v>87</v>
      </c>
      <c r="D35" s="89">
        <v>36</v>
      </c>
    </row>
    <row r="36" spans="1:9" s="18" customFormat="1" ht="47.4">
      <c r="A36" s="15"/>
      <c r="C36" s="111" t="s">
        <v>88</v>
      </c>
      <c r="D36" s="89">
        <v>15</v>
      </c>
      <c r="E36" s="76"/>
    </row>
    <row r="37" spans="1:9" s="18" customFormat="1" ht="18">
      <c r="A37" s="15"/>
      <c r="C37" s="51" t="s">
        <v>2</v>
      </c>
      <c r="D37" s="52">
        <f>D35+D36</f>
        <v>51</v>
      </c>
    </row>
    <row r="38" spans="1:9">
      <c r="D38" s="3"/>
      <c r="E38" s="3"/>
    </row>
    <row r="39" spans="1:9" s="11" customFormat="1" ht="18" customHeight="1">
      <c r="A39" s="118" t="s">
        <v>42</v>
      </c>
      <c r="C39" s="11" t="s">
        <v>65</v>
      </c>
    </row>
    <row r="40" spans="1:9" s="11" customFormat="1" ht="18" customHeight="1">
      <c r="A40" s="118"/>
    </row>
    <row r="41" spans="1:9">
      <c r="A41" s="118"/>
      <c r="D41" s="3"/>
      <c r="E41" s="3"/>
    </row>
    <row r="42" spans="1:9" s="4" customFormat="1" ht="47.4">
      <c r="A42" s="59"/>
      <c r="D42" s="60" t="s">
        <v>43</v>
      </c>
    </row>
    <row r="43" spans="1:9" ht="140.4">
      <c r="A43" s="6"/>
      <c r="C43" s="29" t="s">
        <v>60</v>
      </c>
      <c r="D43" s="90">
        <v>20</v>
      </c>
      <c r="E43" s="3"/>
    </row>
    <row r="44" spans="1:9">
      <c r="A44" s="6"/>
      <c r="C44" s="7"/>
      <c r="D44" s="84"/>
      <c r="E44" s="3"/>
    </row>
    <row r="46" spans="1:9" s="11" customFormat="1" ht="18">
      <c r="A46" s="15" t="s">
        <v>5</v>
      </c>
      <c r="C46" s="11" t="s">
        <v>62</v>
      </c>
    </row>
    <row r="47" spans="1:9" s="11" customFormat="1" ht="31.05" customHeight="1">
      <c r="A47" s="15"/>
      <c r="C47" s="121" t="s">
        <v>76</v>
      </c>
      <c r="D47" s="121"/>
      <c r="E47" s="121"/>
      <c r="F47" s="121"/>
      <c r="G47" s="121"/>
      <c r="H47" s="121"/>
      <c r="I47" s="121"/>
    </row>
    <row r="48" spans="1:9" s="18" customFormat="1" ht="18">
      <c r="A48" s="15"/>
    </row>
    <row r="49" spans="1:12" ht="31.2">
      <c r="A49" s="8"/>
      <c r="C49" s="29" t="s">
        <v>22</v>
      </c>
      <c r="D49" s="29" t="s">
        <v>23</v>
      </c>
    </row>
    <row r="50" spans="1:12">
      <c r="A50" s="6"/>
      <c r="C50" s="91">
        <v>100000</v>
      </c>
      <c r="D50" s="88">
        <v>100000</v>
      </c>
    </row>
    <row r="51" spans="1:12">
      <c r="A51" s="6"/>
    </row>
    <row r="52" spans="1:12" s="11" customFormat="1">
      <c r="C52" s="11" t="s">
        <v>7</v>
      </c>
    </row>
    <row r="53" spans="1:12" s="18" customFormat="1">
      <c r="A53" s="11"/>
    </row>
    <row r="54" spans="1:12" ht="93.6">
      <c r="A54" s="6"/>
      <c r="C54" s="119" t="s">
        <v>8</v>
      </c>
      <c r="D54" s="120"/>
      <c r="E54" s="29" t="s">
        <v>11</v>
      </c>
      <c r="F54" s="29" t="s">
        <v>31</v>
      </c>
      <c r="G54" s="34" t="s">
        <v>25</v>
      </c>
    </row>
    <row r="55" spans="1:12">
      <c r="A55" s="6"/>
      <c r="C55" s="114" t="s">
        <v>10</v>
      </c>
      <c r="D55" s="115"/>
      <c r="E55" s="92">
        <v>5</v>
      </c>
      <c r="F55" s="35">
        <v>500</v>
      </c>
      <c r="G55" s="24">
        <f t="shared" ref="G55:G66" si="0">E55*F55</f>
        <v>2500</v>
      </c>
      <c r="I55" s="113" t="s">
        <v>86</v>
      </c>
      <c r="J55" s="113"/>
      <c r="K55" s="113"/>
      <c r="L55" s="113"/>
    </row>
    <row r="56" spans="1:12">
      <c r="A56" s="6"/>
      <c r="C56" s="114" t="s">
        <v>9</v>
      </c>
      <c r="D56" s="115"/>
      <c r="E56" s="92"/>
      <c r="F56" s="35">
        <v>500</v>
      </c>
      <c r="G56" s="24">
        <f t="shared" si="0"/>
        <v>0</v>
      </c>
      <c r="I56" s="113"/>
      <c r="J56" s="113"/>
      <c r="K56" s="113"/>
      <c r="L56" s="113"/>
    </row>
    <row r="57" spans="1:12">
      <c r="A57" s="6"/>
      <c r="C57" s="114" t="s">
        <v>15</v>
      </c>
      <c r="D57" s="115"/>
      <c r="E57" s="92"/>
      <c r="F57" s="35">
        <v>250</v>
      </c>
      <c r="G57" s="24">
        <f t="shared" si="0"/>
        <v>0</v>
      </c>
      <c r="I57" s="113"/>
      <c r="J57" s="113"/>
      <c r="K57" s="113"/>
      <c r="L57" s="113"/>
    </row>
    <row r="58" spans="1:12">
      <c r="A58" s="6"/>
      <c r="C58" s="114" t="s">
        <v>20</v>
      </c>
      <c r="D58" s="115"/>
      <c r="E58" s="92"/>
      <c r="F58" s="35">
        <v>1000</v>
      </c>
      <c r="G58" s="24">
        <f t="shared" si="0"/>
        <v>0</v>
      </c>
      <c r="I58" s="113"/>
      <c r="J58" s="113"/>
      <c r="K58" s="113"/>
      <c r="L58" s="113"/>
    </row>
    <row r="59" spans="1:12">
      <c r="A59" s="6"/>
      <c r="C59" s="114" t="s">
        <v>12</v>
      </c>
      <c r="D59" s="115"/>
      <c r="E59" s="92"/>
      <c r="F59" s="35">
        <v>100</v>
      </c>
      <c r="G59" s="24">
        <f t="shared" si="0"/>
        <v>0</v>
      </c>
      <c r="I59" s="113"/>
      <c r="J59" s="113"/>
      <c r="K59" s="113"/>
      <c r="L59" s="113"/>
    </row>
    <row r="60" spans="1:12">
      <c r="A60" s="6"/>
      <c r="C60" s="114" t="s">
        <v>13</v>
      </c>
      <c r="D60" s="115"/>
      <c r="E60" s="92">
        <v>90</v>
      </c>
      <c r="F60" s="35">
        <v>150</v>
      </c>
      <c r="G60" s="24">
        <f t="shared" si="0"/>
        <v>13500</v>
      </c>
    </row>
    <row r="61" spans="1:12">
      <c r="A61" s="6"/>
      <c r="C61" s="114" t="s">
        <v>14</v>
      </c>
      <c r="D61" s="115"/>
      <c r="E61" s="92">
        <v>5</v>
      </c>
      <c r="F61" s="35">
        <v>250</v>
      </c>
      <c r="G61" s="24">
        <f t="shared" si="0"/>
        <v>1250</v>
      </c>
    </row>
    <row r="62" spans="1:12">
      <c r="A62" s="6"/>
      <c r="C62" s="114" t="s">
        <v>16</v>
      </c>
      <c r="D62" s="115"/>
      <c r="E62" s="92"/>
      <c r="F62" s="35">
        <v>700</v>
      </c>
      <c r="G62" s="24">
        <f t="shared" si="0"/>
        <v>0</v>
      </c>
    </row>
    <row r="63" spans="1:12">
      <c r="A63" s="6"/>
      <c r="C63" s="114" t="s">
        <v>17</v>
      </c>
      <c r="D63" s="115"/>
      <c r="E63" s="92"/>
      <c r="F63" s="35">
        <v>4000</v>
      </c>
      <c r="G63" s="24">
        <f t="shared" si="0"/>
        <v>0</v>
      </c>
    </row>
    <row r="64" spans="1:12">
      <c r="A64" s="6"/>
      <c r="C64" s="33" t="s">
        <v>18</v>
      </c>
      <c r="D64" s="33"/>
      <c r="E64" s="92"/>
      <c r="F64" s="35">
        <v>1000</v>
      </c>
      <c r="G64" s="24">
        <f t="shared" si="0"/>
        <v>0</v>
      </c>
    </row>
    <row r="65" spans="1:20">
      <c r="A65" s="6"/>
      <c r="C65" s="33" t="s">
        <v>19</v>
      </c>
      <c r="D65" s="33"/>
      <c r="E65" s="92"/>
      <c r="F65" s="35">
        <v>4000</v>
      </c>
      <c r="G65" s="24">
        <f t="shared" si="0"/>
        <v>0</v>
      </c>
    </row>
    <row r="66" spans="1:20">
      <c r="A66" s="6"/>
      <c r="C66" s="74" t="s">
        <v>21</v>
      </c>
      <c r="D66" s="75"/>
      <c r="E66" s="92"/>
      <c r="F66" s="35">
        <v>500</v>
      </c>
      <c r="G66" s="24">
        <f t="shared" si="0"/>
        <v>0</v>
      </c>
    </row>
    <row r="67" spans="1:20">
      <c r="G67" s="16">
        <f>SUM(G55:G66)</f>
        <v>17250</v>
      </c>
      <c r="H67" s="16" t="s">
        <v>2</v>
      </c>
    </row>
    <row r="68" spans="1:20">
      <c r="A68" s="2"/>
      <c r="B68" s="2"/>
    </row>
    <row r="69" spans="1:20" s="2" customFormat="1"/>
    <row r="70" spans="1:20">
      <c r="A70" s="2"/>
      <c r="B70" s="2"/>
      <c r="J70" s="2"/>
      <c r="K70" s="2"/>
    </row>
    <row r="71" spans="1:20" s="2" customFormat="1" ht="37.950000000000003" customHeight="1">
      <c r="A71" s="36" t="s">
        <v>32</v>
      </c>
      <c r="B71" s="37"/>
      <c r="C71" s="37"/>
      <c r="D71" s="37"/>
      <c r="E71" s="37"/>
      <c r="F71" s="37"/>
      <c r="G71" s="37"/>
    </row>
    <row r="72" spans="1:20" s="2" customFormat="1" ht="34.950000000000003" customHeight="1">
      <c r="A72" s="37"/>
      <c r="B72" s="37"/>
      <c r="C72" s="37"/>
      <c r="D72" s="37"/>
      <c r="E72" s="37"/>
      <c r="F72" s="37"/>
      <c r="G72" s="37"/>
    </row>
    <row r="73" spans="1:20" s="14" customFormat="1" ht="58.95" customHeight="1">
      <c r="A73" s="130" t="s">
        <v>30</v>
      </c>
      <c r="B73" s="130"/>
      <c r="C73" s="130"/>
    </row>
    <row r="74" spans="1:20" s="14" customFormat="1" ht="18">
      <c r="B74" s="54" t="s">
        <v>52</v>
      </c>
    </row>
    <row r="75" spans="1:20" s="14" customFormat="1" ht="18">
      <c r="B75" s="54"/>
    </row>
    <row r="76" spans="1:20" ht="22.05" customHeight="1" thickBot="1">
      <c r="A76" s="14"/>
      <c r="G76" s="131" t="s">
        <v>35</v>
      </c>
      <c r="H76" s="131"/>
      <c r="I76" s="131"/>
      <c r="J76" s="131"/>
      <c r="Q76" s="2"/>
      <c r="R76" s="2"/>
      <c r="S76" s="2"/>
      <c r="T76" s="2"/>
    </row>
    <row r="77" spans="1:20" ht="75" customHeight="1">
      <c r="A77" s="14"/>
      <c r="E77" s="122" t="s">
        <v>61</v>
      </c>
      <c r="F77" s="123"/>
      <c r="G77" s="136" t="s">
        <v>84</v>
      </c>
      <c r="H77" s="137"/>
      <c r="I77" s="136" t="s">
        <v>85</v>
      </c>
      <c r="J77" s="137"/>
      <c r="K77" s="122" t="s">
        <v>51</v>
      </c>
      <c r="L77" s="123"/>
      <c r="Q77" s="2"/>
      <c r="R77" s="2"/>
      <c r="S77" s="2"/>
      <c r="T77" s="2"/>
    </row>
    <row r="78" spans="1:20" ht="31.95" customHeight="1">
      <c r="A78" s="14"/>
      <c r="E78" s="55"/>
      <c r="F78" s="56"/>
      <c r="G78" s="124" t="s">
        <v>49</v>
      </c>
      <c r="H78" s="125"/>
      <c r="I78" s="126" t="s">
        <v>50</v>
      </c>
      <c r="J78" s="127"/>
      <c r="K78" s="57"/>
      <c r="L78" s="58"/>
      <c r="Q78" s="2"/>
      <c r="R78" s="2"/>
      <c r="S78" s="2"/>
      <c r="T78" s="2"/>
    </row>
    <row r="79" spans="1:20" ht="46.8">
      <c r="A79" s="14"/>
      <c r="E79" s="42" t="s">
        <v>33</v>
      </c>
      <c r="F79" s="43" t="s">
        <v>34</v>
      </c>
      <c r="G79" s="42" t="s">
        <v>33</v>
      </c>
      <c r="H79" s="43" t="s">
        <v>34</v>
      </c>
      <c r="I79" s="42" t="s">
        <v>33</v>
      </c>
      <c r="J79" s="43" t="s">
        <v>34</v>
      </c>
      <c r="K79" s="42" t="s">
        <v>33</v>
      </c>
      <c r="L79" s="43" t="s">
        <v>34</v>
      </c>
      <c r="Q79" s="2"/>
      <c r="R79" s="2"/>
      <c r="S79" s="2"/>
      <c r="T79" s="2"/>
    </row>
    <row r="80" spans="1:20" ht="43.95" customHeight="1">
      <c r="A80" s="14"/>
      <c r="C80" s="53" t="s">
        <v>0</v>
      </c>
      <c r="D80" s="93" t="s">
        <v>64</v>
      </c>
      <c r="E80" s="13">
        <f>ROUNDUP((D27/D37),0)</f>
        <v>10</v>
      </c>
      <c r="F80" s="13">
        <f>ROUNDUP((D27/D37),0)</f>
        <v>10</v>
      </c>
      <c r="G80" s="13">
        <f>ROUNDUP((D27/G81),0)</f>
        <v>8</v>
      </c>
      <c r="H80" s="13">
        <f>ROUNDUP((D27/G81),0)</f>
        <v>8</v>
      </c>
      <c r="I80" s="13">
        <f>ROUNDUP((D27/I81),0)</f>
        <v>4</v>
      </c>
      <c r="J80" s="13">
        <f>ROUNDUP((D27/J81),0)</f>
        <v>4</v>
      </c>
      <c r="K80" s="13">
        <f>ROUNDUP((D27/K81),0)</f>
        <v>1</v>
      </c>
      <c r="L80" s="13">
        <f>ROUNDUP((D27/L81),0)</f>
        <v>1</v>
      </c>
      <c r="N80" s="38"/>
      <c r="Q80" s="2"/>
      <c r="R80" s="2"/>
      <c r="S80" s="2"/>
      <c r="T80" s="2"/>
    </row>
    <row r="81" spans="1:20" ht="57" customHeight="1">
      <c r="A81" s="14"/>
      <c r="D81" s="66" t="s">
        <v>39</v>
      </c>
      <c r="E81" s="35"/>
      <c r="F81" s="35"/>
      <c r="G81" s="13">
        <f>ROUNDUP(((MAX(D18:D26))/2),0)</f>
        <v>62</v>
      </c>
      <c r="H81" s="13">
        <f>ROUNDUP(((MAX(D18:D26))/2),0)</f>
        <v>62</v>
      </c>
      <c r="I81" s="13">
        <f>MAX(D18:D26)</f>
        <v>124</v>
      </c>
      <c r="J81" s="13">
        <f>MAX(D18:D26)</f>
        <v>124</v>
      </c>
      <c r="K81" s="13">
        <f>D27</f>
        <v>484</v>
      </c>
      <c r="L81" s="13">
        <f>D27</f>
        <v>484</v>
      </c>
      <c r="Q81" s="2"/>
      <c r="R81" s="2"/>
      <c r="S81" s="2"/>
      <c r="T81" s="2"/>
    </row>
    <row r="82" spans="1:20" ht="36" customHeight="1">
      <c r="A82" s="14"/>
      <c r="C82" s="1"/>
      <c r="D82" s="66" t="s">
        <v>37</v>
      </c>
      <c r="E82" s="13">
        <f>D37</f>
        <v>51</v>
      </c>
      <c r="F82" s="13">
        <f>D37</f>
        <v>51</v>
      </c>
      <c r="G82" s="13">
        <f>D37</f>
        <v>51</v>
      </c>
      <c r="H82" s="13">
        <f>D37</f>
        <v>51</v>
      </c>
      <c r="I82" s="13">
        <f>D37</f>
        <v>51</v>
      </c>
      <c r="J82" s="13">
        <f>D37</f>
        <v>51</v>
      </c>
      <c r="K82" s="13">
        <f>D37</f>
        <v>51</v>
      </c>
      <c r="L82" s="13">
        <f>D37</f>
        <v>51</v>
      </c>
      <c r="Q82" s="2"/>
      <c r="R82" s="2"/>
      <c r="S82" s="2"/>
      <c r="T82" s="2"/>
    </row>
    <row r="83" spans="1:20" ht="64.95" customHeight="1">
      <c r="A83" s="14"/>
      <c r="C83" s="1"/>
      <c r="D83" s="67" t="s">
        <v>63</v>
      </c>
      <c r="E83" s="47"/>
      <c r="F83" s="47"/>
      <c r="G83" s="63">
        <f>IF(((G82-G81)&gt;0),"No Gap",(G82-G81))</f>
        <v>-11</v>
      </c>
      <c r="H83" s="63">
        <f t="shared" ref="H83:L83" si="1">IF(((H82-H81)&gt;0),"No Gap",(H82-H81))</f>
        <v>-11</v>
      </c>
      <c r="I83" s="63">
        <f t="shared" si="1"/>
        <v>-73</v>
      </c>
      <c r="J83" s="63">
        <f t="shared" si="1"/>
        <v>-73</v>
      </c>
      <c r="K83" s="63">
        <f t="shared" si="1"/>
        <v>-433</v>
      </c>
      <c r="L83" s="63">
        <f t="shared" si="1"/>
        <v>-433</v>
      </c>
      <c r="Q83" s="2"/>
      <c r="R83" s="2"/>
      <c r="S83" s="2"/>
      <c r="T83" s="2"/>
    </row>
    <row r="84" spans="1:20">
      <c r="A84" s="14"/>
      <c r="C84" s="1"/>
      <c r="D84" s="68"/>
      <c r="E84" s="13"/>
      <c r="F84" s="13"/>
      <c r="G84" s="13"/>
      <c r="H84" s="13"/>
      <c r="I84" s="13"/>
      <c r="J84" s="13"/>
      <c r="K84" s="13"/>
      <c r="L84" s="13"/>
      <c r="Q84" s="2"/>
      <c r="R84" s="2"/>
      <c r="S84" s="2"/>
      <c r="T84" s="2"/>
    </row>
    <row r="85" spans="1:20" ht="93.6">
      <c r="A85" s="14"/>
      <c r="C85" s="79" t="s">
        <v>24</v>
      </c>
      <c r="D85" s="66" t="s">
        <v>56</v>
      </c>
      <c r="E85" s="13">
        <f>D37*100</f>
        <v>5100</v>
      </c>
      <c r="F85" s="13">
        <f>D37*100</f>
        <v>5100</v>
      </c>
      <c r="G85" s="13">
        <f>G81*100</f>
        <v>6200</v>
      </c>
      <c r="H85" s="13">
        <f>H81*100</f>
        <v>6200</v>
      </c>
      <c r="I85" s="13">
        <f>I81*100</f>
        <v>12400</v>
      </c>
      <c r="J85" s="13">
        <f t="shared" ref="J85:L85" si="2">J81*100</f>
        <v>12400</v>
      </c>
      <c r="K85" s="13">
        <f t="shared" si="2"/>
        <v>48400</v>
      </c>
      <c r="L85" s="13">
        <f t="shared" si="2"/>
        <v>48400</v>
      </c>
      <c r="Q85" s="2"/>
      <c r="R85" s="2"/>
      <c r="S85" s="2"/>
      <c r="T85" s="2"/>
    </row>
    <row r="86" spans="1:20" ht="109.2">
      <c r="A86" s="14"/>
      <c r="C86" s="53"/>
      <c r="D86" s="66" t="s">
        <v>53</v>
      </c>
      <c r="E86" s="13">
        <f>D37*30</f>
        <v>1530</v>
      </c>
      <c r="F86" s="13">
        <f>D37*30</f>
        <v>1530</v>
      </c>
      <c r="G86" s="13">
        <f>G81*30</f>
        <v>1860</v>
      </c>
      <c r="H86" s="13">
        <f>H81*30</f>
        <v>1860</v>
      </c>
      <c r="I86" s="13">
        <f t="shared" ref="I86:L86" si="3">I81*30</f>
        <v>3720</v>
      </c>
      <c r="J86" s="13">
        <f t="shared" si="3"/>
        <v>3720</v>
      </c>
      <c r="K86" s="13">
        <f t="shared" si="3"/>
        <v>14520</v>
      </c>
      <c r="L86" s="13">
        <f t="shared" si="3"/>
        <v>14520</v>
      </c>
      <c r="Q86" s="2"/>
      <c r="R86" s="2"/>
      <c r="S86" s="2"/>
      <c r="T86" s="2"/>
    </row>
    <row r="87" spans="1:20" ht="46.8">
      <c r="A87" s="14"/>
      <c r="D87" s="66" t="s">
        <v>36</v>
      </c>
      <c r="E87" s="13">
        <f>MIN(C50,D50)-G67</f>
        <v>82750</v>
      </c>
      <c r="F87" s="13">
        <f>MIN(C50,D50)-G67</f>
        <v>82750</v>
      </c>
      <c r="G87" s="13">
        <f>MIN(C50,D50)-G67</f>
        <v>82750</v>
      </c>
      <c r="H87" s="13">
        <f>MIN(C50,D50)-G67</f>
        <v>82750</v>
      </c>
      <c r="I87" s="13">
        <f>MIN(C50,D50)-G67</f>
        <v>82750</v>
      </c>
      <c r="J87" s="13">
        <f>MIN(C50,D50)-G67</f>
        <v>82750</v>
      </c>
      <c r="K87" s="13">
        <f>MIN(C50,D50)-G67</f>
        <v>82750</v>
      </c>
      <c r="L87" s="13">
        <f>MIN(C50,D50)-G67</f>
        <v>82750</v>
      </c>
      <c r="Q87" s="2"/>
      <c r="R87" s="2"/>
      <c r="S87" s="2"/>
      <c r="T87" s="2"/>
    </row>
    <row r="88" spans="1:20" ht="93.6">
      <c r="A88" s="14"/>
      <c r="D88" s="80" t="s">
        <v>55</v>
      </c>
      <c r="E88" s="66" t="str">
        <f>IF(((E87-E85)&gt;0),"No Gap",(E87-E85))</f>
        <v>No Gap</v>
      </c>
      <c r="F88" s="66" t="str">
        <f t="shared" ref="F88:L88" si="4">IF(((F87-F85)&gt;0),"No Gap",(F87-F85))</f>
        <v>No Gap</v>
      </c>
      <c r="G88" s="66" t="str">
        <f t="shared" si="4"/>
        <v>No Gap</v>
      </c>
      <c r="H88" s="66" t="str">
        <f t="shared" si="4"/>
        <v>No Gap</v>
      </c>
      <c r="I88" s="66" t="str">
        <f t="shared" si="4"/>
        <v>No Gap</v>
      </c>
      <c r="J88" s="66" t="str">
        <f t="shared" si="4"/>
        <v>No Gap</v>
      </c>
      <c r="K88" s="66" t="str">
        <f t="shared" si="4"/>
        <v>No Gap</v>
      </c>
      <c r="L88" s="66" t="str">
        <f t="shared" si="4"/>
        <v>No Gap</v>
      </c>
      <c r="Q88" s="2"/>
      <c r="R88" s="2"/>
      <c r="S88" s="2"/>
      <c r="T88" s="2"/>
    </row>
    <row r="89" spans="1:20" s="1" customFormat="1" ht="93.6">
      <c r="A89" s="61"/>
      <c r="D89" s="67" t="s">
        <v>54</v>
      </c>
      <c r="E89" s="64" t="str">
        <f>IF(((E87-E86)&gt;0),"No Gap",(E87-E86))</f>
        <v>No Gap</v>
      </c>
      <c r="F89" s="64" t="str">
        <f t="shared" ref="F89:L89" si="5">IF(((F87-F86)&gt;0),"No Gap",(F87-F86))</f>
        <v>No Gap</v>
      </c>
      <c r="G89" s="64" t="str">
        <f t="shared" si="5"/>
        <v>No Gap</v>
      </c>
      <c r="H89" s="64" t="str">
        <f t="shared" si="5"/>
        <v>No Gap</v>
      </c>
      <c r="I89" s="64" t="str">
        <f t="shared" si="5"/>
        <v>No Gap</v>
      </c>
      <c r="J89" s="64" t="str">
        <f t="shared" si="5"/>
        <v>No Gap</v>
      </c>
      <c r="K89" s="64" t="str">
        <f t="shared" si="5"/>
        <v>No Gap</v>
      </c>
      <c r="L89" s="64" t="str">
        <f t="shared" si="5"/>
        <v>No Gap</v>
      </c>
      <c r="Q89" s="62"/>
      <c r="R89" s="62"/>
      <c r="S89" s="62"/>
      <c r="T89" s="62"/>
    </row>
    <row r="90" spans="1:20">
      <c r="A90" s="14"/>
      <c r="D90" s="13"/>
      <c r="E90" s="13"/>
      <c r="F90" s="13"/>
      <c r="G90" s="13"/>
      <c r="H90" s="13"/>
      <c r="I90" s="13"/>
      <c r="J90" s="13"/>
      <c r="K90" s="13"/>
      <c r="L90" s="13"/>
      <c r="Q90" s="2"/>
      <c r="R90" s="2"/>
      <c r="S90" s="2"/>
      <c r="T90" s="2"/>
    </row>
    <row r="91" spans="1:20" ht="31.2">
      <c r="A91" s="14"/>
      <c r="C91" s="53" t="s">
        <v>41</v>
      </c>
      <c r="D91" s="66" t="s">
        <v>38</v>
      </c>
      <c r="E91" s="13">
        <f>ROUNDUP(((D27*5)/(D37*2)),0)</f>
        <v>24</v>
      </c>
      <c r="F91" s="13">
        <f>ROUNDUP(((D27*4)/(D37*2)),0)</f>
        <v>19</v>
      </c>
      <c r="G91" s="13">
        <f>ROUNDUP(((D27*5)/(G81*2)),0)</f>
        <v>20</v>
      </c>
      <c r="H91" s="13">
        <f>ROUNDUP(((D27*4)/(H81*2)),0)</f>
        <v>16</v>
      </c>
      <c r="I91" s="13">
        <f>ROUNDUP(((D27*5)/(I81*2)),0)</f>
        <v>10</v>
      </c>
      <c r="J91" s="13">
        <f>ROUNDUP(((D27*4)/(J81*2)),0)</f>
        <v>8</v>
      </c>
      <c r="K91" s="66" t="str">
        <f>IF((ROUNDUP(((D27*5)/(K81*2)),0))&lt;5,"PARCC 5-Day Minimum",(ROUNDUP(((D27*5)/(K81*2)),0)))</f>
        <v>PARCC 5-Day Minimum</v>
      </c>
      <c r="L91" s="66" t="str">
        <f>IF((ROUNDUP(((D27*5)/(L81*2)),0))&lt;5,"PARCC 5-Day Minimum",(ROUNDUP(((D27*5)/(L81*2)),0)))</f>
        <v>PARCC 5-Day Minimum</v>
      </c>
      <c r="Q91" s="2"/>
      <c r="R91" s="2"/>
      <c r="S91" s="2"/>
      <c r="T91" s="2"/>
    </row>
    <row r="92" spans="1:20" ht="25.05" customHeight="1">
      <c r="A92" s="14"/>
      <c r="D92" s="19" t="s">
        <v>37</v>
      </c>
      <c r="E92" s="13">
        <f>D43</f>
        <v>20</v>
      </c>
      <c r="F92" s="13">
        <f>D43</f>
        <v>20</v>
      </c>
      <c r="G92" s="13">
        <f>D43</f>
        <v>20</v>
      </c>
      <c r="H92" s="13">
        <f>D43</f>
        <v>20</v>
      </c>
      <c r="I92" s="13">
        <f>D43</f>
        <v>20</v>
      </c>
      <c r="J92" s="13">
        <f>D43</f>
        <v>20</v>
      </c>
      <c r="K92" s="13">
        <f>D43</f>
        <v>20</v>
      </c>
      <c r="L92" s="13">
        <f>D43</f>
        <v>20</v>
      </c>
      <c r="Q92" s="2"/>
      <c r="R92" s="2"/>
      <c r="S92" s="2"/>
      <c r="T92" s="2"/>
    </row>
    <row r="93" spans="1:20" ht="36" customHeight="1">
      <c r="A93" s="14"/>
      <c r="D93" s="69" t="s">
        <v>59</v>
      </c>
      <c r="E93" s="65">
        <f>IF(((E92-E91)&gt;0),"No Gap",(E92-E91))</f>
        <v>-4</v>
      </c>
      <c r="F93" s="82" t="str">
        <f>IF(((F92-F91)&gt;0),"No Gap",(F92-F91))</f>
        <v>No Gap</v>
      </c>
      <c r="G93" s="82">
        <f t="shared" ref="G93:J93" si="6">IF(((G92-G91)&gt;0),"No Gap",(G92-G91))</f>
        <v>0</v>
      </c>
      <c r="H93" s="82" t="str">
        <f t="shared" si="6"/>
        <v>No Gap</v>
      </c>
      <c r="I93" s="82" t="str">
        <f t="shared" si="6"/>
        <v>No Gap</v>
      </c>
      <c r="J93" s="82" t="str">
        <f t="shared" si="6"/>
        <v>No Gap</v>
      </c>
      <c r="K93" s="82" t="str">
        <f>IF((ROUNDUP(((D27*5)/(K81*2)),0))&lt;5,"No Gap",(K92-K91))</f>
        <v>No Gap</v>
      </c>
      <c r="L93" s="82" t="str">
        <f>IF((ROUNDUP(((D27*5)/(L81*2)),0))&lt;5,"No Gap",(L92-L91))</f>
        <v>No Gap</v>
      </c>
      <c r="Q93" s="2"/>
      <c r="R93" s="2"/>
      <c r="S93" s="2"/>
      <c r="T93" s="2"/>
    </row>
    <row r="94" spans="1:20">
      <c r="A94" s="2"/>
      <c r="E94" s="44"/>
      <c r="F94" s="45"/>
      <c r="Q94" s="2"/>
      <c r="R94" s="2"/>
      <c r="S94" s="2"/>
      <c r="T94" s="2"/>
    </row>
    <row r="95" spans="1:20">
      <c r="A95" s="2"/>
      <c r="Q95" s="2"/>
      <c r="R95" s="2"/>
      <c r="S95" s="2"/>
      <c r="T95" s="2"/>
    </row>
    <row r="96" spans="1:20" s="20" customFormat="1" ht="51" customHeight="1">
      <c r="A96" s="130" t="s">
        <v>44</v>
      </c>
      <c r="B96" s="130"/>
      <c r="C96" s="130"/>
    </row>
    <row r="97" spans="1:23" s="14" customFormat="1" ht="18">
      <c r="B97" s="54" t="s">
        <v>52</v>
      </c>
    </row>
    <row r="98" spans="1:23" s="14" customFormat="1" ht="18">
      <c r="B98" s="54"/>
    </row>
    <row r="99" spans="1:23" s="2" customFormat="1" ht="18">
      <c r="A99" s="14"/>
      <c r="B99" s="77"/>
    </row>
    <row r="100" spans="1:23" ht="28.05" customHeight="1">
      <c r="A100" s="14"/>
      <c r="E100" s="73" t="s">
        <v>47</v>
      </c>
      <c r="F100" s="73" t="s">
        <v>47</v>
      </c>
      <c r="G100" s="72" t="s">
        <v>46</v>
      </c>
      <c r="H100" s="72" t="s">
        <v>46</v>
      </c>
      <c r="I100" s="73" t="s">
        <v>45</v>
      </c>
      <c r="J100" s="73" t="s">
        <v>45</v>
      </c>
      <c r="K100" s="72" t="s">
        <v>48</v>
      </c>
      <c r="L100" s="85" t="s">
        <v>48</v>
      </c>
      <c r="T100" s="2"/>
      <c r="U100" s="2"/>
      <c r="V100" s="2"/>
      <c r="W100" s="2"/>
    </row>
    <row r="101" spans="1:23" ht="46.8">
      <c r="A101" s="14"/>
      <c r="C101" s="1"/>
      <c r="D101" s="1"/>
      <c r="E101" s="39" t="s">
        <v>33</v>
      </c>
      <c r="F101" s="39" t="s">
        <v>34</v>
      </c>
      <c r="G101" s="39" t="s">
        <v>33</v>
      </c>
      <c r="H101" s="39" t="s">
        <v>34</v>
      </c>
      <c r="I101" s="39" t="s">
        <v>33</v>
      </c>
      <c r="J101" s="39" t="s">
        <v>34</v>
      </c>
      <c r="K101" s="39" t="s">
        <v>33</v>
      </c>
      <c r="L101" s="39" t="s">
        <v>34</v>
      </c>
      <c r="T101" s="2"/>
      <c r="U101" s="2"/>
      <c r="V101" s="2"/>
      <c r="W101" s="2"/>
    </row>
    <row r="102" spans="1:23" ht="78">
      <c r="A102" s="14"/>
      <c r="C102" s="79" t="s">
        <v>0</v>
      </c>
      <c r="D102" s="66" t="s">
        <v>57</v>
      </c>
      <c r="E102">
        <f>ROUNDUP((((D27*5)/20)/2),0)</f>
        <v>61</v>
      </c>
      <c r="F102">
        <f>ROUNDUP((((D27*5)/20)/2),0)</f>
        <v>61</v>
      </c>
      <c r="G102">
        <f>ROUNDUP((((D27*5)/15)/2),0)</f>
        <v>81</v>
      </c>
      <c r="H102">
        <f>ROUNDUP((((D27*5)/15)/2),0)</f>
        <v>81</v>
      </c>
      <c r="I102">
        <f>ROUNDUP((((D27*5)/10)/2),0)</f>
        <v>121</v>
      </c>
      <c r="J102">
        <f>ROUNDUP((((D27*5)/10)/2),0)</f>
        <v>121</v>
      </c>
      <c r="K102">
        <f>ROUNDUP((((D27*5)/5)/2),0)</f>
        <v>242</v>
      </c>
      <c r="L102">
        <f>ROUNDUP((((D27*5)/5)/2),0)</f>
        <v>242</v>
      </c>
      <c r="N102" s="49"/>
      <c r="T102" s="2"/>
      <c r="U102" s="2"/>
      <c r="V102" s="2"/>
      <c r="W102" s="2"/>
    </row>
    <row r="103" spans="1:23" ht="33" customHeight="1">
      <c r="A103" s="14"/>
      <c r="C103" s="53"/>
      <c r="D103" s="66" t="s">
        <v>37</v>
      </c>
      <c r="E103">
        <f>D37</f>
        <v>51</v>
      </c>
      <c r="F103">
        <f>D37</f>
        <v>51</v>
      </c>
      <c r="G103">
        <f>D37</f>
        <v>51</v>
      </c>
      <c r="H103">
        <f>D37</f>
        <v>51</v>
      </c>
      <c r="I103">
        <f>D37</f>
        <v>51</v>
      </c>
      <c r="J103">
        <f>D37</f>
        <v>51</v>
      </c>
      <c r="K103">
        <f>D37</f>
        <v>51</v>
      </c>
      <c r="L103">
        <f>D37</f>
        <v>51</v>
      </c>
      <c r="N103" s="49"/>
      <c r="T103" s="2"/>
      <c r="U103" s="2"/>
      <c r="V103" s="2"/>
      <c r="W103" s="2"/>
    </row>
    <row r="104" spans="1:23" ht="62.4">
      <c r="A104" s="14"/>
      <c r="C104" s="53"/>
      <c r="D104" s="67" t="s">
        <v>58</v>
      </c>
      <c r="E104" s="46">
        <f>IF(((E103-E102)&gt;0),"No Gap",(E103-E102))</f>
        <v>-10</v>
      </c>
      <c r="F104" s="46">
        <f t="shared" ref="F104:L104" si="7">IF(((F103-F102)&gt;0),"No Gap",(F103-F102))</f>
        <v>-10</v>
      </c>
      <c r="G104" s="46">
        <f t="shared" si="7"/>
        <v>-30</v>
      </c>
      <c r="H104" s="46">
        <f t="shared" si="7"/>
        <v>-30</v>
      </c>
      <c r="I104" s="46">
        <f t="shared" si="7"/>
        <v>-70</v>
      </c>
      <c r="J104" s="46">
        <f t="shared" si="7"/>
        <v>-70</v>
      </c>
      <c r="K104" s="46">
        <f t="shared" si="7"/>
        <v>-191</v>
      </c>
      <c r="L104" s="46">
        <f t="shared" si="7"/>
        <v>-191</v>
      </c>
      <c r="N104" s="49"/>
      <c r="T104" s="2"/>
      <c r="U104" s="2"/>
      <c r="V104" s="2"/>
      <c r="W104" s="2"/>
    </row>
    <row r="105" spans="1:23">
      <c r="A105" s="14"/>
      <c r="C105" s="53"/>
      <c r="D105" s="1"/>
      <c r="N105" s="49"/>
      <c r="T105" s="2"/>
      <c r="U105" s="2"/>
      <c r="V105" s="2"/>
      <c r="W105" s="2"/>
    </row>
    <row r="106" spans="1:23" ht="93.6">
      <c r="A106" s="14"/>
      <c r="C106" s="79" t="s">
        <v>24</v>
      </c>
      <c r="D106" s="66" t="s">
        <v>56</v>
      </c>
      <c r="E106">
        <f>E102*100</f>
        <v>6100</v>
      </c>
      <c r="F106">
        <f t="shared" ref="F106:L106" si="8">F102*100</f>
        <v>6100</v>
      </c>
      <c r="G106">
        <f t="shared" si="8"/>
        <v>8100</v>
      </c>
      <c r="H106">
        <f t="shared" si="8"/>
        <v>8100</v>
      </c>
      <c r="I106">
        <f t="shared" si="8"/>
        <v>12100</v>
      </c>
      <c r="J106">
        <f t="shared" si="8"/>
        <v>12100</v>
      </c>
      <c r="K106">
        <f t="shared" si="8"/>
        <v>24200</v>
      </c>
      <c r="L106">
        <f t="shared" si="8"/>
        <v>24200</v>
      </c>
      <c r="N106" s="38"/>
      <c r="T106" s="2"/>
      <c r="U106" s="2"/>
      <c r="V106" s="2"/>
      <c r="W106" s="2"/>
    </row>
    <row r="107" spans="1:23" ht="109.2">
      <c r="A107" s="14"/>
      <c r="C107" s="40"/>
      <c r="D107" s="66" t="s">
        <v>53</v>
      </c>
      <c r="E107">
        <f>E102*30</f>
        <v>1830</v>
      </c>
      <c r="F107">
        <f t="shared" ref="F107:L107" si="9">F102*30</f>
        <v>1830</v>
      </c>
      <c r="G107">
        <f t="shared" si="9"/>
        <v>2430</v>
      </c>
      <c r="H107">
        <f t="shared" si="9"/>
        <v>2430</v>
      </c>
      <c r="I107">
        <f t="shared" si="9"/>
        <v>3630</v>
      </c>
      <c r="J107">
        <f t="shared" si="9"/>
        <v>3630</v>
      </c>
      <c r="K107">
        <f t="shared" si="9"/>
        <v>7260</v>
      </c>
      <c r="L107">
        <f t="shared" si="9"/>
        <v>7260</v>
      </c>
      <c r="N107" s="38"/>
      <c r="T107" s="2"/>
      <c r="U107" s="2"/>
      <c r="V107" s="2"/>
      <c r="W107" s="2"/>
    </row>
    <row r="108" spans="1:23" ht="58.05" customHeight="1">
      <c r="A108" s="14"/>
      <c r="C108" s="1"/>
      <c r="D108" s="66" t="s">
        <v>36</v>
      </c>
      <c r="E108">
        <f>MIN(C50,D50)-G67</f>
        <v>82750</v>
      </c>
      <c r="F108">
        <f>MIN(C50,D50)-G67</f>
        <v>82750</v>
      </c>
      <c r="G108">
        <f>MIN(C50,D50)-G67</f>
        <v>82750</v>
      </c>
      <c r="H108">
        <f>MIN(C50,D50)-G67</f>
        <v>82750</v>
      </c>
      <c r="I108">
        <f>MIN(C50,D50)-G67</f>
        <v>82750</v>
      </c>
      <c r="J108" s="48">
        <f>MIN(C50,D50)-G67</f>
        <v>82750</v>
      </c>
      <c r="K108">
        <f>MIN(C50,D50)-G67</f>
        <v>82750</v>
      </c>
      <c r="L108">
        <f>MIN(C50,D50)-G67</f>
        <v>82750</v>
      </c>
      <c r="N108" s="49"/>
      <c r="T108" s="2"/>
      <c r="U108" s="2"/>
      <c r="V108" s="2"/>
      <c r="W108" s="2"/>
    </row>
    <row r="109" spans="1:23" ht="93.6">
      <c r="A109" s="14"/>
      <c r="C109" s="1"/>
      <c r="D109" s="80" t="s">
        <v>55</v>
      </c>
      <c r="E109" s="83" t="str">
        <f>IF(((E108-E106)&gt;0),"No Gap",(E108-E106))</f>
        <v>No Gap</v>
      </c>
      <c r="F109" s="83" t="str">
        <f t="shared" ref="F109:L109" si="10">IF(((F108-F106)&gt;0),"No Gap",(F108-F106))</f>
        <v>No Gap</v>
      </c>
      <c r="G109" s="83" t="str">
        <f t="shared" si="10"/>
        <v>No Gap</v>
      </c>
      <c r="H109" s="83" t="str">
        <f t="shared" si="10"/>
        <v>No Gap</v>
      </c>
      <c r="I109" s="83" t="str">
        <f t="shared" si="10"/>
        <v>No Gap</v>
      </c>
      <c r="J109" s="83" t="str">
        <f t="shared" si="10"/>
        <v>No Gap</v>
      </c>
      <c r="K109" s="83" t="str">
        <f t="shared" si="10"/>
        <v>No Gap</v>
      </c>
      <c r="L109" s="83" t="str">
        <f t="shared" si="10"/>
        <v>No Gap</v>
      </c>
      <c r="M109" s="83"/>
      <c r="N109" s="49"/>
      <c r="T109" s="2"/>
      <c r="U109" s="2"/>
      <c r="V109" s="2"/>
      <c r="W109" s="2"/>
    </row>
    <row r="110" spans="1:23" ht="93.6">
      <c r="A110" s="14"/>
      <c r="C110" s="1"/>
      <c r="D110" s="67" t="s">
        <v>54</v>
      </c>
      <c r="E110" s="83" t="str">
        <f>IF(((E108-E107)&gt;0),"No Gap",(E108-E107))</f>
        <v>No Gap</v>
      </c>
      <c r="F110" s="83" t="str">
        <f t="shared" ref="F110:L110" si="11">IF(((F108-F107)&gt;0),"No Gap",(F108-F107))</f>
        <v>No Gap</v>
      </c>
      <c r="G110" s="83" t="str">
        <f t="shared" si="11"/>
        <v>No Gap</v>
      </c>
      <c r="H110" s="83" t="str">
        <f t="shared" si="11"/>
        <v>No Gap</v>
      </c>
      <c r="I110" s="83" t="str">
        <f t="shared" si="11"/>
        <v>No Gap</v>
      </c>
      <c r="J110" s="83" t="str">
        <f t="shared" si="11"/>
        <v>No Gap</v>
      </c>
      <c r="K110" s="83" t="str">
        <f t="shared" si="11"/>
        <v>No Gap</v>
      </c>
      <c r="L110" s="83" t="str">
        <f t="shared" si="11"/>
        <v>No Gap</v>
      </c>
      <c r="R110" s="2"/>
      <c r="S110" s="2"/>
      <c r="T110" s="2"/>
      <c r="U110" s="2"/>
    </row>
    <row r="111" spans="1:23">
      <c r="A111" s="14"/>
      <c r="C111" s="1"/>
      <c r="D111" s="41"/>
      <c r="E111" s="46"/>
      <c r="F111" s="46"/>
      <c r="G111" s="46"/>
      <c r="H111" s="46"/>
      <c r="I111" s="46"/>
      <c r="J111" s="46"/>
      <c r="K111" s="46"/>
      <c r="L111" s="46"/>
      <c r="R111" s="2"/>
      <c r="S111" s="2"/>
      <c r="T111" s="2"/>
      <c r="U111" s="2"/>
    </row>
    <row r="113" spans="4:4">
      <c r="D113" s="1"/>
    </row>
  </sheetData>
  <sheetProtection password="C584" sheet="1" objects="1" scenarios="1" selectLockedCells="1"/>
  <mergeCells count="26">
    <mergeCell ref="A39:A41"/>
    <mergeCell ref="I78:J78"/>
    <mergeCell ref="C57:D57"/>
    <mergeCell ref="C56:D56"/>
    <mergeCell ref="C55:D55"/>
    <mergeCell ref="K77:L77"/>
    <mergeCell ref="I77:J77"/>
    <mergeCell ref="G76:J76"/>
    <mergeCell ref="G77:H77"/>
    <mergeCell ref="C47:I47"/>
    <mergeCell ref="A1:B1"/>
    <mergeCell ref="G3:H7"/>
    <mergeCell ref="I55:L59"/>
    <mergeCell ref="A96:C96"/>
    <mergeCell ref="A73:C73"/>
    <mergeCell ref="C54:D54"/>
    <mergeCell ref="C63:D63"/>
    <mergeCell ref="C58:D58"/>
    <mergeCell ref="C62:D62"/>
    <mergeCell ref="C61:D61"/>
    <mergeCell ref="C60:D60"/>
    <mergeCell ref="C59:D59"/>
    <mergeCell ref="C34:D34"/>
    <mergeCell ref="E77:F77"/>
    <mergeCell ref="G78:H78"/>
    <mergeCell ref="G8:H11"/>
  </mergeCells>
  <hyperlinks>
    <hyperlink ref="G10" r:id="rId1" display="svangundy@achieve.org"/>
  </hyperlinks>
  <pageMargins left="0.75" right="0.75" top="1" bottom="1" header="0.5" footer="0.5"/>
  <pageSetup orientation="portrait" horizontalDpi="4294967292" verticalDpi="4294967292"/>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3"/>
  <sheetViews>
    <sheetView workbookViewId="0">
      <selection activeCell="C35" sqref="C35:C36"/>
    </sheetView>
  </sheetViews>
  <sheetFormatPr defaultColWidth="11.19921875" defaultRowHeight="15.6"/>
  <cols>
    <col min="1" max="1" width="19.69921875" customWidth="1"/>
    <col min="2" max="2" width="7.19921875" customWidth="1"/>
    <col min="3" max="3" width="24.69921875" customWidth="1"/>
    <col min="4" max="4" width="19" customWidth="1"/>
    <col min="5" max="5" width="16.69921875" customWidth="1"/>
    <col min="6" max="6" width="16.296875" customWidth="1"/>
    <col min="7" max="7" width="15.796875" customWidth="1"/>
    <col min="8" max="8" width="15" customWidth="1"/>
    <col min="9" max="9" width="17" customWidth="1"/>
    <col min="10" max="10" width="16" customWidth="1"/>
    <col min="11" max="11" width="13.796875" customWidth="1"/>
    <col min="12" max="12" width="17.69921875" customWidth="1"/>
    <col min="13" max="13" width="13.5" customWidth="1"/>
    <col min="14" max="14" width="15" customWidth="1"/>
    <col min="15" max="15" width="14.796875" customWidth="1"/>
  </cols>
  <sheetData>
    <row r="1" spans="1:23" ht="87" customHeight="1">
      <c r="A1" s="112"/>
      <c r="B1" s="112"/>
      <c r="C1" s="95"/>
      <c r="D1" s="104" t="s">
        <v>71</v>
      </c>
      <c r="E1" s="95"/>
      <c r="F1" s="95"/>
      <c r="G1" s="95"/>
      <c r="H1" s="95"/>
      <c r="I1" s="95"/>
      <c r="J1" s="95"/>
      <c r="K1" s="95"/>
      <c r="L1" s="95"/>
      <c r="M1" s="95"/>
      <c r="N1" s="95"/>
      <c r="O1" s="95"/>
      <c r="P1" s="95"/>
      <c r="Q1" s="95"/>
      <c r="R1" s="95"/>
      <c r="S1" s="95"/>
      <c r="T1" s="95"/>
      <c r="U1" s="95"/>
      <c r="V1" s="95"/>
      <c r="W1" s="95"/>
    </row>
    <row r="2" spans="1:23" ht="31.05" customHeight="1">
      <c r="A2" s="97" t="s">
        <v>67</v>
      </c>
      <c r="B2" s="95"/>
      <c r="C2" s="95"/>
      <c r="D2" s="103"/>
      <c r="E2" s="95"/>
      <c r="F2" s="95"/>
      <c r="G2" s="95"/>
      <c r="H2" s="95"/>
      <c r="I2" s="95"/>
      <c r="J2" s="95"/>
      <c r="K2" s="95"/>
      <c r="L2" s="95"/>
      <c r="M2" s="95"/>
      <c r="N2" s="95"/>
      <c r="O2" s="95"/>
      <c r="P2" s="95"/>
      <c r="Q2" s="95"/>
      <c r="R2" s="95"/>
      <c r="S2" s="95"/>
      <c r="T2" s="95"/>
      <c r="U2" s="95"/>
      <c r="V2" s="95"/>
      <c r="W2" s="95"/>
    </row>
    <row r="3" spans="1:23" ht="22.95" customHeight="1">
      <c r="A3" s="110" t="s">
        <v>68</v>
      </c>
      <c r="B3" s="97"/>
      <c r="C3" s="97"/>
      <c r="D3" s="97"/>
      <c r="E3" s="97"/>
      <c r="G3" s="128" t="s">
        <v>82</v>
      </c>
      <c r="H3" s="128"/>
      <c r="I3" s="96"/>
      <c r="J3" s="95"/>
      <c r="K3" s="23"/>
      <c r="L3" s="95"/>
      <c r="M3" s="95"/>
      <c r="N3" s="95"/>
      <c r="O3" s="95"/>
      <c r="P3" s="95"/>
      <c r="Q3" s="95"/>
      <c r="R3" s="95"/>
      <c r="S3" s="95"/>
      <c r="T3" s="95"/>
      <c r="U3" s="95"/>
      <c r="V3" s="95"/>
      <c r="W3" s="95"/>
    </row>
    <row r="4" spans="1:23" ht="22.95" customHeight="1">
      <c r="B4" s="97"/>
      <c r="C4" s="97"/>
      <c r="D4" s="95"/>
      <c r="E4" s="95"/>
      <c r="G4" s="128"/>
      <c r="H4" s="128"/>
      <c r="I4" s="105"/>
      <c r="J4" s="105"/>
      <c r="K4" s="105"/>
      <c r="L4" s="105"/>
      <c r="M4" s="95"/>
      <c r="N4" s="95"/>
      <c r="O4" s="95"/>
      <c r="P4" s="95"/>
      <c r="Q4" s="95"/>
      <c r="R4" s="95"/>
      <c r="S4" s="95"/>
      <c r="T4" s="95"/>
      <c r="U4" s="95"/>
      <c r="V4" s="95"/>
      <c r="W4" s="95"/>
    </row>
    <row r="5" spans="1:23" ht="23.4">
      <c r="A5" s="21"/>
      <c r="B5" s="95"/>
      <c r="C5" s="95"/>
      <c r="D5" s="95"/>
      <c r="E5" s="95"/>
      <c r="G5" s="128"/>
      <c r="H5" s="128"/>
      <c r="I5" s="105"/>
      <c r="J5" s="105"/>
      <c r="K5" s="105"/>
      <c r="L5" s="105"/>
      <c r="M5" s="95"/>
      <c r="N5" s="95"/>
      <c r="O5" s="95"/>
      <c r="P5" s="95"/>
      <c r="Q5" s="95"/>
      <c r="R5" s="95"/>
      <c r="S5" s="95"/>
      <c r="T5" s="95"/>
      <c r="U5" s="95"/>
      <c r="V5" s="95"/>
      <c r="W5" s="95"/>
    </row>
    <row r="6" spans="1:23" ht="31.95" customHeight="1">
      <c r="A6" s="98" t="s">
        <v>69</v>
      </c>
      <c r="B6" s="98"/>
      <c r="C6" s="98"/>
      <c r="D6" s="95"/>
      <c r="E6" s="95"/>
      <c r="G6" s="128"/>
      <c r="H6" s="128"/>
      <c r="I6" s="105"/>
      <c r="J6" s="105"/>
      <c r="K6" s="105"/>
      <c r="L6" s="105"/>
      <c r="M6" s="95"/>
      <c r="N6" s="95"/>
      <c r="O6" s="95"/>
      <c r="P6" s="95"/>
      <c r="Q6" s="95"/>
      <c r="R6" s="95"/>
      <c r="S6" s="95"/>
      <c r="T6" s="95"/>
      <c r="U6" s="95"/>
      <c r="V6" s="95"/>
      <c r="W6" s="95"/>
    </row>
    <row r="7" spans="1:23" ht="28.05" customHeight="1">
      <c r="A7" s="98"/>
      <c r="B7" s="95"/>
      <c r="C7" s="95"/>
      <c r="D7" s="95"/>
      <c r="E7" s="95"/>
      <c r="G7" s="128"/>
      <c r="H7" s="128"/>
      <c r="I7" s="105"/>
      <c r="J7" s="105"/>
      <c r="K7" s="105"/>
      <c r="L7" s="105"/>
      <c r="M7" s="95"/>
      <c r="N7" s="95"/>
      <c r="O7" s="95"/>
      <c r="P7" s="95"/>
      <c r="Q7" s="95"/>
      <c r="R7" s="95"/>
      <c r="S7" s="95"/>
      <c r="T7" s="95"/>
      <c r="U7" s="95"/>
      <c r="V7" s="95"/>
      <c r="W7" s="95"/>
    </row>
    <row r="8" spans="1:23" ht="22.95" customHeight="1">
      <c r="A8" s="98"/>
      <c r="B8" s="99"/>
      <c r="C8" s="95" t="s">
        <v>72</v>
      </c>
      <c r="D8" s="95"/>
      <c r="E8" s="95"/>
      <c r="F8" s="95"/>
      <c r="G8" s="129" t="s">
        <v>83</v>
      </c>
      <c r="H8" s="129"/>
      <c r="I8" s="105"/>
      <c r="J8" s="105"/>
      <c r="K8" s="105"/>
      <c r="L8" s="105"/>
      <c r="M8" s="95"/>
      <c r="N8" s="95"/>
      <c r="O8" s="95"/>
      <c r="P8" s="95"/>
      <c r="Q8" s="95"/>
      <c r="R8" s="95"/>
      <c r="S8" s="95"/>
      <c r="T8" s="95"/>
      <c r="U8" s="95"/>
      <c r="V8" s="95"/>
      <c r="W8" s="95"/>
    </row>
    <row r="9" spans="1:23" ht="22.95" customHeight="1">
      <c r="A9" s="98"/>
      <c r="B9" s="100"/>
      <c r="C9" s="95" t="s">
        <v>73</v>
      </c>
      <c r="D9" s="95"/>
      <c r="E9" s="95"/>
      <c r="F9" s="96"/>
      <c r="G9" s="129"/>
      <c r="H9" s="129"/>
      <c r="I9" s="105"/>
      <c r="J9" s="105"/>
      <c r="K9" s="105"/>
      <c r="L9" s="105"/>
      <c r="M9" s="95"/>
      <c r="N9" s="95"/>
      <c r="O9" s="95"/>
      <c r="P9" s="95"/>
      <c r="Q9" s="95"/>
      <c r="R9" s="95"/>
      <c r="S9" s="95"/>
      <c r="T9" s="95"/>
      <c r="U9" s="95"/>
      <c r="V9" s="95"/>
      <c r="W9" s="95"/>
    </row>
    <row r="10" spans="1:23" ht="22.95" customHeight="1">
      <c r="A10" s="98"/>
      <c r="B10" s="101"/>
      <c r="C10" s="95" t="s">
        <v>74</v>
      </c>
      <c r="D10" s="95"/>
      <c r="E10" s="95"/>
      <c r="F10" s="22"/>
      <c r="G10" s="129"/>
      <c r="H10" s="129"/>
      <c r="I10" s="105"/>
      <c r="J10" s="105"/>
      <c r="K10" s="105"/>
      <c r="L10" s="105"/>
      <c r="M10" s="95"/>
      <c r="N10" s="95"/>
      <c r="O10" s="95"/>
      <c r="P10" s="95"/>
      <c r="Q10" s="95"/>
      <c r="R10" s="95"/>
      <c r="S10" s="95"/>
      <c r="T10" s="95"/>
      <c r="U10" s="95"/>
      <c r="V10" s="95"/>
      <c r="W10" s="95"/>
    </row>
    <row r="11" spans="1:23" ht="23.4">
      <c r="A11" s="98"/>
      <c r="B11" s="95"/>
      <c r="C11" s="95"/>
      <c r="D11" s="95"/>
      <c r="E11" s="95"/>
      <c r="F11" s="95"/>
      <c r="G11" s="129"/>
      <c r="H11" s="129"/>
      <c r="I11" s="105"/>
      <c r="J11" s="105"/>
      <c r="K11" s="105"/>
      <c r="L11" s="105"/>
      <c r="M11" s="95"/>
      <c r="N11" s="95"/>
      <c r="O11" s="95"/>
      <c r="P11" s="95"/>
      <c r="Q11" s="95"/>
      <c r="R11" s="95"/>
      <c r="S11" s="95"/>
      <c r="T11" s="95"/>
      <c r="U11" s="95"/>
      <c r="V11" s="95"/>
      <c r="W11" s="95"/>
    </row>
    <row r="12" spans="1:23">
      <c r="A12" s="95"/>
      <c r="B12" s="95"/>
      <c r="C12" s="95"/>
      <c r="D12" s="95"/>
      <c r="E12" s="95"/>
      <c r="F12" s="95"/>
      <c r="G12" s="95"/>
      <c r="H12" s="95"/>
      <c r="I12" s="102"/>
      <c r="J12" s="102"/>
      <c r="K12" s="102"/>
      <c r="L12" s="102"/>
      <c r="M12" s="95"/>
      <c r="N12" s="95"/>
      <c r="O12" s="95"/>
      <c r="P12" s="95"/>
      <c r="Q12" s="95"/>
      <c r="R12" s="95"/>
      <c r="S12" s="95"/>
      <c r="T12" s="95"/>
      <c r="U12" s="95"/>
      <c r="V12" s="95"/>
      <c r="W12" s="95"/>
    </row>
    <row r="13" spans="1:23" ht="28.05" customHeight="1">
      <c r="A13" s="78" t="s">
        <v>29</v>
      </c>
      <c r="B13" s="27"/>
      <c r="C13" s="27"/>
      <c r="D13" s="27"/>
      <c r="E13" s="27"/>
      <c r="F13" s="27"/>
      <c r="G13" s="27"/>
      <c r="I13" s="102"/>
      <c r="J13" s="102"/>
      <c r="K13" s="102"/>
      <c r="L13" s="102"/>
    </row>
    <row r="14" spans="1:23" s="10" customFormat="1" ht="40.950000000000003" customHeight="1">
      <c r="A14" s="28"/>
      <c r="B14" s="28"/>
      <c r="C14" s="28"/>
      <c r="D14" s="28"/>
      <c r="E14" s="28"/>
      <c r="F14" s="28"/>
      <c r="G14" s="28"/>
      <c r="I14" s="102"/>
      <c r="J14" s="102"/>
      <c r="K14" s="102"/>
      <c r="L14" s="102"/>
    </row>
    <row r="15" spans="1:23" s="11" customFormat="1" ht="18">
      <c r="A15" s="15" t="s">
        <v>3</v>
      </c>
      <c r="C15" s="11" t="s">
        <v>27</v>
      </c>
    </row>
    <row r="16" spans="1:23">
      <c r="A16" s="8"/>
    </row>
    <row r="17" spans="1:6">
      <c r="A17" s="8"/>
      <c r="C17" s="30" t="s">
        <v>1</v>
      </c>
      <c r="D17" s="31" t="s">
        <v>6</v>
      </c>
    </row>
    <row r="18" spans="1:6">
      <c r="A18" s="8"/>
      <c r="C18" s="29">
        <v>3</v>
      </c>
      <c r="D18" s="5"/>
    </row>
    <row r="19" spans="1:6">
      <c r="A19" s="8"/>
      <c r="C19" s="29">
        <v>4</v>
      </c>
      <c r="D19" s="5"/>
    </row>
    <row r="20" spans="1:6">
      <c r="A20" s="8"/>
      <c r="C20" s="29">
        <v>5</v>
      </c>
      <c r="D20" s="5"/>
    </row>
    <row r="21" spans="1:6">
      <c r="A21" s="8"/>
      <c r="C21" s="29">
        <v>6</v>
      </c>
      <c r="D21" s="5"/>
    </row>
    <row r="22" spans="1:6">
      <c r="A22" s="8"/>
      <c r="C22" s="29">
        <v>7</v>
      </c>
      <c r="D22" s="5"/>
    </row>
    <row r="23" spans="1:6">
      <c r="A23" s="8"/>
      <c r="C23" s="29">
        <v>8</v>
      </c>
      <c r="D23" s="5"/>
    </row>
    <row r="24" spans="1:6">
      <c r="A24" s="8"/>
      <c r="C24" s="29">
        <v>9</v>
      </c>
      <c r="D24" s="5">
        <v>485</v>
      </c>
    </row>
    <row r="25" spans="1:6">
      <c r="A25" s="8"/>
      <c r="C25" s="29">
        <v>10</v>
      </c>
      <c r="D25" s="5">
        <v>502</v>
      </c>
    </row>
    <row r="26" spans="1:6">
      <c r="A26" s="8"/>
      <c r="C26" s="29">
        <v>11</v>
      </c>
      <c r="D26" s="5">
        <v>490</v>
      </c>
    </row>
    <row r="27" spans="1:6">
      <c r="A27" s="8"/>
      <c r="C27" s="32" t="s">
        <v>2</v>
      </c>
      <c r="D27" s="17">
        <f>SUM(D18:D26)</f>
        <v>1477</v>
      </c>
      <c r="E27" s="7"/>
    </row>
    <row r="28" spans="1:6">
      <c r="A28" s="8"/>
    </row>
    <row r="30" spans="1:6" s="2" customFormat="1">
      <c r="D30" s="7"/>
      <c r="E30" s="7"/>
      <c r="F30" s="7"/>
    </row>
    <row r="31" spans="1:6" s="11" customFormat="1" ht="18">
      <c r="A31" s="15" t="s">
        <v>4</v>
      </c>
      <c r="C31" s="11" t="s">
        <v>26</v>
      </c>
    </row>
    <row r="32" spans="1:6" s="11" customFormat="1" ht="18">
      <c r="A32" s="15"/>
      <c r="C32" s="26" t="s">
        <v>28</v>
      </c>
    </row>
    <row r="33" spans="1:9" s="18" customFormat="1" ht="18">
      <c r="A33" s="15"/>
      <c r="C33" s="25"/>
    </row>
    <row r="34" spans="1:9" s="18" customFormat="1" ht="46.95" customHeight="1">
      <c r="A34" s="15"/>
      <c r="C34" s="116" t="s">
        <v>40</v>
      </c>
      <c r="D34" s="117"/>
    </row>
    <row r="35" spans="1:9" s="18" customFormat="1" ht="63">
      <c r="A35" s="15"/>
      <c r="C35" s="111" t="s">
        <v>87</v>
      </c>
      <c r="D35" s="50">
        <v>80</v>
      </c>
    </row>
    <row r="36" spans="1:9" s="18" customFormat="1" ht="47.4">
      <c r="A36" s="15"/>
      <c r="C36" s="111" t="s">
        <v>88</v>
      </c>
      <c r="D36" s="50">
        <v>120</v>
      </c>
      <c r="E36" s="76"/>
    </row>
    <row r="37" spans="1:9" s="18" customFormat="1" ht="18">
      <c r="A37" s="15"/>
      <c r="C37" s="51" t="s">
        <v>2</v>
      </c>
      <c r="D37" s="52">
        <f>D35+D36</f>
        <v>200</v>
      </c>
    </row>
    <row r="38" spans="1:9">
      <c r="D38" s="3"/>
      <c r="E38" s="3"/>
    </row>
    <row r="39" spans="1:9" s="11" customFormat="1" ht="18" customHeight="1">
      <c r="A39" s="118" t="s">
        <v>42</v>
      </c>
      <c r="C39" s="94" t="s">
        <v>65</v>
      </c>
    </row>
    <row r="40" spans="1:9" s="11" customFormat="1" ht="18" customHeight="1">
      <c r="A40" s="118"/>
    </row>
    <row r="41" spans="1:9">
      <c r="A41" s="118"/>
      <c r="D41" s="3"/>
      <c r="E41" s="3"/>
    </row>
    <row r="42" spans="1:9" s="4" customFormat="1" ht="47.4">
      <c r="A42" s="59"/>
      <c r="D42" s="60" t="s">
        <v>43</v>
      </c>
    </row>
    <row r="43" spans="1:9" ht="140.4">
      <c r="A43" s="6"/>
      <c r="C43" s="29" t="s">
        <v>60</v>
      </c>
      <c r="D43" s="81">
        <v>20</v>
      </c>
      <c r="E43" s="3"/>
    </row>
    <row r="44" spans="1:9">
      <c r="A44" s="6"/>
      <c r="C44" s="7"/>
      <c r="D44" s="84"/>
      <c r="E44" s="3"/>
    </row>
    <row r="46" spans="1:9" s="11" customFormat="1" ht="18">
      <c r="A46" s="15" t="s">
        <v>5</v>
      </c>
      <c r="C46" s="11" t="s">
        <v>62</v>
      </c>
    </row>
    <row r="47" spans="1:9" s="11" customFormat="1" ht="37.950000000000003" customHeight="1">
      <c r="A47" s="15"/>
      <c r="C47" s="138" t="s">
        <v>76</v>
      </c>
      <c r="D47" s="138"/>
      <c r="E47" s="138"/>
      <c r="F47" s="138"/>
      <c r="G47" s="138"/>
      <c r="H47" s="138"/>
      <c r="I47" s="138"/>
    </row>
    <row r="48" spans="1:9" s="18" customFormat="1" ht="18">
      <c r="A48" s="15"/>
    </row>
    <row r="49" spans="1:12" ht="31.2">
      <c r="A49" s="8"/>
      <c r="C49" s="29" t="s">
        <v>22</v>
      </c>
      <c r="D49" s="29" t="s">
        <v>23</v>
      </c>
    </row>
    <row r="50" spans="1:12">
      <c r="A50" s="6"/>
      <c r="C50" s="9">
        <v>100000</v>
      </c>
      <c r="D50" s="5">
        <v>100000</v>
      </c>
    </row>
    <row r="51" spans="1:12">
      <c r="A51" s="6"/>
    </row>
    <row r="52" spans="1:12" s="11" customFormat="1">
      <c r="C52" s="11" t="s">
        <v>7</v>
      </c>
    </row>
    <row r="53" spans="1:12" s="18" customFormat="1">
      <c r="A53" s="11"/>
    </row>
    <row r="54" spans="1:12" ht="93.6">
      <c r="A54" s="6"/>
      <c r="C54" s="119" t="s">
        <v>8</v>
      </c>
      <c r="D54" s="120"/>
      <c r="E54" s="29" t="s">
        <v>11</v>
      </c>
      <c r="F54" s="29" t="s">
        <v>31</v>
      </c>
      <c r="G54" s="34" t="s">
        <v>25</v>
      </c>
    </row>
    <row r="55" spans="1:12">
      <c r="A55" s="6"/>
      <c r="C55" s="114" t="s">
        <v>10</v>
      </c>
      <c r="D55" s="115"/>
      <c r="E55" s="12">
        <v>15</v>
      </c>
      <c r="F55" s="35">
        <v>500</v>
      </c>
      <c r="G55" s="24">
        <f t="shared" ref="G55:G66" si="0">E55*F55</f>
        <v>7500</v>
      </c>
      <c r="I55" s="113" t="s">
        <v>86</v>
      </c>
      <c r="J55" s="113"/>
      <c r="K55" s="113"/>
      <c r="L55" s="113"/>
    </row>
    <row r="56" spans="1:12">
      <c r="A56" s="6"/>
      <c r="C56" s="114" t="s">
        <v>9</v>
      </c>
      <c r="D56" s="115"/>
      <c r="E56" s="12">
        <v>10</v>
      </c>
      <c r="F56" s="35">
        <v>500</v>
      </c>
      <c r="G56" s="24">
        <f t="shared" si="0"/>
        <v>5000</v>
      </c>
      <c r="I56" s="113"/>
      <c r="J56" s="113"/>
      <c r="K56" s="113"/>
      <c r="L56" s="113"/>
    </row>
    <row r="57" spans="1:12">
      <c r="A57" s="6"/>
      <c r="C57" s="114" t="s">
        <v>15</v>
      </c>
      <c r="D57" s="115"/>
      <c r="E57" s="12"/>
      <c r="F57" s="35">
        <v>250</v>
      </c>
      <c r="G57" s="24">
        <f t="shared" si="0"/>
        <v>0</v>
      </c>
      <c r="I57" s="113"/>
      <c r="J57" s="113"/>
      <c r="K57" s="113"/>
      <c r="L57" s="113"/>
    </row>
    <row r="58" spans="1:12">
      <c r="A58" s="6"/>
      <c r="C58" s="114" t="s">
        <v>20</v>
      </c>
      <c r="D58" s="115"/>
      <c r="E58" s="12"/>
      <c r="F58" s="35">
        <v>1000</v>
      </c>
      <c r="G58" s="24">
        <f t="shared" si="0"/>
        <v>0</v>
      </c>
      <c r="I58" s="113"/>
      <c r="J58" s="113"/>
      <c r="K58" s="113"/>
      <c r="L58" s="113"/>
    </row>
    <row r="59" spans="1:12">
      <c r="A59" s="6"/>
      <c r="C59" s="114" t="s">
        <v>12</v>
      </c>
      <c r="D59" s="115"/>
      <c r="E59" s="12"/>
      <c r="F59" s="35">
        <v>100</v>
      </c>
      <c r="G59" s="24">
        <f t="shared" si="0"/>
        <v>0</v>
      </c>
      <c r="I59" s="113"/>
      <c r="J59" s="113"/>
      <c r="K59" s="113"/>
      <c r="L59" s="113"/>
    </row>
    <row r="60" spans="1:12">
      <c r="A60" s="6"/>
      <c r="C60" s="114" t="s">
        <v>13</v>
      </c>
      <c r="D60" s="115"/>
      <c r="E60" s="12">
        <v>90</v>
      </c>
      <c r="F60" s="35">
        <v>150</v>
      </c>
      <c r="G60" s="24">
        <f t="shared" si="0"/>
        <v>13500</v>
      </c>
    </row>
    <row r="61" spans="1:12">
      <c r="A61" s="6"/>
      <c r="C61" s="114" t="s">
        <v>14</v>
      </c>
      <c r="D61" s="115"/>
      <c r="E61" s="12">
        <v>30</v>
      </c>
      <c r="F61" s="35">
        <v>250</v>
      </c>
      <c r="G61" s="24">
        <f t="shared" si="0"/>
        <v>7500</v>
      </c>
    </row>
    <row r="62" spans="1:12">
      <c r="A62" s="6"/>
      <c r="C62" s="114" t="s">
        <v>16</v>
      </c>
      <c r="D62" s="115"/>
      <c r="E62" s="12"/>
      <c r="F62" s="35">
        <v>700</v>
      </c>
      <c r="G62" s="24">
        <f t="shared" si="0"/>
        <v>0</v>
      </c>
    </row>
    <row r="63" spans="1:12">
      <c r="A63" s="6"/>
      <c r="C63" s="114" t="s">
        <v>17</v>
      </c>
      <c r="D63" s="115"/>
      <c r="E63" s="12"/>
      <c r="F63" s="35">
        <v>4000</v>
      </c>
      <c r="G63" s="24">
        <f t="shared" si="0"/>
        <v>0</v>
      </c>
    </row>
    <row r="64" spans="1:12">
      <c r="A64" s="6"/>
      <c r="C64" s="33" t="s">
        <v>18</v>
      </c>
      <c r="D64" s="33"/>
      <c r="E64" s="12">
        <v>5</v>
      </c>
      <c r="F64" s="35">
        <v>1000</v>
      </c>
      <c r="G64" s="24">
        <f t="shared" si="0"/>
        <v>5000</v>
      </c>
    </row>
    <row r="65" spans="1:20">
      <c r="A65" s="6"/>
      <c r="C65" s="33" t="s">
        <v>19</v>
      </c>
      <c r="D65" s="33"/>
      <c r="E65" s="12"/>
      <c r="F65" s="35">
        <v>4000</v>
      </c>
      <c r="G65" s="24">
        <f t="shared" si="0"/>
        <v>0</v>
      </c>
    </row>
    <row r="66" spans="1:20">
      <c r="A66" s="6"/>
      <c r="C66" s="70" t="s">
        <v>21</v>
      </c>
      <c r="D66" s="71"/>
      <c r="E66" s="12"/>
      <c r="F66" s="35">
        <v>500</v>
      </c>
      <c r="G66" s="24">
        <f t="shared" si="0"/>
        <v>0</v>
      </c>
    </row>
    <row r="67" spans="1:20">
      <c r="G67" s="16">
        <f>SUM(G55:G66)</f>
        <v>38500</v>
      </c>
      <c r="H67" s="16" t="s">
        <v>2</v>
      </c>
    </row>
    <row r="68" spans="1:20">
      <c r="A68" s="2"/>
      <c r="B68" s="2"/>
    </row>
    <row r="69" spans="1:20" s="2" customFormat="1"/>
    <row r="70" spans="1:20">
      <c r="A70" s="2"/>
      <c r="B70" s="2"/>
      <c r="J70" s="2"/>
      <c r="K70" s="2"/>
    </row>
    <row r="71" spans="1:20" s="2" customFormat="1" ht="37.950000000000003" customHeight="1">
      <c r="A71" s="36" t="s">
        <v>32</v>
      </c>
      <c r="B71" s="37"/>
      <c r="C71" s="37"/>
      <c r="D71" s="37"/>
      <c r="E71" s="37"/>
      <c r="F71" s="37"/>
      <c r="G71" s="37"/>
    </row>
    <row r="72" spans="1:20" s="2" customFormat="1" ht="34.950000000000003" customHeight="1">
      <c r="A72" s="37"/>
      <c r="B72" s="37"/>
      <c r="C72" s="37"/>
      <c r="D72" s="37"/>
      <c r="E72" s="37"/>
      <c r="F72" s="37"/>
      <c r="G72" s="37"/>
    </row>
    <row r="73" spans="1:20" s="14" customFormat="1" ht="58.95" customHeight="1">
      <c r="A73" s="130" t="s">
        <v>30</v>
      </c>
      <c r="B73" s="130"/>
      <c r="C73" s="130"/>
    </row>
    <row r="74" spans="1:20" s="14" customFormat="1" ht="18">
      <c r="B74" s="54" t="s">
        <v>52</v>
      </c>
    </row>
    <row r="75" spans="1:20" s="14" customFormat="1" ht="18">
      <c r="B75" s="54"/>
    </row>
    <row r="76" spans="1:20" ht="22.05" customHeight="1" thickBot="1">
      <c r="A76" s="14"/>
      <c r="G76" s="131" t="s">
        <v>35</v>
      </c>
      <c r="H76" s="131"/>
      <c r="I76" s="131"/>
      <c r="J76" s="131"/>
      <c r="Q76" s="2"/>
      <c r="R76" s="2"/>
      <c r="S76" s="2"/>
      <c r="T76" s="2"/>
    </row>
    <row r="77" spans="1:20" ht="75" customHeight="1">
      <c r="A77" s="14"/>
      <c r="E77" s="122" t="s">
        <v>61</v>
      </c>
      <c r="F77" s="123"/>
      <c r="G77" s="136" t="s">
        <v>84</v>
      </c>
      <c r="H77" s="137"/>
      <c r="I77" s="136" t="s">
        <v>85</v>
      </c>
      <c r="J77" s="137"/>
      <c r="K77" s="122" t="s">
        <v>51</v>
      </c>
      <c r="L77" s="123"/>
      <c r="Q77" s="2"/>
      <c r="R77" s="2"/>
      <c r="S77" s="2"/>
      <c r="T77" s="2"/>
    </row>
    <row r="78" spans="1:20" ht="31.95" customHeight="1">
      <c r="A78" s="14"/>
      <c r="E78" s="55"/>
      <c r="F78" s="56"/>
      <c r="G78" s="124" t="s">
        <v>49</v>
      </c>
      <c r="H78" s="125"/>
      <c r="I78" s="126" t="s">
        <v>50</v>
      </c>
      <c r="J78" s="127"/>
      <c r="K78" s="57"/>
      <c r="L78" s="58"/>
      <c r="Q78" s="2"/>
      <c r="R78" s="2"/>
      <c r="S78" s="2"/>
      <c r="T78" s="2"/>
    </row>
    <row r="79" spans="1:20" ht="46.8">
      <c r="A79" s="14"/>
      <c r="E79" s="42" t="s">
        <v>33</v>
      </c>
      <c r="F79" s="43" t="s">
        <v>34</v>
      </c>
      <c r="G79" s="42" t="s">
        <v>33</v>
      </c>
      <c r="H79" s="43" t="s">
        <v>34</v>
      </c>
      <c r="I79" s="42" t="s">
        <v>33</v>
      </c>
      <c r="J79" s="43" t="s">
        <v>34</v>
      </c>
      <c r="K79" s="42" t="s">
        <v>33</v>
      </c>
      <c r="L79" s="43" t="s">
        <v>34</v>
      </c>
      <c r="Q79" s="2"/>
      <c r="R79" s="2"/>
      <c r="S79" s="2"/>
      <c r="T79" s="2"/>
    </row>
    <row r="80" spans="1:20" ht="46.95" customHeight="1">
      <c r="A80" s="14"/>
      <c r="C80" s="53" t="s">
        <v>0</v>
      </c>
      <c r="D80" s="93" t="s">
        <v>64</v>
      </c>
      <c r="E80" s="13">
        <f>ROUNDUP((D27/D37),0)</f>
        <v>8</v>
      </c>
      <c r="F80" s="13">
        <f>ROUNDUP((D27/D37),0)</f>
        <v>8</v>
      </c>
      <c r="G80" s="13">
        <f>ROUNDUP((D27/G81),0)</f>
        <v>6</v>
      </c>
      <c r="H80" s="13">
        <f>ROUNDUP((D27/G81),0)</f>
        <v>6</v>
      </c>
      <c r="I80" s="13">
        <f>ROUNDUP((D27/I81),0)</f>
        <v>3</v>
      </c>
      <c r="J80" s="13">
        <f>ROUNDUP((D27/J81),0)</f>
        <v>3</v>
      </c>
      <c r="K80" s="13">
        <f>ROUNDUP((D27/K81),0)</f>
        <v>1</v>
      </c>
      <c r="L80" s="13">
        <f>ROUNDUP((D27/L81),0)</f>
        <v>1</v>
      </c>
      <c r="N80" s="38"/>
      <c r="Q80" s="2"/>
      <c r="R80" s="2"/>
      <c r="S80" s="2"/>
      <c r="T80" s="2"/>
    </row>
    <row r="81" spans="1:20" ht="57" customHeight="1">
      <c r="A81" s="14"/>
      <c r="D81" s="66" t="s">
        <v>39</v>
      </c>
      <c r="E81" s="35"/>
      <c r="F81" s="35"/>
      <c r="G81" s="13">
        <f>ROUNDUP(((MAX(D18:D26))/2),0)</f>
        <v>251</v>
      </c>
      <c r="H81" s="13">
        <f>ROUNDUP(((MAX(D18:D26))/2),0)</f>
        <v>251</v>
      </c>
      <c r="I81" s="13">
        <f>MAX(D18:D26)</f>
        <v>502</v>
      </c>
      <c r="J81" s="13">
        <f>MAX(D18:D26)</f>
        <v>502</v>
      </c>
      <c r="K81" s="13">
        <f>D27</f>
        <v>1477</v>
      </c>
      <c r="L81" s="13">
        <f>D27</f>
        <v>1477</v>
      </c>
      <c r="Q81" s="2"/>
      <c r="R81" s="2"/>
      <c r="S81" s="2"/>
      <c r="T81" s="2"/>
    </row>
    <row r="82" spans="1:20" ht="36" customHeight="1">
      <c r="A82" s="14"/>
      <c r="C82" s="1"/>
      <c r="D82" s="66" t="s">
        <v>37</v>
      </c>
      <c r="E82" s="13">
        <f>D37</f>
        <v>200</v>
      </c>
      <c r="F82" s="13">
        <f>D37</f>
        <v>200</v>
      </c>
      <c r="G82" s="13">
        <f>D37</f>
        <v>200</v>
      </c>
      <c r="H82" s="13">
        <f>D37</f>
        <v>200</v>
      </c>
      <c r="I82" s="13">
        <f>D37</f>
        <v>200</v>
      </c>
      <c r="J82" s="13">
        <f>D37</f>
        <v>200</v>
      </c>
      <c r="K82" s="13">
        <f>D37</f>
        <v>200</v>
      </c>
      <c r="L82" s="13">
        <f>D37</f>
        <v>200</v>
      </c>
      <c r="Q82" s="2"/>
      <c r="R82" s="2"/>
      <c r="S82" s="2"/>
      <c r="T82" s="2"/>
    </row>
    <row r="83" spans="1:20" ht="64.95" customHeight="1">
      <c r="A83" s="14"/>
      <c r="C83" s="1"/>
      <c r="D83" s="67" t="s">
        <v>63</v>
      </c>
      <c r="E83" s="47"/>
      <c r="F83" s="47"/>
      <c r="G83" s="63">
        <f>IF(((G82-G81)&gt;0),"No Gap",(G82-G81))</f>
        <v>-51</v>
      </c>
      <c r="H83" s="63">
        <f t="shared" ref="H83:L83" si="1">IF(((H82-H81)&gt;0),"No Gap",(H82-H81))</f>
        <v>-51</v>
      </c>
      <c r="I83" s="63">
        <f t="shared" si="1"/>
        <v>-302</v>
      </c>
      <c r="J83" s="63">
        <f t="shared" si="1"/>
        <v>-302</v>
      </c>
      <c r="K83" s="63">
        <f t="shared" si="1"/>
        <v>-1277</v>
      </c>
      <c r="L83" s="63">
        <f t="shared" si="1"/>
        <v>-1277</v>
      </c>
      <c r="Q83" s="2"/>
      <c r="R83" s="2"/>
      <c r="S83" s="2"/>
      <c r="T83" s="2"/>
    </row>
    <row r="84" spans="1:20">
      <c r="A84" s="14"/>
      <c r="C84" s="1"/>
      <c r="D84" s="68"/>
      <c r="E84" s="13"/>
      <c r="F84" s="13"/>
      <c r="G84" s="13"/>
      <c r="H84" s="13"/>
      <c r="I84" s="13"/>
      <c r="J84" s="13"/>
      <c r="K84" s="13"/>
      <c r="L84" s="13"/>
      <c r="Q84" s="2"/>
      <c r="R84" s="2"/>
      <c r="S84" s="2"/>
      <c r="T84" s="2"/>
    </row>
    <row r="85" spans="1:20" ht="93.6">
      <c r="A85" s="14"/>
      <c r="C85" s="79" t="s">
        <v>24</v>
      </c>
      <c r="D85" s="66" t="s">
        <v>56</v>
      </c>
      <c r="E85" s="13">
        <f>D37*100</f>
        <v>20000</v>
      </c>
      <c r="F85" s="13">
        <f>D37*100</f>
        <v>20000</v>
      </c>
      <c r="G85" s="13">
        <f>G81*100</f>
        <v>25100</v>
      </c>
      <c r="H85" s="13">
        <f>H81*100</f>
        <v>25100</v>
      </c>
      <c r="I85" s="13">
        <f>I81*100</f>
        <v>50200</v>
      </c>
      <c r="J85" s="13">
        <f t="shared" ref="J85:L85" si="2">J81*100</f>
        <v>50200</v>
      </c>
      <c r="K85" s="13">
        <f t="shared" si="2"/>
        <v>147700</v>
      </c>
      <c r="L85" s="13">
        <f t="shared" si="2"/>
        <v>147700</v>
      </c>
      <c r="Q85" s="2"/>
      <c r="R85" s="2"/>
      <c r="S85" s="2"/>
      <c r="T85" s="2"/>
    </row>
    <row r="86" spans="1:20" ht="109.2">
      <c r="A86" s="14"/>
      <c r="C86" s="53"/>
      <c r="D86" s="66" t="s">
        <v>53</v>
      </c>
      <c r="E86" s="13">
        <f>D37*30</f>
        <v>6000</v>
      </c>
      <c r="F86" s="13">
        <f>D37*30</f>
        <v>6000</v>
      </c>
      <c r="G86" s="13">
        <f>G81*30</f>
        <v>7530</v>
      </c>
      <c r="H86" s="13">
        <f>H81*30</f>
        <v>7530</v>
      </c>
      <c r="I86" s="13">
        <f t="shared" ref="I86:L86" si="3">I81*30</f>
        <v>15060</v>
      </c>
      <c r="J86" s="13">
        <f t="shared" si="3"/>
        <v>15060</v>
      </c>
      <c r="K86" s="13">
        <f t="shared" si="3"/>
        <v>44310</v>
      </c>
      <c r="L86" s="13">
        <f t="shared" si="3"/>
        <v>44310</v>
      </c>
      <c r="Q86" s="2"/>
      <c r="R86" s="2"/>
      <c r="S86" s="2"/>
      <c r="T86" s="2"/>
    </row>
    <row r="87" spans="1:20" ht="46.8">
      <c r="A87" s="14"/>
      <c r="D87" s="66" t="s">
        <v>36</v>
      </c>
      <c r="E87" s="13">
        <f>MIN(C50,D50)-G67</f>
        <v>61500</v>
      </c>
      <c r="F87" s="13">
        <f>MIN(C50,D50)-G67</f>
        <v>61500</v>
      </c>
      <c r="G87" s="13">
        <f>MIN(C50,D50)-G67</f>
        <v>61500</v>
      </c>
      <c r="H87" s="13">
        <f>MIN(C50,D50)-G67</f>
        <v>61500</v>
      </c>
      <c r="I87" s="13">
        <f>MIN(C50,D50)-G67</f>
        <v>61500</v>
      </c>
      <c r="J87" s="13">
        <f>MIN(C50,D50)-G67</f>
        <v>61500</v>
      </c>
      <c r="K87" s="13">
        <f>MIN(C50,D50)-G67</f>
        <v>61500</v>
      </c>
      <c r="L87" s="13">
        <f>MIN(C50,D50)-G67</f>
        <v>61500</v>
      </c>
      <c r="Q87" s="2"/>
      <c r="R87" s="2"/>
      <c r="S87" s="2"/>
      <c r="T87" s="2"/>
    </row>
    <row r="88" spans="1:20" ht="93.6">
      <c r="A88" s="14"/>
      <c r="D88" s="80" t="s">
        <v>55</v>
      </c>
      <c r="E88" s="64" t="str">
        <f>IF(((E87-E85)&gt;0),"No Gap",(E87-E85))</f>
        <v>No Gap</v>
      </c>
      <c r="F88" s="64" t="str">
        <f t="shared" ref="F88:L88" si="4">IF(((F87-F85)&gt;0),"No Gap",(F87-F85))</f>
        <v>No Gap</v>
      </c>
      <c r="G88" s="64" t="str">
        <f t="shared" si="4"/>
        <v>No Gap</v>
      </c>
      <c r="H88" s="64" t="str">
        <f t="shared" si="4"/>
        <v>No Gap</v>
      </c>
      <c r="I88" s="64" t="str">
        <f t="shared" si="4"/>
        <v>No Gap</v>
      </c>
      <c r="J88" s="64" t="str">
        <f t="shared" si="4"/>
        <v>No Gap</v>
      </c>
      <c r="K88" s="64">
        <f t="shared" si="4"/>
        <v>-86200</v>
      </c>
      <c r="L88" s="64">
        <f t="shared" si="4"/>
        <v>-86200</v>
      </c>
      <c r="Q88" s="2"/>
      <c r="R88" s="2"/>
      <c r="S88" s="2"/>
      <c r="T88" s="2"/>
    </row>
    <row r="89" spans="1:20" s="1" customFormat="1" ht="93.6">
      <c r="A89" s="61"/>
      <c r="D89" s="67" t="s">
        <v>54</v>
      </c>
      <c r="E89" s="64" t="str">
        <f>IF(((E87-E86)&gt;0),"No Gap",(E87-E86))</f>
        <v>No Gap</v>
      </c>
      <c r="F89" s="64" t="str">
        <f t="shared" ref="F89:L89" si="5">IF(((F87-F86)&gt;0),"No Gap",(F87-F86))</f>
        <v>No Gap</v>
      </c>
      <c r="G89" s="64" t="str">
        <f t="shared" si="5"/>
        <v>No Gap</v>
      </c>
      <c r="H89" s="64" t="str">
        <f t="shared" si="5"/>
        <v>No Gap</v>
      </c>
      <c r="I89" s="64" t="str">
        <f t="shared" si="5"/>
        <v>No Gap</v>
      </c>
      <c r="J89" s="64" t="str">
        <f t="shared" si="5"/>
        <v>No Gap</v>
      </c>
      <c r="K89" s="64" t="str">
        <f t="shared" si="5"/>
        <v>No Gap</v>
      </c>
      <c r="L89" s="64" t="str">
        <f t="shared" si="5"/>
        <v>No Gap</v>
      </c>
      <c r="Q89" s="62"/>
      <c r="R89" s="62"/>
      <c r="S89" s="62"/>
      <c r="T89" s="62"/>
    </row>
    <row r="90" spans="1:20">
      <c r="A90" s="14"/>
      <c r="D90" s="13"/>
      <c r="E90" s="13"/>
      <c r="F90" s="13"/>
      <c r="G90" s="13"/>
      <c r="H90" s="13"/>
      <c r="I90" s="13"/>
      <c r="J90" s="13"/>
      <c r="K90" s="13"/>
      <c r="L90" s="13"/>
      <c r="Q90" s="2"/>
      <c r="R90" s="2"/>
      <c r="S90" s="2"/>
      <c r="T90" s="2"/>
    </row>
    <row r="91" spans="1:20" ht="31.2">
      <c r="A91" s="14"/>
      <c r="C91" s="53" t="s">
        <v>41</v>
      </c>
      <c r="D91" s="66" t="s">
        <v>38</v>
      </c>
      <c r="E91" s="13">
        <f>ROUNDUP(((D27*5)/(D37*2)),0)</f>
        <v>19</v>
      </c>
      <c r="F91" s="13">
        <f>ROUNDUP(((D27*4)/(D37*2)),0)</f>
        <v>15</v>
      </c>
      <c r="G91" s="13">
        <f>ROUNDUP(((D27*5)/(G81*2)),0)</f>
        <v>15</v>
      </c>
      <c r="H91" s="13">
        <f>ROUNDUP(((D27*4)/(H81*2)),0)</f>
        <v>12</v>
      </c>
      <c r="I91" s="13">
        <f>ROUNDUP(((D27*5)/(I81*2)),0)</f>
        <v>8</v>
      </c>
      <c r="J91" s="13">
        <f>ROUNDUP(((D27*4)/(J81*2)),0)</f>
        <v>6</v>
      </c>
      <c r="K91" s="66" t="str">
        <f>IF((ROUNDUP(((D27*5)/(K81*2)),0))&lt;5,"PARCC 5-Day Minimum",(ROUNDUP(((D27*5)/(K81*2)),0)))</f>
        <v>PARCC 5-Day Minimum</v>
      </c>
      <c r="L91" s="66" t="str">
        <f>IF((ROUNDUP(((D27*5)/(L81*2)),0))&lt;5,"PARCC 5-Day Minimum",(ROUNDUP(((D27*5)/(L81*2)),0)))</f>
        <v>PARCC 5-Day Minimum</v>
      </c>
      <c r="Q91" s="2"/>
      <c r="R91" s="2"/>
      <c r="S91" s="2"/>
      <c r="T91" s="2"/>
    </row>
    <row r="92" spans="1:20" ht="25.05" customHeight="1">
      <c r="A92" s="14"/>
      <c r="D92" s="19" t="s">
        <v>37</v>
      </c>
      <c r="E92" s="13">
        <f>D43</f>
        <v>20</v>
      </c>
      <c r="F92" s="13">
        <f>D43</f>
        <v>20</v>
      </c>
      <c r="G92" s="13">
        <f>D43</f>
        <v>20</v>
      </c>
      <c r="H92" s="13">
        <f>D43</f>
        <v>20</v>
      </c>
      <c r="I92" s="13">
        <f>D43</f>
        <v>20</v>
      </c>
      <c r="J92" s="13">
        <f>D43</f>
        <v>20</v>
      </c>
      <c r="K92" s="13">
        <f>D43</f>
        <v>20</v>
      </c>
      <c r="L92" s="13">
        <f>D43</f>
        <v>20</v>
      </c>
      <c r="Q92" s="2"/>
      <c r="R92" s="2"/>
      <c r="S92" s="2"/>
      <c r="T92" s="2"/>
    </row>
    <row r="93" spans="1:20" ht="36" customHeight="1">
      <c r="A93" s="14"/>
      <c r="D93" s="69" t="s">
        <v>59</v>
      </c>
      <c r="E93" s="65" t="str">
        <f>IF(((E92-E91)&gt;0),"No Gap",(E92-E91))</f>
        <v>No Gap</v>
      </c>
      <c r="F93" s="82" t="str">
        <f>IF(((F92-F91)&gt;0),"No Gap",(F92-F91))</f>
        <v>No Gap</v>
      </c>
      <c r="G93" s="82" t="str">
        <f t="shared" ref="G93:J93" si="6">IF(((G92-G91)&gt;0),"No Gap",(G92-G91))</f>
        <v>No Gap</v>
      </c>
      <c r="H93" s="82" t="str">
        <f t="shared" si="6"/>
        <v>No Gap</v>
      </c>
      <c r="I93" s="82" t="str">
        <f t="shared" si="6"/>
        <v>No Gap</v>
      </c>
      <c r="J93" s="82" t="str">
        <f t="shared" si="6"/>
        <v>No Gap</v>
      </c>
      <c r="K93" s="82" t="str">
        <f>IF((ROUNDUP(((D27*5)/(K81*2)),0))&lt;5,"No Gap",(K92-K91))</f>
        <v>No Gap</v>
      </c>
      <c r="L93" s="82" t="str">
        <f>IF((ROUNDUP(((D27*5)/(L81*2)),0))&lt;5,"No Gap",(L92-L91))</f>
        <v>No Gap</v>
      </c>
      <c r="Q93" s="2"/>
      <c r="R93" s="2"/>
      <c r="S93" s="2"/>
      <c r="T93" s="2"/>
    </row>
    <row r="94" spans="1:20">
      <c r="A94" s="2"/>
      <c r="E94" s="44"/>
      <c r="F94" s="45"/>
      <c r="Q94" s="2"/>
      <c r="R94" s="2"/>
      <c r="S94" s="2"/>
      <c r="T94" s="2"/>
    </row>
    <row r="95" spans="1:20">
      <c r="A95" s="2"/>
      <c r="Q95" s="2"/>
      <c r="R95" s="2"/>
      <c r="S95" s="2"/>
      <c r="T95" s="2"/>
    </row>
    <row r="96" spans="1:20" s="20" customFormat="1" ht="51" customHeight="1">
      <c r="A96" s="130" t="s">
        <v>44</v>
      </c>
      <c r="B96" s="130"/>
      <c r="C96" s="130"/>
    </row>
    <row r="97" spans="1:23" s="14" customFormat="1" ht="18">
      <c r="B97" s="54" t="s">
        <v>52</v>
      </c>
    </row>
    <row r="98" spans="1:23" s="14" customFormat="1" ht="18">
      <c r="B98" s="54"/>
    </row>
    <row r="99" spans="1:23" s="2" customFormat="1" ht="18">
      <c r="A99" s="14"/>
      <c r="B99" s="77"/>
    </row>
    <row r="100" spans="1:23" ht="28.05" customHeight="1">
      <c r="A100" s="14"/>
      <c r="E100" s="73" t="s">
        <v>47</v>
      </c>
      <c r="F100" s="73" t="s">
        <v>47</v>
      </c>
      <c r="G100" s="72" t="s">
        <v>46</v>
      </c>
      <c r="H100" s="72" t="s">
        <v>46</v>
      </c>
      <c r="I100" s="73" t="s">
        <v>45</v>
      </c>
      <c r="J100" s="73" t="s">
        <v>45</v>
      </c>
      <c r="K100" s="72" t="s">
        <v>48</v>
      </c>
      <c r="L100" s="85" t="s">
        <v>48</v>
      </c>
      <c r="T100" s="2"/>
      <c r="U100" s="2"/>
      <c r="V100" s="2"/>
      <c r="W100" s="2"/>
    </row>
    <row r="101" spans="1:23" ht="46.8">
      <c r="A101" s="14"/>
      <c r="C101" s="1"/>
      <c r="D101" s="1"/>
      <c r="E101" s="39" t="s">
        <v>33</v>
      </c>
      <c r="F101" s="39" t="s">
        <v>34</v>
      </c>
      <c r="G101" s="39" t="s">
        <v>33</v>
      </c>
      <c r="H101" s="39" t="s">
        <v>34</v>
      </c>
      <c r="I101" s="39" t="s">
        <v>33</v>
      </c>
      <c r="J101" s="39" t="s">
        <v>34</v>
      </c>
      <c r="K101" s="39" t="s">
        <v>33</v>
      </c>
      <c r="L101" s="39" t="s">
        <v>34</v>
      </c>
      <c r="T101" s="2"/>
      <c r="U101" s="2"/>
      <c r="V101" s="2"/>
      <c r="W101" s="2"/>
    </row>
    <row r="102" spans="1:23" ht="78">
      <c r="A102" s="14"/>
      <c r="C102" s="79" t="s">
        <v>0</v>
      </c>
      <c r="D102" s="66" t="s">
        <v>57</v>
      </c>
      <c r="E102">
        <f>ROUNDUP((((D27*5)/20)/2),0)</f>
        <v>185</v>
      </c>
      <c r="F102">
        <f>ROUNDUP((((D27*5)/20)/2),0)</f>
        <v>185</v>
      </c>
      <c r="G102">
        <f>ROUNDUP((((D27*5)/15)/2),0)</f>
        <v>247</v>
      </c>
      <c r="H102">
        <f>ROUNDUP((((D27*5)/15)/2),0)</f>
        <v>247</v>
      </c>
      <c r="I102">
        <f>ROUNDUP((((D27*5)/10)/2),0)</f>
        <v>370</v>
      </c>
      <c r="J102">
        <f>ROUNDUP((((D27*5)/10)/2),0)</f>
        <v>370</v>
      </c>
      <c r="K102">
        <f>ROUNDUP((((D27*5)/5)/2),0)</f>
        <v>739</v>
      </c>
      <c r="L102">
        <f>ROUNDUP((((D27*5)/5)/2),0)</f>
        <v>739</v>
      </c>
      <c r="N102" s="49"/>
      <c r="T102" s="2"/>
      <c r="U102" s="2"/>
      <c r="V102" s="2"/>
      <c r="W102" s="2"/>
    </row>
    <row r="103" spans="1:23" ht="33" customHeight="1">
      <c r="A103" s="14"/>
      <c r="C103" s="53"/>
      <c r="D103" s="66" t="s">
        <v>37</v>
      </c>
      <c r="E103">
        <f>D37</f>
        <v>200</v>
      </c>
      <c r="F103">
        <f>D37</f>
        <v>200</v>
      </c>
      <c r="G103">
        <f>D37</f>
        <v>200</v>
      </c>
      <c r="H103">
        <f>D37</f>
        <v>200</v>
      </c>
      <c r="I103">
        <f>D37</f>
        <v>200</v>
      </c>
      <c r="J103">
        <f>D37</f>
        <v>200</v>
      </c>
      <c r="K103">
        <f>D37</f>
        <v>200</v>
      </c>
      <c r="L103">
        <f>D37</f>
        <v>200</v>
      </c>
      <c r="N103" s="49"/>
      <c r="T103" s="2"/>
      <c r="U103" s="2"/>
      <c r="V103" s="2"/>
      <c r="W103" s="2"/>
    </row>
    <row r="104" spans="1:23" ht="62.4">
      <c r="A104" s="14"/>
      <c r="C104" s="53"/>
      <c r="D104" s="67" t="s">
        <v>58</v>
      </c>
      <c r="E104" s="46" t="str">
        <f>IF(((E103-E102)&gt;0),"No Gap",(E103-E102))</f>
        <v>No Gap</v>
      </c>
      <c r="F104" s="46" t="str">
        <f t="shared" ref="F104:L104" si="7">IF(((F103-F102)&gt;0),"No Gap",(F103-F102))</f>
        <v>No Gap</v>
      </c>
      <c r="G104" s="46">
        <f t="shared" si="7"/>
        <v>-47</v>
      </c>
      <c r="H104" s="46">
        <f t="shared" si="7"/>
        <v>-47</v>
      </c>
      <c r="I104" s="46">
        <f t="shared" si="7"/>
        <v>-170</v>
      </c>
      <c r="J104" s="46">
        <f t="shared" si="7"/>
        <v>-170</v>
      </c>
      <c r="K104" s="46">
        <f t="shared" si="7"/>
        <v>-539</v>
      </c>
      <c r="L104" s="46">
        <f t="shared" si="7"/>
        <v>-539</v>
      </c>
      <c r="N104" s="49"/>
      <c r="T104" s="2"/>
      <c r="U104" s="2"/>
      <c r="V104" s="2"/>
      <c r="W104" s="2"/>
    </row>
    <row r="105" spans="1:23">
      <c r="A105" s="14"/>
      <c r="C105" s="53"/>
      <c r="D105" s="1"/>
      <c r="N105" s="49"/>
      <c r="T105" s="2"/>
      <c r="U105" s="2"/>
      <c r="V105" s="2"/>
      <c r="W105" s="2"/>
    </row>
    <row r="106" spans="1:23" ht="93.6">
      <c r="A106" s="14"/>
      <c r="C106" s="79" t="s">
        <v>24</v>
      </c>
      <c r="D106" s="66" t="s">
        <v>56</v>
      </c>
      <c r="E106">
        <f>E102*100</f>
        <v>18500</v>
      </c>
      <c r="F106">
        <f t="shared" ref="F106:L106" si="8">F102*100</f>
        <v>18500</v>
      </c>
      <c r="G106">
        <f t="shared" si="8"/>
        <v>24700</v>
      </c>
      <c r="H106">
        <f t="shared" si="8"/>
        <v>24700</v>
      </c>
      <c r="I106">
        <f t="shared" si="8"/>
        <v>37000</v>
      </c>
      <c r="J106">
        <f t="shared" si="8"/>
        <v>37000</v>
      </c>
      <c r="K106">
        <f t="shared" si="8"/>
        <v>73900</v>
      </c>
      <c r="L106">
        <f t="shared" si="8"/>
        <v>73900</v>
      </c>
      <c r="N106" s="38"/>
      <c r="T106" s="2"/>
      <c r="U106" s="2"/>
      <c r="V106" s="2"/>
      <c r="W106" s="2"/>
    </row>
    <row r="107" spans="1:23" ht="109.2">
      <c r="A107" s="14"/>
      <c r="C107" s="40"/>
      <c r="D107" s="66" t="s">
        <v>53</v>
      </c>
      <c r="E107">
        <f>E102*30</f>
        <v>5550</v>
      </c>
      <c r="F107">
        <f t="shared" ref="F107:L107" si="9">F102*30</f>
        <v>5550</v>
      </c>
      <c r="G107">
        <f t="shared" si="9"/>
        <v>7410</v>
      </c>
      <c r="H107">
        <f t="shared" si="9"/>
        <v>7410</v>
      </c>
      <c r="I107">
        <f t="shared" si="9"/>
        <v>11100</v>
      </c>
      <c r="J107">
        <f t="shared" si="9"/>
        <v>11100</v>
      </c>
      <c r="K107">
        <f t="shared" si="9"/>
        <v>22170</v>
      </c>
      <c r="L107">
        <f t="shared" si="9"/>
        <v>22170</v>
      </c>
      <c r="N107" s="38"/>
      <c r="T107" s="2"/>
      <c r="U107" s="2"/>
      <c r="V107" s="2"/>
      <c r="W107" s="2"/>
    </row>
    <row r="108" spans="1:23" ht="58.05" customHeight="1">
      <c r="A108" s="14"/>
      <c r="C108" s="1"/>
      <c r="D108" s="66" t="s">
        <v>36</v>
      </c>
      <c r="E108">
        <f>MIN(C50,D50)-G67</f>
        <v>61500</v>
      </c>
      <c r="F108">
        <f>MIN(C50,D50)-G67</f>
        <v>61500</v>
      </c>
      <c r="G108">
        <f>MIN(C50,D50)-G67</f>
        <v>61500</v>
      </c>
      <c r="H108">
        <f>MIN(C50,D50)-G67</f>
        <v>61500</v>
      </c>
      <c r="I108">
        <f>MIN(C50,D50)-G67</f>
        <v>61500</v>
      </c>
      <c r="J108" s="48">
        <f>MIN(C50,D50)-G67</f>
        <v>61500</v>
      </c>
      <c r="K108">
        <f>MIN(C50,D50)-G67</f>
        <v>61500</v>
      </c>
      <c r="L108">
        <f>MIN(C50,D50)-G67</f>
        <v>61500</v>
      </c>
      <c r="N108" s="49"/>
      <c r="T108" s="2"/>
      <c r="U108" s="2"/>
      <c r="V108" s="2"/>
      <c r="W108" s="2"/>
    </row>
    <row r="109" spans="1:23" ht="93.6">
      <c r="A109" s="14"/>
      <c r="C109" s="1"/>
      <c r="D109" s="80" t="s">
        <v>55</v>
      </c>
      <c r="E109" s="83" t="str">
        <f>IF(((E108-E106)&gt;0),"No Gap",(E108-E106))</f>
        <v>No Gap</v>
      </c>
      <c r="F109" s="83" t="str">
        <f t="shared" ref="F109:L109" si="10">IF(((F108-F106)&gt;0),"No Gap",(F108-F106))</f>
        <v>No Gap</v>
      </c>
      <c r="G109" s="83" t="str">
        <f t="shared" si="10"/>
        <v>No Gap</v>
      </c>
      <c r="H109" s="83" t="str">
        <f t="shared" si="10"/>
        <v>No Gap</v>
      </c>
      <c r="I109" s="83" t="str">
        <f t="shared" si="10"/>
        <v>No Gap</v>
      </c>
      <c r="J109" s="83" t="str">
        <f t="shared" si="10"/>
        <v>No Gap</v>
      </c>
      <c r="K109" s="83">
        <f t="shared" si="10"/>
        <v>-12400</v>
      </c>
      <c r="L109" s="83">
        <f t="shared" si="10"/>
        <v>-12400</v>
      </c>
      <c r="M109" s="83"/>
      <c r="N109" s="49"/>
      <c r="T109" s="2"/>
      <c r="U109" s="2"/>
      <c r="V109" s="2"/>
      <c r="W109" s="2"/>
    </row>
    <row r="110" spans="1:23" ht="93.6">
      <c r="A110" s="14"/>
      <c r="C110" s="1"/>
      <c r="D110" s="67" t="s">
        <v>54</v>
      </c>
      <c r="E110" s="83" t="str">
        <f>IF(((E108-E107)&gt;0),"No Gap",(E108-E107))</f>
        <v>No Gap</v>
      </c>
      <c r="F110" s="83" t="str">
        <f t="shared" ref="F110:L110" si="11">IF(((F108-F107)&gt;0),"No Gap",(F108-F107))</f>
        <v>No Gap</v>
      </c>
      <c r="G110" s="83" t="str">
        <f t="shared" si="11"/>
        <v>No Gap</v>
      </c>
      <c r="H110" s="83" t="str">
        <f t="shared" si="11"/>
        <v>No Gap</v>
      </c>
      <c r="I110" s="83" t="str">
        <f t="shared" si="11"/>
        <v>No Gap</v>
      </c>
      <c r="J110" s="83" t="str">
        <f t="shared" si="11"/>
        <v>No Gap</v>
      </c>
      <c r="K110" s="83" t="str">
        <f t="shared" si="11"/>
        <v>No Gap</v>
      </c>
      <c r="L110" s="83" t="str">
        <f t="shared" si="11"/>
        <v>No Gap</v>
      </c>
      <c r="R110" s="2"/>
      <c r="S110" s="2"/>
      <c r="T110" s="2"/>
      <c r="U110" s="2"/>
    </row>
    <row r="111" spans="1:23">
      <c r="A111" s="14"/>
      <c r="C111" s="1"/>
      <c r="D111" s="41"/>
      <c r="E111" s="46"/>
      <c r="F111" s="46"/>
      <c r="G111" s="46"/>
      <c r="H111" s="46"/>
      <c r="I111" s="46"/>
      <c r="J111" s="46"/>
      <c r="K111" s="46"/>
      <c r="L111" s="46"/>
      <c r="R111" s="2"/>
      <c r="S111" s="2"/>
      <c r="T111" s="2"/>
      <c r="U111" s="2"/>
    </row>
    <row r="113" spans="4:4">
      <c r="D113" s="1"/>
    </row>
  </sheetData>
  <sheetProtection password="C584" sheet="1" objects="1" scenarios="1" selectLockedCells="1"/>
  <mergeCells count="26">
    <mergeCell ref="K77:L77"/>
    <mergeCell ref="G78:H78"/>
    <mergeCell ref="I78:J78"/>
    <mergeCell ref="A96:C96"/>
    <mergeCell ref="C63:D63"/>
    <mergeCell ref="A73:C73"/>
    <mergeCell ref="G76:J76"/>
    <mergeCell ref="E77:F77"/>
    <mergeCell ref="G77:H77"/>
    <mergeCell ref="I77:J77"/>
    <mergeCell ref="A1:B1"/>
    <mergeCell ref="G3:H7"/>
    <mergeCell ref="G8:H11"/>
    <mergeCell ref="I55:L59"/>
    <mergeCell ref="C62:D62"/>
    <mergeCell ref="C34:D34"/>
    <mergeCell ref="A39:A41"/>
    <mergeCell ref="C54:D54"/>
    <mergeCell ref="C55:D55"/>
    <mergeCell ref="C56:D56"/>
    <mergeCell ref="C57:D57"/>
    <mergeCell ref="C58:D58"/>
    <mergeCell ref="C59:D59"/>
    <mergeCell ref="C60:D60"/>
    <mergeCell ref="C61:D61"/>
    <mergeCell ref="C47:I47"/>
  </mergeCells>
  <hyperlinks>
    <hyperlink ref="G10" r:id="rId1" display="svangundy@achieve.org"/>
  </hyperlinks>
  <pageMargins left="0.75" right="0.75" top="1" bottom="1" header="0.5" footer="0.5"/>
  <pageSetup orientation="portrait" horizontalDpi="4294967292" verticalDpi="4294967292"/>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Capacity Planning Tool</vt:lpstr>
      <vt:lpstr>Assumptions</vt:lpstr>
      <vt:lpstr>Small Elementary Example</vt:lpstr>
      <vt:lpstr>Large High School Example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Van Gundy</dc:creator>
  <cp:lastModifiedBy>Lesley Muldoon</cp:lastModifiedBy>
  <dcterms:created xsi:type="dcterms:W3CDTF">2012-09-18T22:32:45Z</dcterms:created>
  <dcterms:modified xsi:type="dcterms:W3CDTF">2013-03-05T16:46:36Z</dcterms:modified>
</cp:coreProperties>
</file>