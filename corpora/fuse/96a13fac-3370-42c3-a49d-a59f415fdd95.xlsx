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Aspect Ratios and Screen Sizes" sheetId="1" r:id="rId1"/>
    <sheet name="Screen Width, Distance, Angle" sheetId="2" r:id="rId2"/>
  </sheets>
  <definedNames>
    <definedName name="Screen_Width">'Aspect Ratios and Screen Sizes'!#REF!</definedName>
    <definedName name="Seating_Distance">'Aspect Ratios and Screen Sizes'!#REF!</definedName>
    <definedName name="Viewing_Angle">'Aspect Ratios and Screen Sizes'!#REF!</definedName>
  </definedNames>
  <calcPr calcId="145621"/>
</workbook>
</file>

<file path=xl/calcChain.xml><?xml version="1.0" encoding="utf-8"?>
<calcChain xmlns="http://schemas.openxmlformats.org/spreadsheetml/2006/main">
  <c r="B11" i="2" l="1"/>
  <c r="B17" i="2"/>
  <c r="B5" i="2"/>
  <c r="F17" i="1"/>
  <c r="H17" i="1" s="1"/>
  <c r="K17" i="1"/>
  <c r="M17" i="1" s="1"/>
  <c r="L16" i="1"/>
  <c r="M16" i="1" s="1"/>
  <c r="G16" i="1"/>
  <c r="I16" i="1" s="1"/>
  <c r="A17" i="1"/>
  <c r="C17" i="1" s="1"/>
  <c r="B16" i="1"/>
  <c r="C16" i="1" s="1"/>
  <c r="V6" i="1"/>
  <c r="W6" i="1" s="1"/>
  <c r="Q6" i="1"/>
  <c r="S6" i="1" s="1"/>
  <c r="L6" i="1"/>
  <c r="K7" i="1" s="1"/>
  <c r="M7" i="1" s="1"/>
  <c r="G6" i="1"/>
  <c r="H6" i="1" s="1"/>
  <c r="U7" i="1" l="1"/>
  <c r="W7" i="1" s="1"/>
  <c r="P7" i="1"/>
  <c r="R7" i="1" s="1"/>
  <c r="M6" i="1"/>
  <c r="N6" i="1"/>
  <c r="I6" i="1"/>
  <c r="F7" i="1"/>
  <c r="H7" i="1" s="1"/>
  <c r="H16" i="1"/>
  <c r="D17" i="1"/>
  <c r="D16" i="1"/>
  <c r="N7" i="1"/>
  <c r="X6" i="1"/>
  <c r="I17" i="1"/>
  <c r="R6" i="1"/>
  <c r="N16" i="1"/>
  <c r="N17" i="1"/>
  <c r="I15" i="1"/>
  <c r="H15" i="1"/>
  <c r="X5" i="1"/>
  <c r="W5" i="1"/>
  <c r="C25" i="1"/>
  <c r="P17" i="1"/>
  <c r="S17" i="1" s="1"/>
  <c r="Q16" i="1"/>
  <c r="S16" i="1" s="1"/>
  <c r="S15" i="1"/>
  <c r="Q19" i="1" s="1"/>
  <c r="R15" i="1"/>
  <c r="P18" i="1" s="1"/>
  <c r="X7" i="1" l="1"/>
  <c r="S7" i="1"/>
  <c r="I7" i="1"/>
  <c r="G18" i="1"/>
  <c r="F18" i="1"/>
  <c r="I18" i="1" s="1"/>
  <c r="F19" i="1"/>
  <c r="G19" i="1"/>
  <c r="U8" i="1"/>
  <c r="V8" i="1"/>
  <c r="Q18" i="1"/>
  <c r="S18" i="1" s="1"/>
  <c r="R16" i="1"/>
  <c r="R17" i="1"/>
  <c r="P19" i="1"/>
  <c r="R19" i="1" s="1"/>
  <c r="H19" i="1" l="1"/>
  <c r="X8" i="1"/>
  <c r="A7" i="1"/>
  <c r="C7" i="1" s="1"/>
  <c r="B6" i="1"/>
  <c r="D6" i="1" s="1"/>
  <c r="V9" i="1" l="1"/>
  <c r="U9" i="1"/>
  <c r="W9" i="1" s="1"/>
  <c r="C6" i="1"/>
  <c r="D7" i="1"/>
  <c r="D15" i="1" l="1"/>
  <c r="C15" i="1"/>
  <c r="B18" i="1" l="1"/>
  <c r="A18" i="1"/>
  <c r="D18" i="1" s="1"/>
  <c r="B19" i="1"/>
  <c r="A19" i="1"/>
  <c r="S5" i="1"/>
  <c r="N15" i="1"/>
  <c r="N5" i="1"/>
  <c r="I5" i="1"/>
  <c r="D5" i="1"/>
  <c r="C19" i="1" l="1"/>
  <c r="B9" i="1"/>
  <c r="A9" i="1"/>
  <c r="L19" i="1"/>
  <c r="K19" i="1"/>
  <c r="M19" i="1" s="1"/>
  <c r="M15" i="1"/>
  <c r="R5" i="1"/>
  <c r="M5" i="1"/>
  <c r="H5" i="1"/>
  <c r="C5" i="1"/>
  <c r="G8" i="1" l="1"/>
  <c r="F8" i="1"/>
  <c r="L8" i="1"/>
  <c r="K8" i="1"/>
  <c r="Q8" i="1"/>
  <c r="P8" i="1"/>
  <c r="S8" i="1" s="1"/>
  <c r="L18" i="1"/>
  <c r="K18" i="1"/>
  <c r="C9" i="1"/>
  <c r="B8" i="1"/>
  <c r="A8" i="1"/>
  <c r="N18" i="1" l="1"/>
  <c r="P9" i="1"/>
  <c r="Q9" i="1"/>
  <c r="I8" i="1"/>
  <c r="N8" i="1"/>
  <c r="D8" i="1"/>
  <c r="R9" i="1" l="1"/>
  <c r="K9" i="1"/>
  <c r="L9" i="1"/>
  <c r="G9" i="1"/>
  <c r="F9" i="1"/>
  <c r="H9" i="1" l="1"/>
  <c r="M9" i="1"/>
</calcChain>
</file>

<file path=xl/sharedStrings.xml><?xml version="1.0" encoding="utf-8"?>
<sst xmlns="http://schemas.openxmlformats.org/spreadsheetml/2006/main" count="64" uniqueCount="26">
  <si>
    <t>16x9 (1.78:1)</t>
  </si>
  <si>
    <t>Width</t>
  </si>
  <si>
    <t>Height</t>
  </si>
  <si>
    <t>Diagonal</t>
  </si>
  <si>
    <t>Area</t>
  </si>
  <si>
    <t>2.35:1</t>
  </si>
  <si>
    <t>1.85:1</t>
  </si>
  <si>
    <t>2.40:1</t>
  </si>
  <si>
    <t>4x3 (1.33:1)</t>
  </si>
  <si>
    <t>2.0:1</t>
  </si>
  <si>
    <t>2.10:1</t>
  </si>
  <si>
    <t>Viewing Angle</t>
  </si>
  <si>
    <t>Screen Width</t>
  </si>
  <si>
    <t>Seating Distance</t>
  </si>
  <si>
    <t>Determine Seating Distance</t>
  </si>
  <si>
    <t>Determine Viewing Angle</t>
  </si>
  <si>
    <t>Determine Screen Width</t>
  </si>
  <si>
    <t>?</t>
  </si>
  <si>
    <t>Image Width</t>
  </si>
  <si>
    <t>Image Height</t>
  </si>
  <si>
    <t>Aspect Ratio</t>
  </si>
  <si>
    <t>Common Aspect Ratios</t>
  </si>
  <si>
    <t>2.05:1</t>
  </si>
  <si>
    <t>Create Your Own</t>
  </si>
  <si>
    <t>Determine an Aspect Ratio</t>
  </si>
  <si>
    <t>Constant Image Area Aspect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</si>
</sst>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Fill="1"/>
    <xf numFmtId="0" fontId="0" fillId="3" borderId="1" xfId="0" applyFill="1" applyBorder="1" applyProtection="1">
      <protection locked="0"/>
    </xf>
    <xf numFmtId="0" fontId="0" fillId="0" borderId="0" xfId="0" applyFill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0" borderId="5" xfId="0" applyFill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12" xfId="0" applyBorder="1"/>
    <xf numFmtId="0" fontId="1" fillId="4" borderId="14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3" borderId="17" xfId="0" applyFill="1" applyBorder="1" applyProtection="1">
      <protection locked="0"/>
    </xf>
    <xf numFmtId="0" fontId="0" fillId="0" borderId="2" xfId="0" applyBorder="1" applyAlignment="1">
      <alignment horizontal="right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0" fillId="3" borderId="11" xfId="0" applyFill="1" applyBorder="1" applyAlignment="1" applyProtection="1">
      <alignment horizontal="center"/>
      <protection locked="0"/>
    </xf>
    <xf numFmtId="0" fontId="0" fillId="0" borderId="16" xfId="0" applyBorder="1"/>
    <xf numFmtId="0" fontId="0" fillId="0" borderId="18" xfId="0" applyBorder="1" applyAlignment="1">
      <alignment horizontal="right"/>
    </xf>
    <xf numFmtId="0" fontId="0" fillId="6" borderId="0" xfId="0" applyFill="1"/>
    <xf numFmtId="0" fontId="4" fillId="6" borderId="0" xfId="0" applyFont="1" applyFill="1"/>
    <xf numFmtId="0" fontId="3" fillId="6" borderId="0" xfId="0" applyFont="1" applyFill="1"/>
    <xf numFmtId="0" fontId="3" fillId="6" borderId="0" xfId="0" applyFont="1" applyFill="1" applyAlignment="1"/>
    <xf numFmtId="0" fontId="0" fillId="0" borderId="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" fillId="6" borderId="0" xfId="0" applyFont="1" applyFill="1" applyBorder="1" applyAlignment="1"/>
    <xf numFmtId="0" fontId="1" fillId="6" borderId="0" xfId="0" applyFont="1" applyFill="1" applyBorder="1" applyAlignment="1">
      <alignment horizontal="center"/>
    </xf>
    <xf numFmtId="0" fontId="0" fillId="0" borderId="8" xfId="0" applyBorder="1" applyAlignment="1"/>
    <xf numFmtId="0" fontId="0" fillId="3" borderId="9" xfId="0" applyFill="1" applyBorder="1" applyAlignment="1" applyProtection="1">
      <alignment horizontal="center"/>
      <protection locked="0"/>
    </xf>
    <xf numFmtId="0" fontId="0" fillId="0" borderId="10" xfId="0" applyBorder="1" applyAlignment="1"/>
    <xf numFmtId="0" fontId="0" fillId="0" borderId="12" xfId="0" applyBorder="1" applyAlignment="1"/>
    <xf numFmtId="0" fontId="0" fillId="0" borderId="0" xfId="0" applyFill="1" applyBorder="1" applyAlignment="1" applyProtection="1">
      <alignment horizontal="right"/>
    </xf>
    <xf numFmtId="0" fontId="0" fillId="0" borderId="0" xfId="0" applyFill="1" applyBorder="1" applyProtection="1"/>
    <xf numFmtId="0" fontId="0" fillId="0" borderId="0" xfId="0" applyFill="1" applyProtection="1"/>
    <xf numFmtId="0" fontId="0" fillId="0" borderId="0" xfId="0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19</xdr:row>
      <xdr:rowOff>66675</xdr:rowOff>
    </xdr:from>
    <xdr:ext cx="8210549" cy="4742452"/>
    <xdr:sp macro="" textlink="">
      <xdr:nvSpPr>
        <xdr:cNvPr id="3" name="TextBox 2"/>
        <xdr:cNvSpPr txBox="1"/>
      </xdr:nvSpPr>
      <xdr:spPr>
        <a:xfrm>
          <a:off x="2505075" y="4114800"/>
          <a:ext cx="8210549" cy="474245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u="sng"/>
            <a:t>How to Use</a:t>
          </a:r>
        </a:p>
        <a:p>
          <a:r>
            <a:rPr lang="en-US" sz="1100">
              <a:latin typeface="Calibri"/>
              <a:cs typeface="Calibri"/>
            </a:rPr>
            <a:t>• </a:t>
          </a:r>
          <a:r>
            <a:rPr lang="en-US" sz="1100"/>
            <a:t>Enter the</a:t>
          </a:r>
          <a:r>
            <a:rPr lang="en-US" sz="1100" baseline="0"/>
            <a:t> desired dimension in the yellow cell  of the corresponding row and aspect ratio.</a:t>
          </a:r>
        </a:p>
        <a:p>
          <a:r>
            <a:rPr lang="en-US" sz="1100" baseline="0"/>
            <a:t>   - For instance, if you want a 92" wide 16x9 screen, type 92 in cell A6.</a:t>
          </a:r>
        </a:p>
        <a:p>
          <a:r>
            <a:rPr lang="en-US" sz="1100" baseline="0">
              <a:latin typeface="Calibri"/>
              <a:cs typeface="Calibri"/>
            </a:rPr>
            <a:t>• The other dimensions will populate the other three cells.  The screen will be 92"x51.75" with a 105.56" diagonal length and an area of 4761</a:t>
          </a:r>
        </a:p>
        <a:p>
          <a:r>
            <a:rPr lang="en-US" sz="1100" baseline="0">
              <a:latin typeface="Calibri"/>
              <a:cs typeface="Calibri"/>
            </a:rPr>
            <a:t>   square inches.</a:t>
          </a:r>
        </a:p>
        <a:p>
          <a:r>
            <a:rPr lang="en-US" sz="1100" baseline="0">
              <a:latin typeface="Calibri"/>
              <a:cs typeface="Calibri"/>
            </a:rPr>
            <a:t>• This tool is especially useful  if you are considering a </a:t>
          </a:r>
          <a:r>
            <a:rPr lang="en-US" sz="1100" b="1" baseline="0">
              <a:latin typeface="Calibri"/>
              <a:cs typeface="Calibri"/>
            </a:rPr>
            <a:t>Constant Image Height</a:t>
          </a:r>
          <a:r>
            <a:rPr lang="en-US" sz="1100" baseline="0">
              <a:latin typeface="Calibri"/>
              <a:cs typeface="Calibri"/>
            </a:rPr>
            <a:t> screen.</a:t>
          </a:r>
        </a:p>
        <a:p>
          <a:r>
            <a:rPr lang="en-US" sz="1100" baseline="0">
              <a:latin typeface="Calibri"/>
              <a:cs typeface="Calibri"/>
            </a:rPr>
            <a:t>   - For example, enter 120 in cell P6 for a 120" wide 2.40:1 screen.</a:t>
          </a:r>
        </a:p>
        <a:p>
          <a:r>
            <a:rPr lang="en-US" sz="1100" baseline="0">
              <a:latin typeface="Calibri"/>
              <a:cs typeface="Calibri"/>
            </a:rPr>
            <a:t>   - The screen would be 50" high.  Enter 50 in cell B7.</a:t>
          </a:r>
        </a:p>
        <a:p>
          <a:r>
            <a:rPr lang="en-US" sz="1100" baseline="0">
              <a:latin typeface="Calibri"/>
              <a:cs typeface="Calibri"/>
            </a:rPr>
            <a:t>   - Now you know that when you display a 16x9 image on a 120" wide 2.40:1 screen the image will be 88.89" wide.</a:t>
          </a:r>
        </a:p>
        <a:p>
          <a:r>
            <a:rPr lang="en-US" sz="1100" baseline="0">
              <a:latin typeface="Calibri"/>
              <a:cs typeface="Calibri"/>
            </a:rPr>
            <a:t>• It can likewise be used for </a:t>
          </a:r>
          <a:r>
            <a:rPr lang="en-US" sz="1100" b="1" baseline="0">
              <a:latin typeface="Calibri"/>
              <a:cs typeface="Calibri"/>
            </a:rPr>
            <a:t>Constant Image Width</a:t>
          </a:r>
          <a:r>
            <a:rPr lang="en-US" sz="1100" baseline="0">
              <a:latin typeface="Calibri"/>
              <a:cs typeface="Calibri"/>
            </a:rPr>
            <a:t>.</a:t>
          </a:r>
        </a:p>
        <a:p>
          <a:r>
            <a:rPr lang="en-US" sz="1100" baseline="0">
              <a:latin typeface="Calibri"/>
              <a:cs typeface="Calibri"/>
            </a:rPr>
            <a:t>   - Enter 54 in cell B7 for a 54" high 16x9 screen.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latin typeface="Calibri"/>
              <a:cs typeface="Calibri"/>
            </a:rPr>
            <a:t>   -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 the resulting 96" width in cell F6. 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When displaying a 2.35:1 image on a 54" high 16x9 screen the image will be 40.85" high.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If you aren't daunted by headaches and masking systems, try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Constant Image Area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Enter 144 in cell F17 for a 144" wide 2.05:1 screen.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Obviously the maximum width available is 144".  Enter 144 in cell F6.  Your 2.35:1 image would be 144"x61.28".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Cell G17 gives the height of the 2.05:1 screen as being 70.2439".  Enter that number in cell B7.  The result is a 124.88"x70.24" 16x9 image.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Notice that the areas of each are pretty close.  You could similarly find the dimensions for one aspect ratio and use the resulting area as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 input for another aspect ratio.  Just make sure  you don't use results that end up outside the width or height of the 2.05:1 screen.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There are plenty of other aspect ratios in use, especially on older movies.  For these you'll want to use the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 Your Own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For a 2.55:1 aspect ratio, enter 2.55 for width and 1 for height.  Then enter the other dimension as described above.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If you need to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Determine an Aspect Ratio</a:t>
          </a:r>
          <a:r>
            <a:rPr 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just enter the width and height of the screen/image.</a:t>
          </a:r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*NOTES*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dimensions are viewable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screen.  Frames are not taken into account.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Except for the yellow cells the worksheet has been protected.  This is so you don't accidentally mess up the formulas.  If you want to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unprotect the worksheet the password is "avsforum".</a:t>
          </a:r>
          <a:endParaRPr lang="en-US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0</xdr:rowOff>
    </xdr:from>
    <xdr:to>
      <xdr:col>8</xdr:col>
      <xdr:colOff>171450</xdr:colOff>
      <xdr:row>11</xdr:row>
      <xdr:rowOff>104775</xdr:rowOff>
    </xdr:to>
    <xdr:pic>
      <xdr:nvPicPr>
        <xdr:cNvPr id="10" name="Picture 9" descr="http://myhometheater.homestead.com/files/viewing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0"/>
          <a:ext cx="3562350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266700</xdr:colOff>
      <xdr:row>12</xdr:row>
      <xdr:rowOff>0</xdr:rowOff>
    </xdr:from>
    <xdr:ext cx="7848600" cy="1814599"/>
    <xdr:sp macro="" textlink="">
      <xdr:nvSpPr>
        <xdr:cNvPr id="11" name="TextBox 10"/>
        <xdr:cNvSpPr txBox="1"/>
      </xdr:nvSpPr>
      <xdr:spPr>
        <a:xfrm>
          <a:off x="2571750" y="2419350"/>
          <a:ext cx="7848600" cy="181459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u="sng"/>
            <a:t>How to Use</a:t>
          </a:r>
        </a:p>
        <a:p>
          <a:r>
            <a:rPr lang="en-US" sz="1100">
              <a:latin typeface="Calibri"/>
              <a:cs typeface="Calibri"/>
            </a:rPr>
            <a:t>• </a:t>
          </a:r>
          <a:r>
            <a:rPr lang="en-US" sz="1100"/>
            <a:t>Enter the two known measurements in the</a:t>
          </a:r>
          <a:r>
            <a:rPr lang="en-US" sz="1100" baseline="0"/>
            <a:t> yellow cells to determine the corresponding third measurement.</a:t>
          </a: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To determine THX's recommended seating distance from a 120" wide screen enter 120 in cell B3 and 36 in cell B4.</a:t>
          </a: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The result is 184.66".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*NOTES*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THX requires a minimum of 26 degrees for the back row and recommends 36 degrees</a:t>
          </a:r>
          <a:endParaRPr lang="en-US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SMPTE recommends a minimum viewing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angle of 30 degrees for movie theaters</a:t>
          </a:r>
          <a:endParaRPr lang="en-US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Calibri"/>
              <a:ea typeface="+mn-ea"/>
              <a:cs typeface="Calibri"/>
            </a:rPr>
            <a:t>•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Except for the yellow cells the worksheet has been protected.  This is so you don't accidentally mess up the formulas.  If you want to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unprotect the worksheet the password is "avsforum".</a:t>
          </a:r>
          <a:endParaRPr lang="en-US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tabSelected="1" workbookViewId="0">
      <selection activeCell="A6" sqref="A6"/>
    </sheetView>
  </sheetViews>
  <sheetFormatPr defaultRowHeight="15" x14ac:dyDescent="0.25"/>
  <cols>
    <col min="5" max="5" width="4.7109375" customWidth="1"/>
    <col min="10" max="10" width="4.7109375" customWidth="1"/>
    <col min="15" max="15" width="4.7109375" customWidth="1"/>
    <col min="20" max="20" width="4.7109375" customWidth="1"/>
  </cols>
  <sheetData>
    <row r="1" spans="1:24" ht="18.75" x14ac:dyDescent="0.3">
      <c r="A1" s="33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15.75" thickBot="1" x14ac:dyDescent="0.3"/>
    <row r="3" spans="1:24" ht="15.75" thickBot="1" x14ac:dyDescent="0.3">
      <c r="A3" s="11" t="s">
        <v>0</v>
      </c>
      <c r="B3" s="12"/>
      <c r="C3" s="12"/>
      <c r="D3" s="14"/>
      <c r="F3" s="11" t="s">
        <v>5</v>
      </c>
      <c r="G3" s="12"/>
      <c r="H3" s="12"/>
      <c r="I3" s="14"/>
      <c r="K3" s="11" t="s">
        <v>6</v>
      </c>
      <c r="L3" s="12"/>
      <c r="M3" s="12"/>
      <c r="N3" s="14"/>
      <c r="P3" s="11" t="s">
        <v>7</v>
      </c>
      <c r="Q3" s="12"/>
      <c r="R3" s="12"/>
      <c r="S3" s="14"/>
      <c r="U3" s="11" t="s">
        <v>8</v>
      </c>
      <c r="V3" s="12"/>
      <c r="W3" s="12"/>
      <c r="X3" s="14"/>
    </row>
    <row r="4" spans="1:24" x14ac:dyDescent="0.25">
      <c r="A4" s="4" t="s">
        <v>1</v>
      </c>
      <c r="B4" s="5" t="s">
        <v>2</v>
      </c>
      <c r="C4" s="5" t="s">
        <v>3</v>
      </c>
      <c r="D4" s="6" t="s">
        <v>4</v>
      </c>
      <c r="F4" s="4" t="s">
        <v>1</v>
      </c>
      <c r="G4" s="5" t="s">
        <v>2</v>
      </c>
      <c r="H4" s="5" t="s">
        <v>3</v>
      </c>
      <c r="I4" s="6" t="s">
        <v>4</v>
      </c>
      <c r="K4" s="4" t="s">
        <v>1</v>
      </c>
      <c r="L4" s="5" t="s">
        <v>2</v>
      </c>
      <c r="M4" s="5" t="s">
        <v>3</v>
      </c>
      <c r="N4" s="6" t="s">
        <v>4</v>
      </c>
      <c r="P4" s="4" t="s">
        <v>1</v>
      </c>
      <c r="Q4" s="5" t="s">
        <v>2</v>
      </c>
      <c r="R4" s="5" t="s">
        <v>3</v>
      </c>
      <c r="S4" s="6" t="s">
        <v>4</v>
      </c>
      <c r="U4" s="4" t="s">
        <v>1</v>
      </c>
      <c r="V4" s="5" t="s">
        <v>2</v>
      </c>
      <c r="W4" s="5" t="s">
        <v>3</v>
      </c>
      <c r="X4" s="6" t="s">
        <v>4</v>
      </c>
    </row>
    <row r="5" spans="1:24" ht="15.75" thickBot="1" x14ac:dyDescent="0.3">
      <c r="A5" s="7">
        <v>16</v>
      </c>
      <c r="B5" s="8">
        <v>9</v>
      </c>
      <c r="C5" s="8">
        <f>SQRT((A5*A5)+(B5*B5))</f>
        <v>18.357559750685819</v>
      </c>
      <c r="D5" s="9">
        <f>A5*B5</f>
        <v>144</v>
      </c>
      <c r="F5" s="7">
        <v>2.35</v>
      </c>
      <c r="G5" s="8">
        <v>1</v>
      </c>
      <c r="H5" s="8">
        <f>SQRT((F5*F5)+(G5*G5))</f>
        <v>2.553918557824427</v>
      </c>
      <c r="I5" s="9">
        <f>F5*G5</f>
        <v>2.35</v>
      </c>
      <c r="K5" s="7">
        <v>1.85</v>
      </c>
      <c r="L5" s="8">
        <v>1</v>
      </c>
      <c r="M5" s="8">
        <f>SQRT((K5*K5)+(L5*L5))</f>
        <v>2.1029740844813092</v>
      </c>
      <c r="N5" s="9">
        <f>K5*L5</f>
        <v>1.85</v>
      </c>
      <c r="P5" s="7">
        <v>2.4</v>
      </c>
      <c r="Q5" s="8">
        <v>1</v>
      </c>
      <c r="R5" s="8">
        <f>SQRT((P5*P5)+(Q5*Q5))</f>
        <v>2.6</v>
      </c>
      <c r="S5" s="9">
        <f>P5*Q5</f>
        <v>2.4</v>
      </c>
      <c r="U5" s="7">
        <v>4</v>
      </c>
      <c r="V5" s="8">
        <v>3</v>
      </c>
      <c r="W5" s="8">
        <f>SQRT((U5*U5)+(V5*V5))</f>
        <v>5</v>
      </c>
      <c r="X5" s="9">
        <f>U5*V5</f>
        <v>12</v>
      </c>
    </row>
    <row r="6" spans="1:24" ht="15.75" thickBot="1" x14ac:dyDescent="0.3">
      <c r="A6" s="2"/>
      <c r="B6" s="5">
        <f>A6/(A5/B5)</f>
        <v>0</v>
      </c>
      <c r="C6" s="5">
        <f>SQRT((A6*A6)+(B6*B6))</f>
        <v>0</v>
      </c>
      <c r="D6" s="6">
        <f>A6*B6</f>
        <v>0</v>
      </c>
      <c r="F6" s="2"/>
      <c r="G6" s="5">
        <f>F6/(F5/G5)</f>
        <v>0</v>
      </c>
      <c r="H6" s="5">
        <f>SQRT((F6*F6)+(G6*G6))</f>
        <v>0</v>
      </c>
      <c r="I6" s="6">
        <f>F6*G6</f>
        <v>0</v>
      </c>
      <c r="K6" s="2"/>
      <c r="L6" s="5">
        <f>K6/(K5/L5)</f>
        <v>0</v>
      </c>
      <c r="M6" s="5">
        <f>SQRT((K6*K6)+(L6*L6))</f>
        <v>0</v>
      </c>
      <c r="N6" s="6">
        <f>K6*L6</f>
        <v>0</v>
      </c>
      <c r="P6" s="2"/>
      <c r="Q6" s="5">
        <f>P6/(P5/Q5)</f>
        <v>0</v>
      </c>
      <c r="R6" s="5">
        <f>SQRT((P6*P6)+(Q6*Q6))</f>
        <v>0</v>
      </c>
      <c r="S6" s="6">
        <f>P6*Q6</f>
        <v>0</v>
      </c>
      <c r="U6" s="2"/>
      <c r="V6" s="5">
        <f>U6/(U5/V5)</f>
        <v>0</v>
      </c>
      <c r="W6" s="5">
        <f>SQRT((U6*U6)+(V6*V6))</f>
        <v>0</v>
      </c>
      <c r="X6" s="6">
        <f>U6*V6</f>
        <v>0</v>
      </c>
    </row>
    <row r="7" spans="1:24" ht="15.75" thickBot="1" x14ac:dyDescent="0.3">
      <c r="A7" s="4">
        <f>B7*(A5/B5)</f>
        <v>0</v>
      </c>
      <c r="B7" s="2"/>
      <c r="C7" s="5">
        <f>SQRT((A7*A7)+(B7*B7))</f>
        <v>0</v>
      </c>
      <c r="D7" s="6">
        <f t="shared" ref="D7:D8" si="0">A7*B7</f>
        <v>0</v>
      </c>
      <c r="F7" s="4">
        <f>G7*(F5/G5)</f>
        <v>0</v>
      </c>
      <c r="G7" s="2"/>
      <c r="H7" s="5">
        <f>SQRT((F7*F7)+(G7*G7))</f>
        <v>0</v>
      </c>
      <c r="I7" s="6">
        <f t="shared" ref="I7:I8" si="1">F7*G7</f>
        <v>0</v>
      </c>
      <c r="K7" s="4">
        <f>L7*(K5/L5)</f>
        <v>0</v>
      </c>
      <c r="L7" s="2"/>
      <c r="M7" s="5">
        <f>SQRT((K7*K7)+(L7*L7))</f>
        <v>0</v>
      </c>
      <c r="N7" s="6">
        <f t="shared" ref="N7:N8" si="2">K7*L7</f>
        <v>0</v>
      </c>
      <c r="P7" s="4">
        <f>Q7*(P5/Q5)</f>
        <v>0</v>
      </c>
      <c r="Q7" s="2"/>
      <c r="R7" s="5">
        <f>SQRT((P7*P7)+(Q7*Q7))</f>
        <v>0</v>
      </c>
      <c r="S7" s="6">
        <f t="shared" ref="S7:S8" si="3">P7*Q7</f>
        <v>0</v>
      </c>
      <c r="U7" s="4">
        <f>V7*(U5/V5)</f>
        <v>0</v>
      </c>
      <c r="V7" s="2"/>
      <c r="W7" s="5">
        <f>SQRT((U7*U7)+(V7*V7))</f>
        <v>0</v>
      </c>
      <c r="X7" s="6">
        <f t="shared" ref="X7:X8" si="4">U7*V7</f>
        <v>0</v>
      </c>
    </row>
    <row r="8" spans="1:24" ht="15.75" thickBot="1" x14ac:dyDescent="0.3">
      <c r="A8" s="4">
        <f>C8*(A5/C5)</f>
        <v>0</v>
      </c>
      <c r="B8" s="5">
        <f>C8*(B5/C5)</f>
        <v>0</v>
      </c>
      <c r="C8" s="2"/>
      <c r="D8" s="6">
        <f t="shared" si="0"/>
        <v>0</v>
      </c>
      <c r="F8" s="4">
        <f>H8*(F5/H5)</f>
        <v>0</v>
      </c>
      <c r="G8" s="5">
        <f>H8*(G5/H5)</f>
        <v>0</v>
      </c>
      <c r="H8" s="2"/>
      <c r="I8" s="6">
        <f t="shared" si="1"/>
        <v>0</v>
      </c>
      <c r="K8" s="4">
        <f>M8*(K5/M5)</f>
        <v>0</v>
      </c>
      <c r="L8" s="5">
        <f>M8*(L5/M5)</f>
        <v>0</v>
      </c>
      <c r="M8" s="2"/>
      <c r="N8" s="6">
        <f t="shared" si="2"/>
        <v>0</v>
      </c>
      <c r="P8" s="4">
        <f>R8*(P5/R5)</f>
        <v>0</v>
      </c>
      <c r="Q8" s="5">
        <f>R8*(Q5/R5)</f>
        <v>0</v>
      </c>
      <c r="R8" s="2"/>
      <c r="S8" s="6">
        <f t="shared" si="3"/>
        <v>0</v>
      </c>
      <c r="U8" s="4">
        <f>W8*(U5/W5)</f>
        <v>0</v>
      </c>
      <c r="V8" s="5">
        <f>W8*(V5/W5)</f>
        <v>0</v>
      </c>
      <c r="W8" s="2"/>
      <c r="X8" s="6">
        <f t="shared" si="4"/>
        <v>0</v>
      </c>
    </row>
    <row r="9" spans="1:24" ht="15.75" thickBot="1" x14ac:dyDescent="0.3">
      <c r="A9" s="16">
        <f>IF(ISERROR(A5*(SQRT(D9/D5))),"0",A5*(SQRT(D9/D5)))</f>
        <v>0</v>
      </c>
      <c r="B9" s="17">
        <f>IF(ISERROR(B5*(SQRT(D9/D5))),"0",(B5*(SQRT(D9/D5))))</f>
        <v>0</v>
      </c>
      <c r="C9" s="10">
        <f>SQRT((A9*A9)+(B9*B9))</f>
        <v>0</v>
      </c>
      <c r="D9" s="2"/>
      <c r="F9" s="16">
        <f>IF(ISERROR(F5*(SQRT(I9/I5))),"0",F5*(SQRT(I9/I5)))</f>
        <v>0</v>
      </c>
      <c r="G9" s="17">
        <f>IF(ISERROR(G5*(SQRT(I9/I5))),"0",(G5*(SQRT(I9/I5))))</f>
        <v>0</v>
      </c>
      <c r="H9" s="10">
        <f>SQRT((F9*F9)+(G9*G9))</f>
        <v>0</v>
      </c>
      <c r="I9" s="2"/>
      <c r="K9" s="16">
        <f>IF(ISERROR(K5*(SQRT(N9/N5))),"0",K5*(SQRT(N9/N5)))</f>
        <v>0</v>
      </c>
      <c r="L9" s="17">
        <f>IF(ISERROR(L5*(SQRT(N9/N5))),"0",(L5*(SQRT(N9/N5))))</f>
        <v>0</v>
      </c>
      <c r="M9" s="10">
        <f>SQRT((K9*K9)+(L9*L9))</f>
        <v>0</v>
      </c>
      <c r="N9" s="2"/>
      <c r="P9" s="16">
        <f>IF(ISERROR(P5*(SQRT(S9/S5))),"0",P5*(SQRT(S9/S5)))</f>
        <v>0</v>
      </c>
      <c r="Q9" s="17">
        <f>IF(ISERROR(Q5*(SQRT(S9/S5))),"0",(Q5*(SQRT(S9/S5))))</f>
        <v>0</v>
      </c>
      <c r="R9" s="10">
        <f>SQRT((P9*P9)+(Q9*Q9))</f>
        <v>0</v>
      </c>
      <c r="S9" s="2"/>
      <c r="U9" s="16">
        <f>IF(ISERROR(U5*(SQRT(X9/X5))),"0",U5*(SQRT(X9/X5)))</f>
        <v>0</v>
      </c>
      <c r="V9" s="17">
        <f>IF(ISERROR(V5*(SQRT(X9/X5))),"0",(V5*(SQRT(X9/X5))))</f>
        <v>0</v>
      </c>
      <c r="W9" s="10">
        <f>SQRT((U9*U9)+(V9*V9))</f>
        <v>0</v>
      </c>
      <c r="X9" s="2"/>
    </row>
    <row r="10" spans="1:24" s="1" customFormat="1" x14ac:dyDescent="0.25">
      <c r="A10" s="44"/>
      <c r="B10" s="44"/>
      <c r="C10" s="45"/>
      <c r="D10" s="45"/>
      <c r="E10" s="46"/>
      <c r="F10" s="44"/>
      <c r="G10" s="44"/>
      <c r="H10" s="45"/>
      <c r="I10" s="45"/>
      <c r="J10" s="46"/>
      <c r="K10" s="44"/>
      <c r="L10" s="44"/>
      <c r="M10" s="45"/>
      <c r="N10" s="45"/>
      <c r="O10" s="46"/>
      <c r="P10" s="44"/>
      <c r="Q10" s="44"/>
      <c r="R10" s="45"/>
      <c r="S10" s="45"/>
      <c r="T10" s="46"/>
      <c r="U10" s="44"/>
      <c r="V10" s="44"/>
      <c r="W10" s="45"/>
      <c r="X10" s="45"/>
    </row>
    <row r="11" spans="1:24" ht="18.75" x14ac:dyDescent="0.3">
      <c r="A11" s="32" t="s">
        <v>25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P11" s="32" t="s">
        <v>23</v>
      </c>
      <c r="Q11" s="32"/>
      <c r="R11" s="32"/>
      <c r="S11" s="32"/>
    </row>
    <row r="12" spans="1:24" ht="15.75" thickBot="1" x14ac:dyDescent="0.3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 spans="1:24" ht="15.75" thickBot="1" x14ac:dyDescent="0.3">
      <c r="A13" s="11" t="s">
        <v>10</v>
      </c>
      <c r="B13" s="12"/>
      <c r="C13" s="12"/>
      <c r="D13" s="14"/>
      <c r="F13" s="11" t="s">
        <v>22</v>
      </c>
      <c r="G13" s="12"/>
      <c r="H13" s="12"/>
      <c r="I13" s="14"/>
      <c r="K13" s="11" t="s">
        <v>9</v>
      </c>
      <c r="L13" s="12"/>
      <c r="M13" s="12"/>
      <c r="N13" s="14"/>
      <c r="P13" s="24" t="s">
        <v>17</v>
      </c>
      <c r="Q13" s="25"/>
      <c r="R13" s="25"/>
      <c r="S13" s="26"/>
    </row>
    <row r="14" spans="1:24" ht="15.75" thickBot="1" x14ac:dyDescent="0.3">
      <c r="A14" s="4" t="s">
        <v>1</v>
      </c>
      <c r="B14" s="5" t="s">
        <v>2</v>
      </c>
      <c r="C14" s="5" t="s">
        <v>3</v>
      </c>
      <c r="D14" s="6" t="s">
        <v>4</v>
      </c>
      <c r="F14" s="4" t="s">
        <v>1</v>
      </c>
      <c r="G14" s="5" t="s">
        <v>2</v>
      </c>
      <c r="H14" s="5" t="s">
        <v>3</v>
      </c>
      <c r="I14" s="6" t="s">
        <v>4</v>
      </c>
      <c r="K14" s="4" t="s">
        <v>1</v>
      </c>
      <c r="L14" s="5" t="s">
        <v>2</v>
      </c>
      <c r="M14" s="5" t="s">
        <v>3</v>
      </c>
      <c r="N14" s="6" t="s">
        <v>4</v>
      </c>
      <c r="P14" s="4" t="s">
        <v>1</v>
      </c>
      <c r="Q14" s="5" t="s">
        <v>2</v>
      </c>
      <c r="R14" s="5" t="s">
        <v>3</v>
      </c>
      <c r="S14" s="6" t="s">
        <v>4</v>
      </c>
    </row>
    <row r="15" spans="1:24" ht="15.75" thickBot="1" x14ac:dyDescent="0.3">
      <c r="A15" s="7">
        <v>2.1</v>
      </c>
      <c r="B15" s="8">
        <v>1</v>
      </c>
      <c r="C15" s="8">
        <f>SQRT((A15*A15)+(B15*B15))</f>
        <v>2.3259406699226015</v>
      </c>
      <c r="D15" s="9">
        <f>A15*B15</f>
        <v>2.1</v>
      </c>
      <c r="F15" s="7">
        <v>2.0499999999999998</v>
      </c>
      <c r="G15" s="8">
        <v>1</v>
      </c>
      <c r="H15" s="8">
        <f>SQRT((F15*F15)+(G15*G15))</f>
        <v>2.2808989455914088</v>
      </c>
      <c r="I15" s="9">
        <f>F15*G15</f>
        <v>2.0499999999999998</v>
      </c>
      <c r="K15" s="7">
        <v>2</v>
      </c>
      <c r="L15" s="8">
        <v>1</v>
      </c>
      <c r="M15" s="8">
        <f>SQRT((K15*K15)+(L15*L15))</f>
        <v>2.2360679774997898</v>
      </c>
      <c r="N15" s="9">
        <f>K15*L15</f>
        <v>2</v>
      </c>
      <c r="P15" s="2"/>
      <c r="Q15" s="2"/>
      <c r="R15" s="8">
        <f>SQRT((P15*P15)+(Q15*Q15))</f>
        <v>0</v>
      </c>
      <c r="S15" s="9">
        <f>P15*Q15</f>
        <v>0</v>
      </c>
    </row>
    <row r="16" spans="1:24" ht="15.75" thickBot="1" x14ac:dyDescent="0.3">
      <c r="A16" s="2"/>
      <c r="B16" s="5">
        <f>A16/(A15/B15)</f>
        <v>0</v>
      </c>
      <c r="C16" s="5">
        <f>SQRT((A16*A16)+(B16*B16))</f>
        <v>0</v>
      </c>
      <c r="D16" s="6">
        <f>A16*B16</f>
        <v>0</v>
      </c>
      <c r="F16" s="2"/>
      <c r="G16" s="5">
        <f>F16/(F15/G15)</f>
        <v>0</v>
      </c>
      <c r="H16" s="5">
        <f>SQRT((F16*F16)+(G16*G16))</f>
        <v>0</v>
      </c>
      <c r="I16" s="6">
        <f>F16*G16</f>
        <v>0</v>
      </c>
      <c r="K16" s="2"/>
      <c r="L16" s="5">
        <f>K16/(K15/L15)</f>
        <v>0</v>
      </c>
      <c r="M16" s="5">
        <f>SQRT((K16*K16)+(L16*L16))</f>
        <v>0</v>
      </c>
      <c r="N16" s="6">
        <f>K16*L16</f>
        <v>0</v>
      </c>
      <c r="P16" s="22"/>
      <c r="Q16" s="18" t="str">
        <f>IF(ISERROR(P16/(P15/Q15)),"0",(P16/(P15/Q15)))</f>
        <v>0</v>
      </c>
      <c r="R16" s="5">
        <f>SQRT((P16*P16)+(Q16*Q16))</f>
        <v>0</v>
      </c>
      <c r="S16" s="6">
        <f>P16*Q16</f>
        <v>0</v>
      </c>
    </row>
    <row r="17" spans="1:21" ht="15.75" thickBot="1" x14ac:dyDescent="0.3">
      <c r="A17" s="4">
        <f>B17*(A15/B15)</f>
        <v>0</v>
      </c>
      <c r="B17" s="2"/>
      <c r="C17" s="5">
        <f>SQRT((A17*A17)+(B17*B17))</f>
        <v>0</v>
      </c>
      <c r="D17" s="6">
        <f t="shared" ref="D17:D18" si="5">A17*B17</f>
        <v>0</v>
      </c>
      <c r="F17" s="4">
        <f>G17*(F15/G15)</f>
        <v>0</v>
      </c>
      <c r="G17" s="2"/>
      <c r="H17" s="5">
        <f>SQRT((F17*F17)+(G17*G17))</f>
        <v>0</v>
      </c>
      <c r="I17" s="6">
        <f t="shared" ref="I17:I18" si="6">F17*G17</f>
        <v>0</v>
      </c>
      <c r="K17" s="4">
        <f>L17*(K15/L15)</f>
        <v>0</v>
      </c>
      <c r="L17" s="2"/>
      <c r="M17" s="5">
        <f>SQRT((K17*K17)+(L17*L17))</f>
        <v>0</v>
      </c>
      <c r="N17" s="6">
        <f t="shared" ref="N17:N18" si="7">K17*L17</f>
        <v>0</v>
      </c>
      <c r="P17" s="23" t="str">
        <f>IF(ISERROR(Q17*(P15/Q15)),"0",(Q17*(P15/Q15)))</f>
        <v>0</v>
      </c>
      <c r="Q17" s="2"/>
      <c r="R17" s="5">
        <f>SQRT((P17*P17)+(Q17*Q17))</f>
        <v>0</v>
      </c>
      <c r="S17" s="6">
        <f>P17*Q17</f>
        <v>0</v>
      </c>
    </row>
    <row r="18" spans="1:21" ht="15.75" thickBot="1" x14ac:dyDescent="0.3">
      <c r="A18" s="4">
        <f>C18*(A15/C15)</f>
        <v>0</v>
      </c>
      <c r="B18" s="5">
        <f>C18*(B15/C15)</f>
        <v>0</v>
      </c>
      <c r="C18" s="2"/>
      <c r="D18" s="6">
        <f t="shared" si="5"/>
        <v>0</v>
      </c>
      <c r="F18" s="4">
        <f>H18*(F15/H15)</f>
        <v>0</v>
      </c>
      <c r="G18" s="5">
        <f>H18*(G15/H15)</f>
        <v>0</v>
      </c>
      <c r="H18" s="2"/>
      <c r="I18" s="6">
        <f t="shared" si="6"/>
        <v>0</v>
      </c>
      <c r="K18" s="4">
        <f>M18*(K15/M15)</f>
        <v>0</v>
      </c>
      <c r="L18" s="5">
        <f>M18*(L15/M15)</f>
        <v>0</v>
      </c>
      <c r="M18" s="2"/>
      <c r="N18" s="6">
        <f t="shared" si="7"/>
        <v>0</v>
      </c>
      <c r="P18" s="23" t="str">
        <f>IF(ISERROR(R18*(P15/R15)),"0",(R18*(P15/R15)))</f>
        <v>0</v>
      </c>
      <c r="Q18" s="18" t="str">
        <f>IF(ISERROR(R18*(Q15/R15)),"0",(R18*(Q15/R15)))</f>
        <v>0</v>
      </c>
      <c r="R18" s="2"/>
      <c r="S18" s="6">
        <f>P18*Q18</f>
        <v>0</v>
      </c>
    </row>
    <row r="19" spans="1:21" ht="15.75" thickBot="1" x14ac:dyDescent="0.3">
      <c r="A19" s="16">
        <f>IF(ISERROR(A15*(SQRT(D19/D15))),"0",A15*(SQRT(D19/D15)))</f>
        <v>0</v>
      </c>
      <c r="B19" s="17">
        <f>IF(ISERROR(B15*(SQRT(D19/D15))),"0",(B15*(SQRT(D19/D15))))</f>
        <v>0</v>
      </c>
      <c r="C19" s="10">
        <f>SQRT((A19*A19)+(B19*B19))</f>
        <v>0</v>
      </c>
      <c r="D19" s="2"/>
      <c r="F19" s="16">
        <f>IF(ISERROR(F15*(SQRT(I19/I15))),"0",F15*(SQRT(I19/I15)))</f>
        <v>0</v>
      </c>
      <c r="G19" s="17">
        <f>IF(ISERROR(G15*(SQRT(I19/I15))),"0",(G15*(SQRT(I19/I15))))</f>
        <v>0</v>
      </c>
      <c r="H19" s="10">
        <f>SQRT((F19*F19)+(G19*G19))</f>
        <v>0</v>
      </c>
      <c r="I19" s="2"/>
      <c r="K19" s="16">
        <f>IF(ISERROR(K15*(SQRT(N19/N15))),"0",K15*(SQRT(N19/N15)))</f>
        <v>0</v>
      </c>
      <c r="L19" s="17">
        <f>IF(ISERROR(L15*(SQRT(N19/N15))),"0",(L15*(SQRT(N19/N15))))</f>
        <v>0</v>
      </c>
      <c r="M19" s="10">
        <f>SQRT((K19*K19)+(L19*L19))</f>
        <v>0</v>
      </c>
      <c r="N19" s="2"/>
      <c r="P19" s="16" t="str">
        <f>IF(ISERROR(P15*(SQRT(S15/S19))),"0",P15*(SQRT(S15/S19)))</f>
        <v>0</v>
      </c>
      <c r="Q19" s="17" t="str">
        <f>IF(ISERROR(Q15*(SQRT(S15/S19))),"0",(Q15*(SQRT(S15/S19))))</f>
        <v>0</v>
      </c>
      <c r="R19" s="10">
        <f>SQRT((P19*P19)+(Q19*Q19))</f>
        <v>0</v>
      </c>
      <c r="S19" s="2"/>
    </row>
    <row r="21" spans="1:21" ht="18.75" x14ac:dyDescent="0.3">
      <c r="A21" s="32" t="s">
        <v>24</v>
      </c>
      <c r="B21" s="30"/>
      <c r="C21" s="30"/>
      <c r="D21" s="30"/>
    </row>
    <row r="22" spans="1:21" ht="15.75" thickBot="1" x14ac:dyDescent="0.3">
      <c r="J22" s="15"/>
      <c r="K22" s="15"/>
    </row>
    <row r="23" spans="1:21" ht="15.75" thickBot="1" x14ac:dyDescent="0.3">
      <c r="A23" s="34" t="s">
        <v>18</v>
      </c>
      <c r="B23" s="35"/>
      <c r="C23" s="2"/>
      <c r="D23" s="48"/>
      <c r="E23" s="47"/>
      <c r="F23" s="47"/>
      <c r="G23" s="47"/>
      <c r="H23" s="47"/>
      <c r="I23" s="47"/>
      <c r="J23" s="45"/>
      <c r="K23" s="45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ht="15.75" thickBot="1" x14ac:dyDescent="0.3">
      <c r="A24" s="20" t="s">
        <v>19</v>
      </c>
      <c r="B24" s="19"/>
      <c r="C24" s="2"/>
      <c r="D24" s="45"/>
      <c r="E24" s="47"/>
      <c r="F24" s="47"/>
      <c r="G24" s="47"/>
      <c r="H24" s="47"/>
      <c r="I24" s="47"/>
      <c r="J24" s="45"/>
      <c r="K24" s="45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ht="15.75" thickBot="1" x14ac:dyDescent="0.3">
      <c r="A25" s="13" t="s">
        <v>20</v>
      </c>
      <c r="B25" s="28"/>
      <c r="C25" s="29" t="str">
        <f>IF(ISERROR(ROUND(C23/C24,2)&amp;":1")," ",(ROUND(C23/C24,2)&amp;":1"))</f>
        <v xml:space="preserve"> </v>
      </c>
      <c r="D25" s="45"/>
      <c r="E25" s="47"/>
      <c r="F25" s="47"/>
      <c r="G25" s="47"/>
      <c r="H25" s="45"/>
      <c r="I25" s="45"/>
      <c r="J25" s="45"/>
      <c r="K25" s="45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  <row r="30" spans="1:21" x14ac:dyDescent="0.25"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 spans="1:21" x14ac:dyDescent="0.25"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 spans="1:21" x14ac:dyDescent="0.25"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4:21" x14ac:dyDescent="0.25"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 spans="4:21" x14ac:dyDescent="0.25"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 spans="4:21" x14ac:dyDescent="0.25"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 spans="4:21" x14ac:dyDescent="0.25"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 spans="4:21" x14ac:dyDescent="0.25"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 spans="4:21" x14ac:dyDescent="0.25"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 spans="4:21" x14ac:dyDescent="0.25"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</sheetData>
  <sheetProtection password="8C41" sheet="1" objects="1" scenarios="1" selectLockedCells="1"/>
  <mergeCells count="11">
    <mergeCell ref="F13:I13"/>
    <mergeCell ref="A23:B23"/>
    <mergeCell ref="A24:B24"/>
    <mergeCell ref="A13:D13"/>
    <mergeCell ref="P13:S13"/>
    <mergeCell ref="A3:D3"/>
    <mergeCell ref="F3:I3"/>
    <mergeCell ref="K3:N3"/>
    <mergeCell ref="P3:S3"/>
    <mergeCell ref="U3:X3"/>
    <mergeCell ref="K13:N13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defaultRowHeight="15" x14ac:dyDescent="0.25"/>
  <cols>
    <col min="1" max="1" width="18.28515625" customWidth="1"/>
    <col min="2" max="2" width="16.28515625" customWidth="1"/>
  </cols>
  <sheetData>
    <row r="1" spans="1:2" ht="18.75" x14ac:dyDescent="0.3">
      <c r="A1" s="38" t="s">
        <v>14</v>
      </c>
      <c r="B1" s="39"/>
    </row>
    <row r="2" spans="1:2" s="3" customFormat="1" ht="15.75" thickBot="1" x14ac:dyDescent="0.3">
      <c r="A2" s="15"/>
      <c r="B2" s="15"/>
    </row>
    <row r="3" spans="1:2" x14ac:dyDescent="0.25">
      <c r="A3" s="40" t="s">
        <v>12</v>
      </c>
      <c r="B3" s="41"/>
    </row>
    <row r="4" spans="1:2" x14ac:dyDescent="0.25">
      <c r="A4" s="42" t="s">
        <v>11</v>
      </c>
      <c r="B4" s="27"/>
    </row>
    <row r="5" spans="1:2" ht="15.75" thickBot="1" x14ac:dyDescent="0.3">
      <c r="A5" s="43" t="s">
        <v>13</v>
      </c>
      <c r="B5" s="21">
        <f>ROUND(TAN(RADIANS(180-90-(B4/2)))*(B3/2),2)</f>
        <v>0</v>
      </c>
    </row>
    <row r="6" spans="1:2" x14ac:dyDescent="0.25">
      <c r="A6" s="36"/>
      <c r="B6" s="37"/>
    </row>
    <row r="7" spans="1:2" ht="18.75" x14ac:dyDescent="0.3">
      <c r="A7" s="38" t="s">
        <v>15</v>
      </c>
      <c r="B7" s="39"/>
    </row>
    <row r="8" spans="1:2" ht="15.75" thickBot="1" x14ac:dyDescent="0.3"/>
    <row r="9" spans="1:2" x14ac:dyDescent="0.25">
      <c r="A9" s="40" t="s">
        <v>12</v>
      </c>
      <c r="B9" s="41"/>
    </row>
    <row r="10" spans="1:2" x14ac:dyDescent="0.25">
      <c r="A10" s="42" t="s">
        <v>13</v>
      </c>
      <c r="B10" s="27"/>
    </row>
    <row r="11" spans="1:2" ht="15.75" thickBot="1" x14ac:dyDescent="0.3">
      <c r="A11" s="43" t="s">
        <v>11</v>
      </c>
      <c r="B11" s="21">
        <f>ROUND(IF(ISERROR(DEGREES(ATAN((B9/2)/B10))*2),"0",(DEGREES(ATAN((B9/2)/B10))*2)),1)</f>
        <v>0</v>
      </c>
    </row>
    <row r="12" spans="1:2" x14ac:dyDescent="0.25">
      <c r="A12" s="36"/>
      <c r="B12" s="37"/>
    </row>
    <row r="13" spans="1:2" ht="18.75" x14ac:dyDescent="0.3">
      <c r="A13" s="38" t="s">
        <v>16</v>
      </c>
      <c r="B13" s="39"/>
    </row>
    <row r="14" spans="1:2" ht="15.75" thickBot="1" x14ac:dyDescent="0.3"/>
    <row r="15" spans="1:2" x14ac:dyDescent="0.25">
      <c r="A15" s="40" t="s">
        <v>13</v>
      </c>
      <c r="B15" s="41"/>
    </row>
    <row r="16" spans="1:2" x14ac:dyDescent="0.25">
      <c r="A16" s="42" t="s">
        <v>11</v>
      </c>
      <c r="B16" s="27"/>
    </row>
    <row r="17" spans="1:2" ht="15.75" thickBot="1" x14ac:dyDescent="0.3">
      <c r="A17" s="43" t="s">
        <v>12</v>
      </c>
      <c r="B17" s="21">
        <f>ROUND(B15*TAN(RADIANS(B16/2))*2,2)</f>
        <v>0</v>
      </c>
    </row>
  </sheetData>
  <sheetProtection password="8C41" sheet="1" objects="1" scenarios="1"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Aspect Ratios and Screen Sizes</vt:lpstr>
      <vt:lpstr>Screen Width, Distance, Angle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Johnson</cp:lastModifiedBy>
  <dcterms:created xsi:type="dcterms:W3CDTF">2012-06-21T09:07:36Z</dcterms:created>
  <dcterms:modified xsi:type="dcterms:W3CDTF">2012-11-02T20:16:11Z</dcterms:modified>
</cp:coreProperties>
</file>