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120" yWindow="12" windowWidth="15192" windowHeight="8196" activeTab="1"/>
  </bookViews>
  <sheets>
    <sheet name="Input Teaching data here" sheetId="1" r:id="rId1"/>
    <sheet name="template" sheetId="2" r:id="rId2"/>
  </sheets>
  <definedNames>
    <definedName name="Modules">'Input Teaching data here'!$A$2:$A$3</definedName>
    <definedName name="_xlnm.Print_Area" localSheetId="1">template!$A$1:$E$71</definedName>
  </definedNames>
  <calcPr calcId="144525"/>
</workbook>
</file>

<file path=xl/calcChain.xml><?xml version="1.0" encoding="utf-8"?>
<calcChain xmlns="http://schemas.openxmlformats.org/spreadsheetml/2006/main">
  <c r="E65" i="2" l="1"/>
  <c r="E44" i="2"/>
  <c r="C8" i="2" l="1"/>
  <c r="D8" i="2" s="1"/>
  <c r="C9" i="2"/>
  <c r="D9" i="2" s="1"/>
  <c r="C10" i="2"/>
  <c r="D10" i="2" s="1"/>
  <c r="C11" i="2"/>
  <c r="D11" i="2" s="1"/>
  <c r="C12" i="2"/>
  <c r="D12" i="2" s="1"/>
  <c r="C13" i="2"/>
  <c r="D13" i="2" s="1"/>
  <c r="C14" i="2"/>
  <c r="D14" i="2" s="1"/>
  <c r="C15" i="2"/>
  <c r="D15" i="2" s="1"/>
  <c r="C17" i="2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0" i="1"/>
  <c r="V9" i="1"/>
  <c r="V8" i="1"/>
  <c r="V7" i="1"/>
  <c r="V6" i="1"/>
  <c r="V5" i="1"/>
  <c r="O8" i="1"/>
  <c r="P8" i="1"/>
  <c r="Q8" i="1"/>
  <c r="R8" i="1"/>
  <c r="U8" i="1" s="1"/>
  <c r="S8" i="1"/>
  <c r="T8" i="1"/>
  <c r="O9" i="1"/>
  <c r="P9" i="1"/>
  <c r="Q9" i="1"/>
  <c r="R9" i="1"/>
  <c r="S9" i="1"/>
  <c r="T9" i="1"/>
  <c r="U9" i="1"/>
  <c r="O10" i="1"/>
  <c r="P10" i="1"/>
  <c r="U10" i="1" s="1"/>
  <c r="Q10" i="1"/>
  <c r="R10" i="1"/>
  <c r="S10" i="1"/>
  <c r="T10" i="1"/>
  <c r="O11" i="1"/>
  <c r="P11" i="1"/>
  <c r="Q11" i="1"/>
  <c r="R11" i="1"/>
  <c r="S11" i="1"/>
  <c r="T11" i="1"/>
  <c r="U11" i="1"/>
  <c r="V11" i="1" s="1"/>
  <c r="O12" i="1"/>
  <c r="P12" i="1"/>
  <c r="U12" i="1" s="1"/>
  <c r="Q12" i="1"/>
  <c r="R12" i="1"/>
  <c r="S12" i="1"/>
  <c r="T12" i="1"/>
  <c r="O13" i="1"/>
  <c r="P13" i="1"/>
  <c r="Q13" i="1"/>
  <c r="R13" i="1"/>
  <c r="S13" i="1"/>
  <c r="T13" i="1"/>
  <c r="U13" i="1"/>
  <c r="O14" i="1"/>
  <c r="P14" i="1"/>
  <c r="U14" i="1" s="1"/>
  <c r="Q14" i="1"/>
  <c r="R14" i="1"/>
  <c r="S14" i="1"/>
  <c r="T14" i="1"/>
  <c r="O15" i="1"/>
  <c r="P15" i="1"/>
  <c r="Q15" i="1"/>
  <c r="R15" i="1"/>
  <c r="S15" i="1"/>
  <c r="T15" i="1"/>
  <c r="U15" i="1"/>
  <c r="O16" i="1"/>
  <c r="P16" i="1"/>
  <c r="U16" i="1" s="1"/>
  <c r="Q16" i="1"/>
  <c r="R16" i="1"/>
  <c r="S16" i="1"/>
  <c r="T16" i="1"/>
  <c r="O17" i="1"/>
  <c r="P17" i="1"/>
  <c r="Q17" i="1"/>
  <c r="R17" i="1"/>
  <c r="S17" i="1"/>
  <c r="T17" i="1"/>
  <c r="U17" i="1"/>
  <c r="O18" i="1"/>
  <c r="P18" i="1"/>
  <c r="U18" i="1" s="1"/>
  <c r="Q18" i="1"/>
  <c r="R18" i="1"/>
  <c r="S18" i="1"/>
  <c r="T18" i="1"/>
  <c r="O19" i="1"/>
  <c r="P19" i="1"/>
  <c r="Q19" i="1"/>
  <c r="R19" i="1"/>
  <c r="S19" i="1"/>
  <c r="T19" i="1"/>
  <c r="U19" i="1"/>
  <c r="O20" i="1"/>
  <c r="P20" i="1"/>
  <c r="U20" i="1" s="1"/>
  <c r="Q20" i="1"/>
  <c r="R20" i="1"/>
  <c r="S20" i="1"/>
  <c r="T20" i="1"/>
  <c r="O21" i="1"/>
  <c r="P21" i="1"/>
  <c r="Q21" i="1"/>
  <c r="R21" i="1"/>
  <c r="S21" i="1"/>
  <c r="T21" i="1"/>
  <c r="U21" i="1"/>
  <c r="O22" i="1"/>
  <c r="P22" i="1"/>
  <c r="U22" i="1" s="1"/>
  <c r="Q22" i="1"/>
  <c r="R22" i="1"/>
  <c r="S22" i="1"/>
  <c r="T22" i="1"/>
  <c r="O23" i="1"/>
  <c r="P23" i="1"/>
  <c r="Q23" i="1"/>
  <c r="R23" i="1"/>
  <c r="S23" i="1"/>
  <c r="T23" i="1"/>
  <c r="U23" i="1"/>
  <c r="O24" i="1"/>
  <c r="P24" i="1"/>
  <c r="U24" i="1" s="1"/>
  <c r="Q24" i="1"/>
  <c r="R24" i="1"/>
  <c r="S24" i="1"/>
  <c r="T24" i="1"/>
  <c r="O25" i="1"/>
  <c r="P25" i="1"/>
  <c r="Q25" i="1"/>
  <c r="R25" i="1"/>
  <c r="S25" i="1"/>
  <c r="T25" i="1"/>
  <c r="U25" i="1"/>
  <c r="O26" i="1"/>
  <c r="P26" i="1"/>
  <c r="U26" i="1" s="1"/>
  <c r="Q26" i="1"/>
  <c r="R26" i="1"/>
  <c r="S26" i="1"/>
  <c r="T26" i="1"/>
  <c r="O27" i="1"/>
  <c r="P27" i="1"/>
  <c r="Q27" i="1"/>
  <c r="R27" i="1"/>
  <c r="S27" i="1"/>
  <c r="T27" i="1"/>
  <c r="U27" i="1"/>
  <c r="O28" i="1"/>
  <c r="P28" i="1"/>
  <c r="U28" i="1" s="1"/>
  <c r="Q28" i="1"/>
  <c r="R28" i="1"/>
  <c r="S28" i="1"/>
  <c r="T28" i="1"/>
  <c r="O29" i="1"/>
  <c r="P29" i="1"/>
  <c r="Q29" i="1"/>
  <c r="R29" i="1"/>
  <c r="S29" i="1"/>
  <c r="T29" i="1"/>
  <c r="U29" i="1"/>
  <c r="O30" i="1"/>
  <c r="P30" i="1"/>
  <c r="U30" i="1" s="1"/>
  <c r="Q30" i="1"/>
  <c r="R30" i="1"/>
  <c r="S30" i="1"/>
  <c r="T30" i="1"/>
  <c r="O31" i="1"/>
  <c r="P31" i="1"/>
  <c r="Q31" i="1"/>
  <c r="R31" i="1"/>
  <c r="S31" i="1"/>
  <c r="T31" i="1"/>
  <c r="U31" i="1"/>
  <c r="O32" i="1"/>
  <c r="P32" i="1"/>
  <c r="U32" i="1" s="1"/>
  <c r="Q32" i="1"/>
  <c r="R32" i="1"/>
  <c r="S32" i="1"/>
  <c r="T32" i="1"/>
  <c r="O33" i="1"/>
  <c r="P33" i="1"/>
  <c r="Q33" i="1"/>
  <c r="R33" i="1"/>
  <c r="S33" i="1"/>
  <c r="T33" i="1"/>
  <c r="U33" i="1"/>
  <c r="O34" i="1"/>
  <c r="P34" i="1"/>
  <c r="U34" i="1" s="1"/>
  <c r="Q34" i="1"/>
  <c r="R34" i="1"/>
  <c r="S34" i="1"/>
  <c r="T34" i="1"/>
  <c r="O35" i="1"/>
  <c r="P35" i="1"/>
  <c r="Q35" i="1"/>
  <c r="R35" i="1"/>
  <c r="S35" i="1"/>
  <c r="T35" i="1"/>
  <c r="U35" i="1"/>
  <c r="O36" i="1"/>
  <c r="P36" i="1"/>
  <c r="U36" i="1" s="1"/>
  <c r="Q36" i="1"/>
  <c r="R36" i="1"/>
  <c r="S36" i="1"/>
  <c r="T36" i="1"/>
  <c r="O37" i="1"/>
  <c r="P37" i="1"/>
  <c r="Q37" i="1"/>
  <c r="R37" i="1"/>
  <c r="S37" i="1"/>
  <c r="T37" i="1"/>
  <c r="U37" i="1"/>
  <c r="O38" i="1"/>
  <c r="P38" i="1"/>
  <c r="U38" i="1" s="1"/>
  <c r="Q38" i="1"/>
  <c r="R38" i="1"/>
  <c r="S38" i="1"/>
  <c r="T38" i="1"/>
  <c r="O39" i="1"/>
  <c r="P39" i="1"/>
  <c r="Q39" i="1"/>
  <c r="R39" i="1"/>
  <c r="S39" i="1"/>
  <c r="T39" i="1"/>
  <c r="U39" i="1"/>
  <c r="O40" i="1"/>
  <c r="P40" i="1"/>
  <c r="U40" i="1" s="1"/>
  <c r="Q40" i="1"/>
  <c r="R40" i="1"/>
  <c r="S40" i="1"/>
  <c r="T40" i="1"/>
  <c r="O41" i="1"/>
  <c r="P41" i="1"/>
  <c r="Q41" i="1"/>
  <c r="R41" i="1"/>
  <c r="S41" i="1"/>
  <c r="T41" i="1"/>
  <c r="U41" i="1"/>
  <c r="O42" i="1"/>
  <c r="P42" i="1"/>
  <c r="U42" i="1" s="1"/>
  <c r="Q42" i="1"/>
  <c r="R42" i="1"/>
  <c r="S42" i="1"/>
  <c r="T42" i="1"/>
  <c r="O43" i="1"/>
  <c r="P43" i="1"/>
  <c r="Q43" i="1"/>
  <c r="R43" i="1"/>
  <c r="S43" i="1"/>
  <c r="T43" i="1"/>
  <c r="U43" i="1"/>
  <c r="O44" i="1"/>
  <c r="P44" i="1"/>
  <c r="U44" i="1" s="1"/>
  <c r="Q44" i="1"/>
  <c r="R44" i="1"/>
  <c r="S44" i="1"/>
  <c r="T44" i="1"/>
  <c r="O45" i="1"/>
  <c r="P45" i="1"/>
  <c r="Q45" i="1"/>
  <c r="R45" i="1"/>
  <c r="S45" i="1"/>
  <c r="T45" i="1"/>
  <c r="U45" i="1"/>
  <c r="O46" i="1"/>
  <c r="P46" i="1"/>
  <c r="U46" i="1" s="1"/>
  <c r="Q46" i="1"/>
  <c r="R46" i="1"/>
  <c r="S46" i="1"/>
  <c r="T46" i="1"/>
  <c r="O47" i="1"/>
  <c r="P47" i="1"/>
  <c r="Q47" i="1"/>
  <c r="R47" i="1"/>
  <c r="S47" i="1"/>
  <c r="T47" i="1"/>
  <c r="U47" i="1"/>
  <c r="O48" i="1"/>
  <c r="P48" i="1"/>
  <c r="U48" i="1" s="1"/>
  <c r="Q48" i="1"/>
  <c r="R48" i="1"/>
  <c r="S48" i="1"/>
  <c r="T48" i="1"/>
  <c r="O49" i="1"/>
  <c r="P49" i="1"/>
  <c r="Q49" i="1"/>
  <c r="R49" i="1"/>
  <c r="S49" i="1"/>
  <c r="T49" i="1"/>
  <c r="U49" i="1"/>
  <c r="O50" i="1"/>
  <c r="P50" i="1"/>
  <c r="U50" i="1" s="1"/>
  <c r="Q50" i="1"/>
  <c r="R50" i="1"/>
  <c r="S50" i="1"/>
  <c r="T50" i="1"/>
  <c r="O51" i="1"/>
  <c r="P51" i="1"/>
  <c r="Q51" i="1"/>
  <c r="R51" i="1"/>
  <c r="S51" i="1"/>
  <c r="T51" i="1"/>
  <c r="U51" i="1"/>
  <c r="O52" i="1"/>
  <c r="P52" i="1"/>
  <c r="U52" i="1" s="1"/>
  <c r="Q52" i="1"/>
  <c r="R52" i="1"/>
  <c r="S52" i="1"/>
  <c r="T52" i="1"/>
  <c r="O53" i="1"/>
  <c r="P53" i="1"/>
  <c r="Q53" i="1"/>
  <c r="R53" i="1"/>
  <c r="S53" i="1"/>
  <c r="T53" i="1"/>
  <c r="U53" i="1"/>
  <c r="O54" i="1"/>
  <c r="P54" i="1"/>
  <c r="U54" i="1" s="1"/>
  <c r="Q54" i="1"/>
  <c r="R54" i="1"/>
  <c r="S54" i="1"/>
  <c r="T54" i="1"/>
  <c r="O55" i="1"/>
  <c r="P55" i="1"/>
  <c r="Q55" i="1"/>
  <c r="R55" i="1"/>
  <c r="S55" i="1"/>
  <c r="T55" i="1"/>
  <c r="U55" i="1"/>
  <c r="O56" i="1"/>
  <c r="P56" i="1"/>
  <c r="U56" i="1" s="1"/>
  <c r="Q56" i="1"/>
  <c r="R56" i="1"/>
  <c r="S56" i="1"/>
  <c r="T56" i="1"/>
  <c r="T7" i="1" l="1"/>
  <c r="S7" i="1"/>
  <c r="R7" i="1"/>
  <c r="Q7" i="1"/>
  <c r="P7" i="1"/>
  <c r="O7" i="1"/>
  <c r="U7" i="1" l="1"/>
  <c r="T6" i="1"/>
  <c r="S6" i="1"/>
  <c r="R6" i="1"/>
  <c r="Q6" i="1"/>
  <c r="P6" i="1"/>
  <c r="O6" i="1"/>
  <c r="O3" i="1"/>
  <c r="P3" i="1"/>
  <c r="Q3" i="1"/>
  <c r="R3" i="1"/>
  <c r="S3" i="1"/>
  <c r="T3" i="1"/>
  <c r="O4" i="1"/>
  <c r="P4" i="1"/>
  <c r="Q4" i="1"/>
  <c r="R4" i="1"/>
  <c r="S4" i="1"/>
  <c r="T4" i="1"/>
  <c r="O5" i="1"/>
  <c r="P5" i="1"/>
  <c r="Q5" i="1"/>
  <c r="R5" i="1"/>
  <c r="S5" i="1"/>
  <c r="T5" i="1"/>
  <c r="T2" i="1"/>
  <c r="S2" i="1"/>
  <c r="R2" i="1"/>
  <c r="Q2" i="1"/>
  <c r="P2" i="1"/>
  <c r="O2" i="1"/>
  <c r="U5" i="1" l="1"/>
  <c r="U3" i="1"/>
  <c r="V3" i="1" s="1"/>
  <c r="U2" i="1"/>
  <c r="U6" i="1"/>
  <c r="U4" i="1"/>
  <c r="V4" i="1" s="1"/>
  <c r="V2" i="1" l="1"/>
  <c r="C7" i="2"/>
  <c r="D7" i="2" s="1"/>
  <c r="E53" i="2"/>
  <c r="E14" i="2" l="1"/>
  <c r="E15" i="2"/>
  <c r="E50" i="2"/>
  <c r="E10" i="2" l="1"/>
  <c r="E13" i="2"/>
  <c r="E12" i="2"/>
  <c r="E28" i="2"/>
  <c r="E8" i="2" l="1"/>
  <c r="E11" i="2"/>
  <c r="E9" i="2"/>
  <c r="E7" i="2"/>
  <c r="C16" i="2" l="1"/>
  <c r="D16" i="2"/>
  <c r="E16" i="2" l="1"/>
  <c r="D67" i="2" s="1"/>
</calcChain>
</file>

<file path=xl/sharedStrings.xml><?xml version="1.0" encoding="utf-8"?>
<sst xmlns="http://schemas.openxmlformats.org/spreadsheetml/2006/main" count="80" uniqueCount="73">
  <si>
    <t>Lecture groups</t>
  </si>
  <si>
    <t>Workshop groups</t>
  </si>
  <si>
    <t>Seminar groups</t>
  </si>
  <si>
    <t>Tutorial groups</t>
  </si>
  <si>
    <t>Supervision groups</t>
  </si>
  <si>
    <t>Students</t>
  </si>
  <si>
    <t>Total</t>
  </si>
  <si>
    <t>Programme leadership</t>
  </si>
  <si>
    <t>Funded research</t>
  </si>
  <si>
    <t>Studying for a PhD</t>
  </si>
  <si>
    <t>Developing new income streams</t>
  </si>
  <si>
    <t>Recruitment activity</t>
  </si>
  <si>
    <t>Faculty:</t>
  </si>
  <si>
    <t>Individual:</t>
  </si>
  <si>
    <t>FTE:</t>
  </si>
  <si>
    <t>% of module</t>
  </si>
  <si>
    <t>Total (168 hours pro rata)</t>
  </si>
  <si>
    <t>Select activity below…</t>
  </si>
  <si>
    <t>Subject:</t>
  </si>
  <si>
    <t>Online delivery</t>
  </si>
  <si>
    <t>Online delivery groups</t>
  </si>
  <si>
    <t>Staff hours needed for workshops</t>
  </si>
  <si>
    <t>Staff hours needed for seminars</t>
  </si>
  <si>
    <t>Staff hours needed for tutorials</t>
  </si>
  <si>
    <t>Staff hours needed for supervision</t>
  </si>
  <si>
    <t>Staff hours needed online</t>
  </si>
  <si>
    <t>Activity</t>
  </si>
  <si>
    <t>Lecture hours</t>
  </si>
  <si>
    <t>Workshop hours</t>
  </si>
  <si>
    <t>Seminar hours</t>
  </si>
  <si>
    <t>Tutorial hours</t>
  </si>
  <si>
    <t>Supervision hours</t>
  </si>
  <si>
    <t>Staff hours needed for lectures</t>
  </si>
  <si>
    <t>TRDA</t>
  </si>
  <si>
    <t>FST</t>
  </si>
  <si>
    <t>General admin related to teaching</t>
  </si>
  <si>
    <t>Academic Work Planning Model 2010-11</t>
  </si>
  <si>
    <t>Research associated with research student supervision</t>
  </si>
  <si>
    <t>Subject/Team leadership</t>
  </si>
  <si>
    <t>Faculty wide responsibilities</t>
  </si>
  <si>
    <t>Recognised trade union duties</t>
  </si>
  <si>
    <t>Approved external responsibilities</t>
  </si>
  <si>
    <t>Development of existing curriculum and subject provision</t>
  </si>
  <si>
    <t>Placement development</t>
  </si>
  <si>
    <t>External engagement, consultancy and business development</t>
  </si>
  <si>
    <t>Development of new curriculum and subject provision</t>
  </si>
  <si>
    <t>Funded 'external' projects</t>
  </si>
  <si>
    <t>Administration associated with the above activities</t>
  </si>
  <si>
    <t>Example Module 1</t>
  </si>
  <si>
    <t>Example Module 2</t>
  </si>
  <si>
    <t>Notes:</t>
  </si>
  <si>
    <t>Formal Scheduled Teaching</t>
  </si>
  <si>
    <t>Teaching Related Delivery Activity</t>
  </si>
  <si>
    <t>A. Teaching: Other Teaching Related Activity</t>
  </si>
  <si>
    <t>A. Teaching:</t>
  </si>
  <si>
    <t>B. Academic Leadership &amp; Management</t>
  </si>
  <si>
    <t>C. Research</t>
  </si>
  <si>
    <t>C. Scholarly Activity</t>
  </si>
  <si>
    <t>D. Other</t>
  </si>
  <si>
    <t>Module Year leadership</t>
  </si>
  <si>
    <t>Admissions related activities</t>
  </si>
  <si>
    <t>Invigilation</t>
  </si>
  <si>
    <t>Provision on mentoring for new staff</t>
  </si>
  <si>
    <t>Other faculty activities</t>
  </si>
  <si>
    <t>Delivery of CPD</t>
  </si>
  <si>
    <t>Membership of Boards of examiners</t>
  </si>
  <si>
    <t>Ongoing development of teaching and learning methods</t>
  </si>
  <si>
    <t>Professional subject updating related to teaching</t>
  </si>
  <si>
    <t>Academic guidance</t>
  </si>
  <si>
    <t>Account to be taken of new modules</t>
  </si>
  <si>
    <t>Account to be taken of new lecturer</t>
  </si>
  <si>
    <t>Preparation and assessment associated with research degree supervision</t>
  </si>
  <si>
    <t>Examining associated with research degrees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</si>
</sst>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9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color rgb="FF33CCCC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3"/>
      <color theme="1"/>
      <name val="Calibri"/>
      <family val="2"/>
      <scheme val="minor"/>
    </font>
    <font>
      <sz val="3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ck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20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9" xfId="0" applyFont="1" applyFill="1" applyBorder="1"/>
    <xf numFmtId="2" fontId="2" fillId="2" borderId="9" xfId="0" applyNumberFormat="1" applyFont="1" applyFill="1" applyBorder="1" applyAlignment="1">
      <alignment horizontal="center"/>
    </xf>
    <xf numFmtId="0" fontId="2" fillId="2" borderId="5" xfId="0" applyFont="1" applyFill="1" applyBorder="1"/>
    <xf numFmtId="2" fontId="3" fillId="2" borderId="5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right"/>
    </xf>
    <xf numFmtId="0" fontId="2" fillId="2" borderId="6" xfId="0" applyFont="1" applyFill="1" applyBorder="1" applyAlignment="1">
      <alignment horizontal="right"/>
    </xf>
    <xf numFmtId="0" fontId="2" fillId="2" borderId="0" xfId="0" applyFont="1" applyFill="1" applyBorder="1"/>
    <xf numFmtId="2" fontId="2" fillId="2" borderId="0" xfId="0" applyNumberFormat="1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6" fillId="2" borderId="0" xfId="0" applyFont="1" applyFill="1" applyAlignment="1">
      <alignment horizontal="center"/>
    </xf>
    <xf numFmtId="9" fontId="2" fillId="2" borderId="0" xfId="1" applyFont="1" applyFill="1" applyBorder="1" applyAlignment="1">
      <alignment horizontal="center"/>
    </xf>
    <xf numFmtId="0" fontId="2" fillId="2" borderId="0" xfId="0" applyFont="1" applyFill="1" applyBorder="1" applyAlignment="1">
      <alignment horizontal="right"/>
    </xf>
    <xf numFmtId="1" fontId="2" fillId="2" borderId="0" xfId="0" applyNumberFormat="1" applyFont="1" applyFill="1" applyAlignment="1">
      <alignment horizontal="center"/>
    </xf>
    <xf numFmtId="1" fontId="3" fillId="2" borderId="3" xfId="0" applyNumberFormat="1" applyFont="1" applyFill="1" applyBorder="1" applyAlignment="1">
      <alignment horizontal="center"/>
    </xf>
    <xf numFmtId="1" fontId="3" fillId="2" borderId="5" xfId="0" applyNumberFormat="1" applyFont="1" applyFill="1" applyBorder="1" applyAlignment="1">
      <alignment horizontal="center"/>
    </xf>
    <xf numFmtId="1" fontId="4" fillId="3" borderId="4" xfId="0" applyNumberFormat="1" applyFont="1" applyFill="1" applyBorder="1" applyAlignment="1">
      <alignment horizontal="center"/>
    </xf>
    <xf numFmtId="1" fontId="3" fillId="3" borderId="4" xfId="0" applyNumberFormat="1" applyFont="1" applyFill="1" applyBorder="1" applyAlignment="1">
      <alignment horizontal="center"/>
    </xf>
    <xf numFmtId="1" fontId="3" fillId="2" borderId="11" xfId="0" applyNumberFormat="1" applyFont="1" applyFill="1" applyBorder="1" applyAlignment="1">
      <alignment horizontal="center"/>
    </xf>
    <xf numFmtId="0" fontId="2" fillId="4" borderId="0" xfId="0" applyFont="1" applyFill="1" applyAlignment="1">
      <alignment horizontal="right"/>
    </xf>
    <xf numFmtId="0" fontId="8" fillId="4" borderId="0" xfId="0" applyFont="1" applyFill="1" applyAlignment="1">
      <alignment horizontal="left"/>
    </xf>
    <xf numFmtId="0" fontId="2" fillId="4" borderId="11" xfId="0" applyFont="1" applyFill="1" applyBorder="1" applyAlignment="1">
      <alignment horizontal="center"/>
    </xf>
    <xf numFmtId="0" fontId="2" fillId="2" borderId="0" xfId="0" applyFont="1" applyFill="1" applyAlignment="1">
      <alignment vertical="center"/>
    </xf>
    <xf numFmtId="0" fontId="8" fillId="4" borderId="10" xfId="0" applyFont="1" applyFill="1" applyBorder="1" applyAlignment="1">
      <alignment horizontal="left" vertical="top"/>
    </xf>
    <xf numFmtId="0" fontId="2" fillId="4" borderId="4" xfId="0" applyFont="1" applyFill="1" applyBorder="1" applyAlignment="1">
      <alignment horizontal="center" vertical="top"/>
    </xf>
    <xf numFmtId="0" fontId="2" fillId="2" borderId="0" xfId="0" applyFont="1" applyFill="1" applyAlignment="1">
      <alignment vertical="top"/>
    </xf>
    <xf numFmtId="0" fontId="2" fillId="4" borderId="10" xfId="0" applyFont="1" applyFill="1" applyBorder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0" fontId="2" fillId="2" borderId="0" xfId="0" applyFont="1" applyFill="1" applyAlignment="1">
      <alignment horizontal="right"/>
    </xf>
    <xf numFmtId="0" fontId="2" fillId="2" borderId="6" xfId="0" applyFont="1" applyFill="1" applyBorder="1" applyAlignment="1">
      <alignment horizontal="right"/>
    </xf>
    <xf numFmtId="0" fontId="2" fillId="2" borderId="0" xfId="0" applyFont="1" applyFill="1" applyBorder="1" applyAlignment="1">
      <alignment horizontal="right"/>
    </xf>
    <xf numFmtId="0" fontId="2" fillId="2" borderId="9" xfId="0" applyFont="1" applyFill="1" applyBorder="1" applyAlignment="1">
      <alignment horizontal="right"/>
    </xf>
    <xf numFmtId="0" fontId="2" fillId="2" borderId="8" xfId="0" applyFont="1" applyFill="1" applyBorder="1" applyAlignment="1">
      <alignment horizontal="right"/>
    </xf>
    <xf numFmtId="0" fontId="0" fillId="2" borderId="13" xfId="0" applyFill="1" applyBorder="1"/>
    <xf numFmtId="0" fontId="1" fillId="2" borderId="0" xfId="0" applyFont="1" applyFill="1" applyAlignment="1">
      <alignment wrapText="1"/>
    </xf>
    <xf numFmtId="0" fontId="9" fillId="2" borderId="0" xfId="0" applyFont="1" applyFill="1"/>
    <xf numFmtId="0" fontId="10" fillId="2" borderId="0" xfId="0" applyFont="1" applyFill="1"/>
    <xf numFmtId="0" fontId="1" fillId="5" borderId="1" xfId="0" applyFont="1" applyFill="1" applyBorder="1" applyAlignment="1">
      <alignment horizontal="center" textRotation="90"/>
    </xf>
    <xf numFmtId="0" fontId="1" fillId="5" borderId="0" xfId="0" applyFont="1" applyFill="1" applyAlignment="1">
      <alignment horizontal="center" textRotation="90"/>
    </xf>
    <xf numFmtId="1" fontId="0" fillId="5" borderId="15" xfId="0" applyNumberFormat="1" applyFill="1" applyBorder="1" applyAlignment="1">
      <alignment horizontal="center"/>
    </xf>
    <xf numFmtId="1" fontId="0" fillId="5" borderId="13" xfId="0" applyNumberFormat="1" applyFill="1" applyBorder="1" applyAlignment="1">
      <alignment horizontal="center"/>
    </xf>
    <xf numFmtId="1" fontId="0" fillId="5" borderId="1" xfId="0" applyNumberFormat="1" applyFill="1" applyBorder="1" applyAlignment="1">
      <alignment horizontal="center"/>
    </xf>
    <xf numFmtId="1" fontId="0" fillId="5" borderId="0" xfId="0" applyNumberFormat="1" applyFill="1" applyAlignment="1">
      <alignment horizontal="center"/>
    </xf>
    <xf numFmtId="1" fontId="0" fillId="5" borderId="0" xfId="0" applyNumberFormat="1" applyFill="1" applyBorder="1" applyAlignment="1">
      <alignment horizontal="center"/>
    </xf>
    <xf numFmtId="1" fontId="10" fillId="5" borderId="1" xfId="0" applyNumberFormat="1" applyFont="1" applyFill="1" applyBorder="1" applyAlignment="1">
      <alignment horizontal="center"/>
    </xf>
    <xf numFmtId="1" fontId="10" fillId="5" borderId="0" xfId="0" applyNumberFormat="1" applyFont="1" applyFill="1" applyAlignment="1">
      <alignment horizontal="center"/>
    </xf>
    <xf numFmtId="0" fontId="0" fillId="5" borderId="1" xfId="0" applyFill="1" applyBorder="1" applyAlignment="1">
      <alignment horizontal="center"/>
    </xf>
    <xf numFmtId="0" fontId="0" fillId="5" borderId="0" xfId="0" applyFill="1" applyAlignment="1">
      <alignment horizontal="center"/>
    </xf>
    <xf numFmtId="1" fontId="1" fillId="6" borderId="1" xfId="0" applyNumberFormat="1" applyFont="1" applyFill="1" applyBorder="1" applyAlignment="1">
      <alignment horizontal="center" textRotation="90"/>
    </xf>
    <xf numFmtId="1" fontId="1" fillId="6" borderId="0" xfId="0" applyNumberFormat="1" applyFont="1" applyFill="1" applyAlignment="1">
      <alignment horizontal="center" textRotation="90"/>
    </xf>
    <xf numFmtId="1" fontId="0" fillId="6" borderId="15" xfId="0" applyNumberFormat="1" applyFill="1" applyBorder="1" applyAlignment="1">
      <alignment horizontal="center"/>
    </xf>
    <xf numFmtId="1" fontId="0" fillId="6" borderId="13" xfId="0" applyNumberFormat="1" applyFill="1" applyBorder="1" applyAlignment="1">
      <alignment horizontal="center"/>
    </xf>
    <xf numFmtId="1" fontId="0" fillId="6" borderId="1" xfId="0" applyNumberFormat="1" applyFill="1" applyBorder="1" applyAlignment="1">
      <alignment horizontal="center"/>
    </xf>
    <xf numFmtId="1" fontId="0" fillId="6" borderId="0" xfId="0" applyNumberFormat="1" applyFill="1" applyAlignment="1">
      <alignment horizontal="center"/>
    </xf>
    <xf numFmtId="1" fontId="10" fillId="6" borderId="1" xfId="0" applyNumberFormat="1" applyFont="1" applyFill="1" applyBorder="1" applyAlignment="1">
      <alignment horizontal="center"/>
    </xf>
    <xf numFmtId="1" fontId="10" fillId="6" borderId="0" xfId="0" applyNumberFormat="1" applyFont="1" applyFill="1" applyAlignment="1">
      <alignment horizontal="center"/>
    </xf>
    <xf numFmtId="0" fontId="1" fillId="7" borderId="2" xfId="0" applyFont="1" applyFill="1" applyBorder="1" applyAlignment="1">
      <alignment horizontal="center" textRotation="90" wrapText="1"/>
    </xf>
    <xf numFmtId="1" fontId="0" fillId="7" borderId="14" xfId="0" applyNumberFormat="1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10" fillId="7" borderId="2" xfId="0" applyFont="1" applyFill="1" applyBorder="1" applyAlignment="1">
      <alignment horizontal="center"/>
    </xf>
    <xf numFmtId="1" fontId="11" fillId="8" borderId="2" xfId="0" applyNumberFormat="1" applyFont="1" applyFill="1" applyBorder="1" applyAlignment="1">
      <alignment horizontal="center" textRotation="90"/>
    </xf>
    <xf numFmtId="1" fontId="11" fillId="8" borderId="14" xfId="0" applyNumberFormat="1" applyFont="1" applyFill="1" applyBorder="1" applyAlignment="1">
      <alignment horizontal="center"/>
    </xf>
    <xf numFmtId="1" fontId="11" fillId="8" borderId="2" xfId="0" applyNumberFormat="1" applyFont="1" applyFill="1" applyBorder="1" applyAlignment="1">
      <alignment horizontal="center"/>
    </xf>
    <xf numFmtId="0" fontId="1" fillId="4" borderId="0" xfId="0" applyFont="1" applyFill="1" applyAlignment="1">
      <alignment horizontal="center" textRotation="90"/>
    </xf>
    <xf numFmtId="1" fontId="0" fillId="4" borderId="13" xfId="0" applyNumberFormat="1" applyFill="1" applyBorder="1" applyAlignment="1">
      <alignment horizontal="center"/>
    </xf>
    <xf numFmtId="1" fontId="0" fillId="4" borderId="12" xfId="0" applyNumberFormat="1" applyFill="1" applyBorder="1" applyAlignment="1">
      <alignment horizontal="center"/>
    </xf>
    <xf numFmtId="1" fontId="0" fillId="4" borderId="0" xfId="0" applyNumberFormat="1" applyFill="1" applyBorder="1" applyAlignment="1">
      <alignment horizontal="center"/>
    </xf>
    <xf numFmtId="0" fontId="10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1" fillId="4" borderId="16" xfId="0" applyFont="1" applyFill="1" applyBorder="1" applyAlignment="1">
      <alignment horizontal="center" textRotation="90"/>
    </xf>
    <xf numFmtId="1" fontId="0" fillId="4" borderId="17" xfId="0" applyNumberFormat="1" applyFill="1" applyBorder="1" applyAlignment="1">
      <alignment horizontal="center"/>
    </xf>
    <xf numFmtId="1" fontId="0" fillId="4" borderId="16" xfId="0" applyNumberFormat="1" applyFill="1" applyBorder="1" applyAlignment="1">
      <alignment horizontal="center"/>
    </xf>
    <xf numFmtId="0" fontId="10" fillId="4" borderId="16" xfId="0" applyFont="1" applyFill="1" applyBorder="1" applyAlignment="1">
      <alignment horizontal="center"/>
    </xf>
    <xf numFmtId="0" fontId="0" fillId="4" borderId="16" xfId="0" applyFill="1" applyBorder="1" applyAlignment="1">
      <alignment horizontal="center"/>
    </xf>
    <xf numFmtId="0" fontId="12" fillId="2" borderId="0" xfId="0" applyFont="1" applyFill="1"/>
    <xf numFmtId="0" fontId="5" fillId="2" borderId="0" xfId="0" applyFont="1" applyFill="1" applyAlignment="1">
      <alignment vertical="center"/>
    </xf>
    <xf numFmtId="0" fontId="13" fillId="2" borderId="0" xfId="0" applyFont="1" applyFill="1" applyAlignment="1">
      <alignment horizontal="center"/>
    </xf>
    <xf numFmtId="164" fontId="2" fillId="2" borderId="0" xfId="0" applyNumberFormat="1" applyFont="1" applyFill="1" applyAlignment="1">
      <alignment horizontal="left"/>
    </xf>
    <xf numFmtId="0" fontId="2" fillId="2" borderId="0" xfId="0" applyFont="1" applyFill="1" applyBorder="1" applyAlignment="1">
      <alignment horizontal="right"/>
    </xf>
    <xf numFmtId="0" fontId="2" fillId="2" borderId="6" xfId="0" applyFont="1" applyFill="1" applyBorder="1" applyAlignment="1">
      <alignment horizontal="right"/>
    </xf>
    <xf numFmtId="0" fontId="2" fillId="2" borderId="9" xfId="0" applyFont="1" applyFill="1" applyBorder="1" applyAlignment="1">
      <alignment horizontal="right"/>
    </xf>
    <xf numFmtId="0" fontId="2" fillId="2" borderId="8" xfId="0" applyFont="1" applyFill="1" applyBorder="1" applyAlignment="1">
      <alignment horizontal="right"/>
    </xf>
    <xf numFmtId="0" fontId="14" fillId="2" borderId="10" xfId="0" applyFont="1" applyFill="1" applyBorder="1" applyAlignment="1">
      <alignment horizontal="right" vertical="center"/>
    </xf>
    <xf numFmtId="0" fontId="15" fillId="2" borderId="0" xfId="0" applyFont="1" applyFill="1"/>
    <xf numFmtId="0" fontId="15" fillId="2" borderId="0" xfId="0" applyFont="1" applyFill="1" applyAlignment="1">
      <alignment horizontal="center"/>
    </xf>
    <xf numFmtId="0" fontId="3" fillId="2" borderId="0" xfId="0" applyFont="1" applyFill="1"/>
    <xf numFmtId="0" fontId="17" fillId="2" borderId="0" xfId="0" applyFont="1" applyFill="1"/>
    <xf numFmtId="0" fontId="17" fillId="2" borderId="0" xfId="0" applyFont="1" applyFill="1" applyAlignment="1">
      <alignment horizontal="center"/>
    </xf>
    <xf numFmtId="1" fontId="17" fillId="2" borderId="0" xfId="0" applyNumberFormat="1" applyFont="1" applyFill="1" applyAlignment="1">
      <alignment horizontal="center"/>
    </xf>
    <xf numFmtId="0" fontId="17" fillId="2" borderId="7" xfId="0" applyFont="1" applyFill="1" applyBorder="1"/>
    <xf numFmtId="0" fontId="17" fillId="2" borderId="7" xfId="0" applyFont="1" applyFill="1" applyBorder="1" applyAlignment="1">
      <alignment horizontal="center"/>
    </xf>
    <xf numFmtId="0" fontId="18" fillId="2" borderId="0" xfId="0" applyFont="1" applyFill="1"/>
    <xf numFmtId="0" fontId="18" fillId="2" borderId="0" xfId="0" applyFont="1" applyFill="1" applyAlignment="1">
      <alignment horizontal="center"/>
    </xf>
    <xf numFmtId="0" fontId="2" fillId="2" borderId="0" xfId="0" applyFont="1" applyFill="1" applyBorder="1" applyAlignment="1">
      <alignment horizontal="right"/>
    </xf>
    <xf numFmtId="0" fontId="2" fillId="2" borderId="6" xfId="0" applyFont="1" applyFill="1" applyBorder="1" applyAlignment="1">
      <alignment horizontal="right"/>
    </xf>
    <xf numFmtId="0" fontId="2" fillId="2" borderId="0" xfId="0" applyFont="1" applyFill="1" applyAlignment="1">
      <alignment horizontal="right"/>
    </xf>
    <xf numFmtId="0" fontId="13" fillId="2" borderId="0" xfId="0" applyFont="1" applyFill="1" applyAlignment="1">
      <alignment horizontal="center" wrapText="1"/>
    </xf>
    <xf numFmtId="0" fontId="2" fillId="2" borderId="0" xfId="0" applyFont="1" applyFill="1" applyBorder="1" applyAlignment="1">
      <alignment horizontal="right"/>
    </xf>
    <xf numFmtId="0" fontId="2" fillId="2" borderId="6" xfId="0" applyFont="1" applyFill="1" applyBorder="1" applyAlignment="1">
      <alignment horizontal="right"/>
    </xf>
    <xf numFmtId="0" fontId="2" fillId="2" borderId="0" xfId="0" applyFont="1" applyFill="1" applyAlignment="1">
      <alignment horizontal="right"/>
    </xf>
    <xf numFmtId="0" fontId="2" fillId="2" borderId="0" xfId="0" applyFont="1" applyFill="1" applyBorder="1" applyAlignment="1">
      <alignment horizontal="right"/>
    </xf>
    <xf numFmtId="0" fontId="2" fillId="2" borderId="6" xfId="0" applyFont="1" applyFill="1" applyBorder="1" applyAlignment="1">
      <alignment horizontal="right"/>
    </xf>
    <xf numFmtId="0" fontId="2" fillId="2" borderId="0" xfId="0" applyFont="1" applyFill="1" applyAlignment="1">
      <alignment horizontal="right"/>
    </xf>
    <xf numFmtId="0" fontId="2" fillId="2" borderId="9" xfId="0" applyFont="1" applyFill="1" applyBorder="1" applyAlignment="1">
      <alignment horizontal="right"/>
    </xf>
    <xf numFmtId="0" fontId="2" fillId="2" borderId="8" xfId="0" applyFont="1" applyFill="1" applyBorder="1" applyAlignment="1">
      <alignment horizontal="right"/>
    </xf>
    <xf numFmtId="0" fontId="3" fillId="2" borderId="0" xfId="0" applyFont="1" applyFill="1" applyAlignment="1">
      <alignment horizontal="right"/>
    </xf>
    <xf numFmtId="0" fontId="3" fillId="2" borderId="0" xfId="0" applyFont="1" applyFill="1" applyBorder="1" applyAlignment="1">
      <alignment horizontal="right"/>
    </xf>
    <xf numFmtId="0" fontId="2" fillId="2" borderId="0" xfId="0" applyFont="1" applyFill="1" applyBorder="1" applyAlignment="1">
      <alignment horizontal="center" wrapText="1"/>
    </xf>
    <xf numFmtId="0" fontId="2" fillId="2" borderId="11" xfId="0" applyFont="1" applyFill="1" applyBorder="1" applyAlignment="1">
      <alignment horizontal="center" wrapText="1"/>
    </xf>
    <xf numFmtId="0" fontId="2" fillId="2" borderId="10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horizontal="center" wrapText="1"/>
    </xf>
    <xf numFmtId="0" fontId="3" fillId="2" borderId="10" xfId="0" applyFont="1" applyFill="1" applyBorder="1" applyAlignment="1">
      <alignment horizontal="right"/>
    </xf>
    <xf numFmtId="1" fontId="16" fillId="2" borderId="10" xfId="0" applyNumberFormat="1" applyFont="1" applyFill="1" applyBorder="1" applyAlignment="1">
      <alignment horizontal="right" vertical="center"/>
    </xf>
    <xf numFmtId="1" fontId="16" fillId="2" borderId="4" xfId="0" applyNumberFormat="1" applyFont="1" applyFill="1" applyBorder="1" applyAlignment="1">
      <alignment horizontal="right" vertical="center"/>
    </xf>
  </cellXfs>
  <cellStyles count="2">
    <cellStyle name="Normal" xfId="0" builtinId="0"/>
    <cellStyle name="Percent" xfId="1" builtinId="5"/>
  </cellStyles>
  <dxfs count="2">
    <dxf>
      <font>
        <b/>
        <i val="0"/>
        <color theme="9" tint="0.79998168889431442"/>
      </font>
      <fill>
        <patternFill>
          <bgColor rgb="FFFF0000"/>
        </patternFill>
      </fill>
    </dxf>
    <dxf>
      <font>
        <color rgb="FFC00000"/>
      </font>
      <fill>
        <patternFill>
          <bgColor theme="9" tint="0.39994506668294322"/>
        </patternFill>
      </fill>
    </dxf>
  </dxfs>
  <tableStyles count="0" defaultTableStyle="TableStyleMedium9" defaultPivotStyle="PivotStyleLight16"/>
  <colors>
    <mruColors>
      <color rgb="FF33CC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456194</xdr:colOff>
      <xdr:row>0</xdr:row>
      <xdr:rowOff>3</xdr:rowOff>
    </xdr:from>
    <xdr:to>
      <xdr:col>4</xdr:col>
      <xdr:colOff>1012879</xdr:colOff>
      <xdr:row>0</xdr:row>
      <xdr:rowOff>321129</xdr:rowOff>
    </xdr:to>
    <xdr:pic>
      <xdr:nvPicPr>
        <xdr:cNvPr id="2" name="Picture 1" descr="getfile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52737" y="3"/>
          <a:ext cx="556685" cy="3211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6"/>
  <sheetViews>
    <sheetView zoomScale="125" zoomScaleNormal="125" workbookViewId="0">
      <pane ySplit="1" topLeftCell="A2" activePane="bottomLeft" state="frozen"/>
      <selection pane="bottomLeft" activeCell="A4" sqref="A4"/>
    </sheetView>
  </sheetViews>
  <sheetFormatPr defaultColWidth="9.109375" defaultRowHeight="14.4" x14ac:dyDescent="0.3"/>
  <cols>
    <col min="1" max="1" width="29.6640625" style="1" bestFit="1" customWidth="1"/>
    <col min="2" max="2" width="4.44140625" style="64" bestFit="1" customWidth="1"/>
    <col min="3" max="3" width="4.109375" style="58" bestFit="1" customWidth="1"/>
    <col min="4" max="8" width="3.6640625" style="59" bestFit="1" customWidth="1"/>
    <col min="9" max="9" width="3.6640625" style="52" bestFit="1" customWidth="1"/>
    <col min="10" max="11" width="3.6640625" style="53" bestFit="1" customWidth="1"/>
    <col min="12" max="12" width="4.109375" style="53" bestFit="1" customWidth="1"/>
    <col min="13" max="13" width="3.6640625" style="53" bestFit="1" customWidth="1"/>
    <col min="14" max="14" width="3.6640625" style="53" customWidth="1"/>
    <col min="15" max="15" width="3.6640625" style="79" bestFit="1" customWidth="1"/>
    <col min="16" max="18" width="3.6640625" style="74" bestFit="1" customWidth="1"/>
    <col min="19" max="19" width="4.33203125" style="74" bestFit="1" customWidth="1"/>
    <col min="20" max="20" width="3.6640625" style="74" bestFit="1" customWidth="1"/>
    <col min="21" max="21" width="4.33203125" style="68" customWidth="1"/>
    <col min="22" max="22" width="5.88671875" style="68" customWidth="1"/>
    <col min="23" max="16384" width="9.109375" style="1"/>
  </cols>
  <sheetData>
    <row r="1" spans="1:22" s="2" customFormat="1" ht="168" x14ac:dyDescent="0.25">
      <c r="A1" s="40" t="s">
        <v>26</v>
      </c>
      <c r="B1" s="62" t="s">
        <v>5</v>
      </c>
      <c r="C1" s="54" t="s">
        <v>27</v>
      </c>
      <c r="D1" s="55" t="s">
        <v>28</v>
      </c>
      <c r="E1" s="55" t="s">
        <v>29</v>
      </c>
      <c r="F1" s="55" t="s">
        <v>30</v>
      </c>
      <c r="G1" s="55" t="s">
        <v>31</v>
      </c>
      <c r="H1" s="55" t="s">
        <v>19</v>
      </c>
      <c r="I1" s="43" t="s">
        <v>0</v>
      </c>
      <c r="J1" s="44" t="s">
        <v>1</v>
      </c>
      <c r="K1" s="44" t="s">
        <v>2</v>
      </c>
      <c r="L1" s="44" t="s">
        <v>3</v>
      </c>
      <c r="M1" s="44" t="s">
        <v>4</v>
      </c>
      <c r="N1" s="44" t="s">
        <v>20</v>
      </c>
      <c r="O1" s="75" t="s">
        <v>32</v>
      </c>
      <c r="P1" s="69" t="s">
        <v>21</v>
      </c>
      <c r="Q1" s="69" t="s">
        <v>22</v>
      </c>
      <c r="R1" s="69" t="s">
        <v>23</v>
      </c>
      <c r="S1" s="69" t="s">
        <v>24</v>
      </c>
      <c r="T1" s="69" t="s">
        <v>25</v>
      </c>
      <c r="U1" s="66" t="s">
        <v>34</v>
      </c>
      <c r="V1" s="66" t="s">
        <v>33</v>
      </c>
    </row>
    <row r="2" spans="1:22" ht="15" customHeight="1" x14ac:dyDescent="0.25">
      <c r="A2" s="39" t="s">
        <v>48</v>
      </c>
      <c r="B2" s="63">
        <v>60</v>
      </c>
      <c r="C2" s="56">
        <v>48</v>
      </c>
      <c r="D2" s="57">
        <v>0</v>
      </c>
      <c r="E2" s="57">
        <v>4</v>
      </c>
      <c r="F2" s="57">
        <v>0</v>
      </c>
      <c r="G2" s="57">
        <v>0</v>
      </c>
      <c r="H2" s="57">
        <v>0</v>
      </c>
      <c r="I2" s="45">
        <v>1</v>
      </c>
      <c r="J2" s="46">
        <v>0</v>
      </c>
      <c r="K2" s="46">
        <v>4</v>
      </c>
      <c r="L2" s="46">
        <v>0</v>
      </c>
      <c r="M2" s="46">
        <v>0</v>
      </c>
      <c r="N2" s="46">
        <v>0</v>
      </c>
      <c r="O2" s="76">
        <f t="shared" ref="O2:T7" si="0">C2*I2</f>
        <v>48</v>
      </c>
      <c r="P2" s="70">
        <f t="shared" si="0"/>
        <v>0</v>
      </c>
      <c r="Q2" s="70">
        <f t="shared" si="0"/>
        <v>16</v>
      </c>
      <c r="R2" s="70">
        <f t="shared" si="0"/>
        <v>0</v>
      </c>
      <c r="S2" s="70">
        <f t="shared" si="0"/>
        <v>0</v>
      </c>
      <c r="T2" s="71">
        <f t="shared" si="0"/>
        <v>0</v>
      </c>
      <c r="U2" s="67">
        <f>SUM(O2:T2)</f>
        <v>64</v>
      </c>
      <c r="V2" s="67">
        <f>U2</f>
        <v>64</v>
      </c>
    </row>
    <row r="3" spans="1:22" ht="15" x14ac:dyDescent="0.25">
      <c r="A3" s="1" t="s">
        <v>49</v>
      </c>
      <c r="B3" s="64">
        <v>25</v>
      </c>
      <c r="C3" s="58">
        <v>48</v>
      </c>
      <c r="D3" s="59">
        <v>0</v>
      </c>
      <c r="E3" s="59">
        <v>4</v>
      </c>
      <c r="F3" s="59">
        <v>0</v>
      </c>
      <c r="G3" s="59">
        <v>0</v>
      </c>
      <c r="H3" s="59">
        <v>0</v>
      </c>
      <c r="I3" s="47">
        <v>1</v>
      </c>
      <c r="J3" s="48">
        <v>0</v>
      </c>
      <c r="K3" s="48">
        <v>2</v>
      </c>
      <c r="L3" s="48">
        <v>0</v>
      </c>
      <c r="M3" s="48">
        <v>0</v>
      </c>
      <c r="N3" s="49">
        <v>0</v>
      </c>
      <c r="O3" s="77">
        <f t="shared" si="0"/>
        <v>48</v>
      </c>
      <c r="P3" s="72">
        <f t="shared" si="0"/>
        <v>0</v>
      </c>
      <c r="Q3" s="72">
        <f t="shared" si="0"/>
        <v>8</v>
      </c>
      <c r="R3" s="72">
        <f t="shared" si="0"/>
        <v>0</v>
      </c>
      <c r="S3" s="72">
        <f t="shared" si="0"/>
        <v>0</v>
      </c>
      <c r="T3" s="72">
        <f t="shared" si="0"/>
        <v>0</v>
      </c>
      <c r="U3" s="68">
        <f t="shared" ref="U3:U7" si="1">SUM(O3:T3)</f>
        <v>56</v>
      </c>
      <c r="V3" s="68">
        <f t="shared" ref="V3:V56" si="2">U3</f>
        <v>56</v>
      </c>
    </row>
    <row r="4" spans="1:22" ht="15" x14ac:dyDescent="0.25">
      <c r="B4" s="64">
        <v>0</v>
      </c>
      <c r="C4" s="58">
        <v>0</v>
      </c>
      <c r="D4" s="59">
        <v>0</v>
      </c>
      <c r="E4" s="59">
        <v>0</v>
      </c>
      <c r="F4" s="59">
        <v>0</v>
      </c>
      <c r="G4" s="59">
        <v>0</v>
      </c>
      <c r="H4" s="59">
        <v>0</v>
      </c>
      <c r="I4" s="47">
        <v>0</v>
      </c>
      <c r="J4" s="48">
        <v>0</v>
      </c>
      <c r="K4" s="48">
        <v>0</v>
      </c>
      <c r="L4" s="48">
        <v>0</v>
      </c>
      <c r="M4" s="49">
        <v>0</v>
      </c>
      <c r="N4" s="49">
        <v>0</v>
      </c>
      <c r="O4" s="77">
        <f t="shared" si="0"/>
        <v>0</v>
      </c>
      <c r="P4" s="72">
        <f t="shared" si="0"/>
        <v>0</v>
      </c>
      <c r="Q4" s="72">
        <f t="shared" si="0"/>
        <v>0</v>
      </c>
      <c r="R4" s="72">
        <f t="shared" si="0"/>
        <v>0</v>
      </c>
      <c r="S4" s="72">
        <f t="shared" si="0"/>
        <v>0</v>
      </c>
      <c r="T4" s="72">
        <f t="shared" si="0"/>
        <v>0</v>
      </c>
      <c r="U4" s="68">
        <f t="shared" si="1"/>
        <v>0</v>
      </c>
      <c r="V4" s="68">
        <f t="shared" si="2"/>
        <v>0</v>
      </c>
    </row>
    <row r="5" spans="1:22" ht="15" x14ac:dyDescent="0.25">
      <c r="B5" s="64">
        <v>0</v>
      </c>
      <c r="C5" s="58">
        <v>0</v>
      </c>
      <c r="D5" s="59">
        <v>0</v>
      </c>
      <c r="E5" s="59">
        <v>0</v>
      </c>
      <c r="F5" s="59">
        <v>0</v>
      </c>
      <c r="G5" s="59">
        <v>0</v>
      </c>
      <c r="H5" s="59">
        <v>0</v>
      </c>
      <c r="I5" s="47">
        <v>0</v>
      </c>
      <c r="J5" s="48">
        <v>0</v>
      </c>
      <c r="K5" s="48">
        <v>0</v>
      </c>
      <c r="L5" s="48">
        <v>0</v>
      </c>
      <c r="M5" s="48">
        <v>0</v>
      </c>
      <c r="N5" s="48">
        <v>0</v>
      </c>
      <c r="O5" s="77">
        <f t="shared" si="0"/>
        <v>0</v>
      </c>
      <c r="P5" s="72">
        <f t="shared" si="0"/>
        <v>0</v>
      </c>
      <c r="Q5" s="72">
        <f t="shared" si="0"/>
        <v>0</v>
      </c>
      <c r="R5" s="72">
        <f t="shared" si="0"/>
        <v>0</v>
      </c>
      <c r="S5" s="72">
        <f t="shared" si="0"/>
        <v>0</v>
      </c>
      <c r="T5" s="72">
        <f t="shared" si="0"/>
        <v>0</v>
      </c>
      <c r="U5" s="68">
        <f t="shared" si="1"/>
        <v>0</v>
      </c>
      <c r="V5" s="68">
        <f t="shared" si="2"/>
        <v>0</v>
      </c>
    </row>
    <row r="6" spans="1:22" s="41" customFormat="1" ht="15" x14ac:dyDescent="0.25">
      <c r="A6" s="42"/>
      <c r="B6" s="65">
        <v>0</v>
      </c>
      <c r="C6" s="60">
        <v>0</v>
      </c>
      <c r="D6" s="61">
        <v>0</v>
      </c>
      <c r="E6" s="61">
        <v>0</v>
      </c>
      <c r="F6" s="61">
        <v>0</v>
      </c>
      <c r="G6" s="61">
        <v>0</v>
      </c>
      <c r="H6" s="61">
        <v>0</v>
      </c>
      <c r="I6" s="50">
        <v>0</v>
      </c>
      <c r="J6" s="51">
        <v>0</v>
      </c>
      <c r="K6" s="51">
        <v>0</v>
      </c>
      <c r="L6" s="51">
        <v>0</v>
      </c>
      <c r="M6" s="51">
        <v>0</v>
      </c>
      <c r="N6" s="51">
        <v>0</v>
      </c>
      <c r="O6" s="78">
        <f t="shared" si="0"/>
        <v>0</v>
      </c>
      <c r="P6" s="73">
        <f t="shared" si="0"/>
        <v>0</v>
      </c>
      <c r="Q6" s="73">
        <f t="shared" si="0"/>
        <v>0</v>
      </c>
      <c r="R6" s="73">
        <f t="shared" si="0"/>
        <v>0</v>
      </c>
      <c r="S6" s="73">
        <f t="shared" si="0"/>
        <v>0</v>
      </c>
      <c r="T6" s="73">
        <f t="shared" si="0"/>
        <v>0</v>
      </c>
      <c r="U6" s="68">
        <f t="shared" si="1"/>
        <v>0</v>
      </c>
      <c r="V6" s="68">
        <f t="shared" si="2"/>
        <v>0</v>
      </c>
    </row>
    <row r="7" spans="1:22" ht="15" x14ac:dyDescent="0.25">
      <c r="B7" s="64">
        <v>0</v>
      </c>
      <c r="C7" s="58">
        <v>0</v>
      </c>
      <c r="D7" s="59">
        <v>0</v>
      </c>
      <c r="E7" s="59">
        <v>0</v>
      </c>
      <c r="F7" s="59">
        <v>0</v>
      </c>
      <c r="G7" s="59">
        <v>0</v>
      </c>
      <c r="H7" s="59">
        <v>0</v>
      </c>
      <c r="I7" s="47">
        <v>0</v>
      </c>
      <c r="J7" s="48">
        <v>0</v>
      </c>
      <c r="K7" s="48">
        <v>0</v>
      </c>
      <c r="L7" s="48">
        <v>0</v>
      </c>
      <c r="M7" s="48">
        <v>0</v>
      </c>
      <c r="N7" s="48">
        <v>0</v>
      </c>
      <c r="O7" s="79">
        <f t="shared" si="0"/>
        <v>0</v>
      </c>
      <c r="P7" s="74">
        <f t="shared" si="0"/>
        <v>0</v>
      </c>
      <c r="Q7" s="74">
        <f t="shared" si="0"/>
        <v>0</v>
      </c>
      <c r="R7" s="74">
        <f t="shared" si="0"/>
        <v>0</v>
      </c>
      <c r="S7" s="74">
        <f t="shared" si="0"/>
        <v>0</v>
      </c>
      <c r="T7" s="74">
        <f t="shared" si="0"/>
        <v>0</v>
      </c>
      <c r="U7" s="68">
        <f t="shared" si="1"/>
        <v>0</v>
      </c>
      <c r="V7" s="68">
        <f t="shared" si="2"/>
        <v>0</v>
      </c>
    </row>
    <row r="8" spans="1:22" ht="15" x14ac:dyDescent="0.25">
      <c r="B8" s="64">
        <v>0</v>
      </c>
      <c r="C8" s="58">
        <v>0</v>
      </c>
      <c r="D8" s="59">
        <v>0</v>
      </c>
      <c r="E8" s="59">
        <v>0</v>
      </c>
      <c r="F8" s="59">
        <v>0</v>
      </c>
      <c r="G8" s="59">
        <v>0</v>
      </c>
      <c r="H8" s="59">
        <v>0</v>
      </c>
      <c r="I8" s="47">
        <v>0</v>
      </c>
      <c r="J8" s="48">
        <v>0</v>
      </c>
      <c r="K8" s="48">
        <v>0</v>
      </c>
      <c r="L8" s="48">
        <v>0</v>
      </c>
      <c r="M8" s="48">
        <v>0</v>
      </c>
      <c r="N8" s="48">
        <v>0</v>
      </c>
      <c r="O8" s="79">
        <f t="shared" ref="O8:O56" si="3">C8*I8</f>
        <v>0</v>
      </c>
      <c r="P8" s="74">
        <f t="shared" ref="P8:P56" si="4">D8*J8</f>
        <v>0</v>
      </c>
      <c r="Q8" s="74">
        <f t="shared" ref="Q8:Q56" si="5">E8*K8</f>
        <v>0</v>
      </c>
      <c r="R8" s="74">
        <f t="shared" ref="R8:R56" si="6">F8*L8</f>
        <v>0</v>
      </c>
      <c r="S8" s="74">
        <f t="shared" ref="S8:S56" si="7">G8*M8</f>
        <v>0</v>
      </c>
      <c r="T8" s="74">
        <f t="shared" ref="T8:T56" si="8">H8*N8</f>
        <v>0</v>
      </c>
      <c r="U8" s="68">
        <f t="shared" ref="U8:U56" si="9">SUM(O8:T8)</f>
        <v>0</v>
      </c>
      <c r="V8" s="68">
        <f t="shared" si="2"/>
        <v>0</v>
      </c>
    </row>
    <row r="9" spans="1:22" ht="15" x14ac:dyDescent="0.25">
      <c r="B9" s="64">
        <v>0</v>
      </c>
      <c r="C9" s="58">
        <v>0</v>
      </c>
      <c r="D9" s="59">
        <v>0</v>
      </c>
      <c r="E9" s="59">
        <v>0</v>
      </c>
      <c r="F9" s="59">
        <v>0</v>
      </c>
      <c r="G9" s="59">
        <v>0</v>
      </c>
      <c r="H9" s="59">
        <v>0</v>
      </c>
      <c r="I9" s="47">
        <v>0</v>
      </c>
      <c r="J9" s="48">
        <v>0</v>
      </c>
      <c r="K9" s="48">
        <v>0</v>
      </c>
      <c r="L9" s="48">
        <v>0</v>
      </c>
      <c r="M9" s="48">
        <v>0</v>
      </c>
      <c r="N9" s="48">
        <v>0</v>
      </c>
      <c r="O9" s="79">
        <f t="shared" si="3"/>
        <v>0</v>
      </c>
      <c r="P9" s="74">
        <f t="shared" si="4"/>
        <v>0</v>
      </c>
      <c r="Q9" s="74">
        <f t="shared" si="5"/>
        <v>0</v>
      </c>
      <c r="R9" s="74">
        <f t="shared" si="6"/>
        <v>0</v>
      </c>
      <c r="S9" s="74">
        <f t="shared" si="7"/>
        <v>0</v>
      </c>
      <c r="T9" s="74">
        <f t="shared" si="8"/>
        <v>0</v>
      </c>
      <c r="U9" s="68">
        <f t="shared" si="9"/>
        <v>0</v>
      </c>
      <c r="V9" s="68">
        <f t="shared" si="2"/>
        <v>0</v>
      </c>
    </row>
    <row r="10" spans="1:22" ht="15" x14ac:dyDescent="0.25">
      <c r="B10" s="64">
        <v>0</v>
      </c>
      <c r="C10" s="58">
        <v>0</v>
      </c>
      <c r="D10" s="59">
        <v>0</v>
      </c>
      <c r="E10" s="59">
        <v>0</v>
      </c>
      <c r="F10" s="59">
        <v>0</v>
      </c>
      <c r="G10" s="59">
        <v>0</v>
      </c>
      <c r="H10" s="59">
        <v>0</v>
      </c>
      <c r="I10" s="47">
        <v>0</v>
      </c>
      <c r="J10" s="48">
        <v>0</v>
      </c>
      <c r="K10" s="48">
        <v>0</v>
      </c>
      <c r="L10" s="48">
        <v>0</v>
      </c>
      <c r="M10" s="48">
        <v>0</v>
      </c>
      <c r="N10" s="48">
        <v>0</v>
      </c>
      <c r="O10" s="79">
        <f t="shared" si="3"/>
        <v>0</v>
      </c>
      <c r="P10" s="74">
        <f t="shared" si="4"/>
        <v>0</v>
      </c>
      <c r="Q10" s="74">
        <f t="shared" si="5"/>
        <v>0</v>
      </c>
      <c r="R10" s="74">
        <f t="shared" si="6"/>
        <v>0</v>
      </c>
      <c r="S10" s="74">
        <f t="shared" si="7"/>
        <v>0</v>
      </c>
      <c r="T10" s="74">
        <f t="shared" si="8"/>
        <v>0</v>
      </c>
      <c r="U10" s="68">
        <f t="shared" si="9"/>
        <v>0</v>
      </c>
      <c r="V10" s="68">
        <f t="shared" si="2"/>
        <v>0</v>
      </c>
    </row>
    <row r="11" spans="1:22" ht="15" x14ac:dyDescent="0.25">
      <c r="B11" s="64">
        <v>0</v>
      </c>
      <c r="C11" s="58">
        <v>0</v>
      </c>
      <c r="D11" s="59">
        <v>0</v>
      </c>
      <c r="E11" s="59">
        <v>0</v>
      </c>
      <c r="F11" s="59">
        <v>0</v>
      </c>
      <c r="G11" s="59">
        <v>0</v>
      </c>
      <c r="H11" s="59">
        <v>0</v>
      </c>
      <c r="I11" s="47">
        <v>0</v>
      </c>
      <c r="J11" s="48">
        <v>0</v>
      </c>
      <c r="K11" s="48">
        <v>0</v>
      </c>
      <c r="L11" s="48">
        <v>0</v>
      </c>
      <c r="M11" s="48">
        <v>0</v>
      </c>
      <c r="N11" s="48">
        <v>0</v>
      </c>
      <c r="O11" s="79">
        <f t="shared" si="3"/>
        <v>0</v>
      </c>
      <c r="P11" s="74">
        <f t="shared" si="4"/>
        <v>0</v>
      </c>
      <c r="Q11" s="74">
        <f t="shared" si="5"/>
        <v>0</v>
      </c>
      <c r="R11" s="74">
        <f t="shared" si="6"/>
        <v>0</v>
      </c>
      <c r="S11" s="74">
        <f t="shared" si="7"/>
        <v>0</v>
      </c>
      <c r="T11" s="74">
        <f t="shared" si="8"/>
        <v>0</v>
      </c>
      <c r="U11" s="68">
        <f t="shared" si="9"/>
        <v>0</v>
      </c>
      <c r="V11" s="68">
        <f t="shared" si="2"/>
        <v>0</v>
      </c>
    </row>
    <row r="12" spans="1:22" ht="15" x14ac:dyDescent="0.25">
      <c r="B12" s="64">
        <v>0</v>
      </c>
      <c r="C12" s="58">
        <v>0</v>
      </c>
      <c r="D12" s="59">
        <v>0</v>
      </c>
      <c r="E12" s="59">
        <v>0</v>
      </c>
      <c r="F12" s="59">
        <v>0</v>
      </c>
      <c r="G12" s="59">
        <v>0</v>
      </c>
      <c r="H12" s="59">
        <v>0</v>
      </c>
      <c r="I12" s="47">
        <v>0</v>
      </c>
      <c r="J12" s="48">
        <v>0</v>
      </c>
      <c r="K12" s="48">
        <v>0</v>
      </c>
      <c r="L12" s="48">
        <v>0</v>
      </c>
      <c r="M12" s="48">
        <v>0</v>
      </c>
      <c r="N12" s="48">
        <v>0</v>
      </c>
      <c r="O12" s="79">
        <f t="shared" si="3"/>
        <v>0</v>
      </c>
      <c r="P12" s="74">
        <f t="shared" si="4"/>
        <v>0</v>
      </c>
      <c r="Q12" s="74">
        <f t="shared" si="5"/>
        <v>0</v>
      </c>
      <c r="R12" s="74">
        <f t="shared" si="6"/>
        <v>0</v>
      </c>
      <c r="S12" s="74">
        <f t="shared" si="7"/>
        <v>0</v>
      </c>
      <c r="T12" s="74">
        <f t="shared" si="8"/>
        <v>0</v>
      </c>
      <c r="U12" s="68">
        <f t="shared" si="9"/>
        <v>0</v>
      </c>
      <c r="V12" s="68">
        <f t="shared" si="2"/>
        <v>0</v>
      </c>
    </row>
    <row r="13" spans="1:22" ht="15" x14ac:dyDescent="0.25">
      <c r="B13" s="64">
        <v>0</v>
      </c>
      <c r="C13" s="58">
        <v>0</v>
      </c>
      <c r="D13" s="59">
        <v>0</v>
      </c>
      <c r="E13" s="59">
        <v>0</v>
      </c>
      <c r="F13" s="59">
        <v>0</v>
      </c>
      <c r="G13" s="59">
        <v>0</v>
      </c>
      <c r="H13" s="59">
        <v>0</v>
      </c>
      <c r="I13" s="47">
        <v>0</v>
      </c>
      <c r="J13" s="48">
        <v>0</v>
      </c>
      <c r="K13" s="48">
        <v>0</v>
      </c>
      <c r="L13" s="48">
        <v>0</v>
      </c>
      <c r="M13" s="48">
        <v>0</v>
      </c>
      <c r="N13" s="48">
        <v>0</v>
      </c>
      <c r="O13" s="79">
        <f t="shared" si="3"/>
        <v>0</v>
      </c>
      <c r="P13" s="74">
        <f t="shared" si="4"/>
        <v>0</v>
      </c>
      <c r="Q13" s="74">
        <f t="shared" si="5"/>
        <v>0</v>
      </c>
      <c r="R13" s="74">
        <f t="shared" si="6"/>
        <v>0</v>
      </c>
      <c r="S13" s="74">
        <f t="shared" si="7"/>
        <v>0</v>
      </c>
      <c r="T13" s="74">
        <f t="shared" si="8"/>
        <v>0</v>
      </c>
      <c r="U13" s="68">
        <f t="shared" si="9"/>
        <v>0</v>
      </c>
      <c r="V13" s="68">
        <f t="shared" si="2"/>
        <v>0</v>
      </c>
    </row>
    <row r="14" spans="1:22" ht="15" x14ac:dyDescent="0.25">
      <c r="B14" s="64">
        <v>0</v>
      </c>
      <c r="C14" s="58">
        <v>0</v>
      </c>
      <c r="D14" s="59">
        <v>0</v>
      </c>
      <c r="E14" s="59">
        <v>0</v>
      </c>
      <c r="F14" s="59">
        <v>0</v>
      </c>
      <c r="G14" s="59">
        <v>0</v>
      </c>
      <c r="H14" s="59">
        <v>0</v>
      </c>
      <c r="I14" s="47">
        <v>0</v>
      </c>
      <c r="J14" s="48">
        <v>0</v>
      </c>
      <c r="K14" s="48">
        <v>0</v>
      </c>
      <c r="L14" s="48">
        <v>0</v>
      </c>
      <c r="M14" s="48">
        <v>0</v>
      </c>
      <c r="N14" s="48">
        <v>0</v>
      </c>
      <c r="O14" s="79">
        <f t="shared" si="3"/>
        <v>0</v>
      </c>
      <c r="P14" s="74">
        <f t="shared" si="4"/>
        <v>0</v>
      </c>
      <c r="Q14" s="74">
        <f t="shared" si="5"/>
        <v>0</v>
      </c>
      <c r="R14" s="74">
        <f t="shared" si="6"/>
        <v>0</v>
      </c>
      <c r="S14" s="74">
        <f t="shared" si="7"/>
        <v>0</v>
      </c>
      <c r="T14" s="74">
        <f t="shared" si="8"/>
        <v>0</v>
      </c>
      <c r="U14" s="68">
        <f t="shared" si="9"/>
        <v>0</v>
      </c>
      <c r="V14" s="68">
        <f t="shared" si="2"/>
        <v>0</v>
      </c>
    </row>
    <row r="15" spans="1:22" ht="15" x14ac:dyDescent="0.25">
      <c r="B15" s="64">
        <v>0</v>
      </c>
      <c r="C15" s="58">
        <v>0</v>
      </c>
      <c r="D15" s="59">
        <v>0</v>
      </c>
      <c r="E15" s="59">
        <v>0</v>
      </c>
      <c r="F15" s="59">
        <v>0</v>
      </c>
      <c r="G15" s="59">
        <v>0</v>
      </c>
      <c r="H15" s="59">
        <v>0</v>
      </c>
      <c r="I15" s="47">
        <v>0</v>
      </c>
      <c r="J15" s="48">
        <v>0</v>
      </c>
      <c r="K15" s="48">
        <v>0</v>
      </c>
      <c r="L15" s="48">
        <v>0</v>
      </c>
      <c r="M15" s="48">
        <v>0</v>
      </c>
      <c r="N15" s="48">
        <v>0</v>
      </c>
      <c r="O15" s="79">
        <f t="shared" si="3"/>
        <v>0</v>
      </c>
      <c r="P15" s="74">
        <f t="shared" si="4"/>
        <v>0</v>
      </c>
      <c r="Q15" s="74">
        <f t="shared" si="5"/>
        <v>0</v>
      </c>
      <c r="R15" s="74">
        <f t="shared" si="6"/>
        <v>0</v>
      </c>
      <c r="S15" s="74">
        <f t="shared" si="7"/>
        <v>0</v>
      </c>
      <c r="T15" s="74">
        <f t="shared" si="8"/>
        <v>0</v>
      </c>
      <c r="U15" s="68">
        <f t="shared" si="9"/>
        <v>0</v>
      </c>
      <c r="V15" s="68">
        <f t="shared" si="2"/>
        <v>0</v>
      </c>
    </row>
    <row r="16" spans="1:22" ht="15" x14ac:dyDescent="0.25">
      <c r="B16" s="64">
        <v>0</v>
      </c>
      <c r="C16" s="58">
        <v>0</v>
      </c>
      <c r="D16" s="59">
        <v>0</v>
      </c>
      <c r="E16" s="59">
        <v>0</v>
      </c>
      <c r="F16" s="59">
        <v>0</v>
      </c>
      <c r="G16" s="59">
        <v>0</v>
      </c>
      <c r="H16" s="59">
        <v>0</v>
      </c>
      <c r="I16" s="47">
        <v>0</v>
      </c>
      <c r="J16" s="48">
        <v>0</v>
      </c>
      <c r="K16" s="48">
        <v>0</v>
      </c>
      <c r="L16" s="48">
        <v>0</v>
      </c>
      <c r="M16" s="48">
        <v>0</v>
      </c>
      <c r="N16" s="48">
        <v>0</v>
      </c>
      <c r="O16" s="79">
        <f t="shared" si="3"/>
        <v>0</v>
      </c>
      <c r="P16" s="74">
        <f t="shared" si="4"/>
        <v>0</v>
      </c>
      <c r="Q16" s="74">
        <f t="shared" si="5"/>
        <v>0</v>
      </c>
      <c r="R16" s="74">
        <f t="shared" si="6"/>
        <v>0</v>
      </c>
      <c r="S16" s="74">
        <f t="shared" si="7"/>
        <v>0</v>
      </c>
      <c r="T16" s="74">
        <f t="shared" si="8"/>
        <v>0</v>
      </c>
      <c r="U16" s="68">
        <f t="shared" si="9"/>
        <v>0</v>
      </c>
      <c r="V16" s="68">
        <f t="shared" si="2"/>
        <v>0</v>
      </c>
    </row>
    <row r="17" spans="2:22" ht="15" x14ac:dyDescent="0.25">
      <c r="B17" s="64">
        <v>0</v>
      </c>
      <c r="C17" s="58">
        <v>0</v>
      </c>
      <c r="D17" s="59">
        <v>0</v>
      </c>
      <c r="E17" s="59">
        <v>0</v>
      </c>
      <c r="F17" s="59">
        <v>0</v>
      </c>
      <c r="G17" s="59">
        <v>0</v>
      </c>
      <c r="H17" s="59">
        <v>0</v>
      </c>
      <c r="I17" s="47">
        <v>0</v>
      </c>
      <c r="J17" s="48">
        <v>0</v>
      </c>
      <c r="K17" s="48">
        <v>0</v>
      </c>
      <c r="L17" s="48">
        <v>0</v>
      </c>
      <c r="M17" s="48">
        <v>0</v>
      </c>
      <c r="N17" s="48">
        <v>0</v>
      </c>
      <c r="O17" s="79">
        <f t="shared" si="3"/>
        <v>0</v>
      </c>
      <c r="P17" s="74">
        <f t="shared" si="4"/>
        <v>0</v>
      </c>
      <c r="Q17" s="74">
        <f t="shared" si="5"/>
        <v>0</v>
      </c>
      <c r="R17" s="74">
        <f t="shared" si="6"/>
        <v>0</v>
      </c>
      <c r="S17" s="74">
        <f t="shared" si="7"/>
        <v>0</v>
      </c>
      <c r="T17" s="74">
        <f t="shared" si="8"/>
        <v>0</v>
      </c>
      <c r="U17" s="68">
        <f t="shared" si="9"/>
        <v>0</v>
      </c>
      <c r="V17" s="68">
        <f t="shared" si="2"/>
        <v>0</v>
      </c>
    </row>
    <row r="18" spans="2:22" ht="15" x14ac:dyDescent="0.25">
      <c r="B18" s="64">
        <v>0</v>
      </c>
      <c r="C18" s="58">
        <v>0</v>
      </c>
      <c r="D18" s="59">
        <v>0</v>
      </c>
      <c r="E18" s="59">
        <v>0</v>
      </c>
      <c r="F18" s="59">
        <v>0</v>
      </c>
      <c r="G18" s="59">
        <v>0</v>
      </c>
      <c r="H18" s="59">
        <v>0</v>
      </c>
      <c r="I18" s="47">
        <v>0</v>
      </c>
      <c r="J18" s="48">
        <v>0</v>
      </c>
      <c r="K18" s="48">
        <v>0</v>
      </c>
      <c r="L18" s="48">
        <v>0</v>
      </c>
      <c r="M18" s="48">
        <v>0</v>
      </c>
      <c r="N18" s="48">
        <v>0</v>
      </c>
      <c r="O18" s="79">
        <f t="shared" si="3"/>
        <v>0</v>
      </c>
      <c r="P18" s="74">
        <f t="shared" si="4"/>
        <v>0</v>
      </c>
      <c r="Q18" s="74">
        <f t="shared" si="5"/>
        <v>0</v>
      </c>
      <c r="R18" s="74">
        <f t="shared" si="6"/>
        <v>0</v>
      </c>
      <c r="S18" s="74">
        <f t="shared" si="7"/>
        <v>0</v>
      </c>
      <c r="T18" s="74">
        <f t="shared" si="8"/>
        <v>0</v>
      </c>
      <c r="U18" s="68">
        <f t="shared" si="9"/>
        <v>0</v>
      </c>
      <c r="V18" s="68">
        <f t="shared" si="2"/>
        <v>0</v>
      </c>
    </row>
    <row r="19" spans="2:22" ht="15" x14ac:dyDescent="0.25">
      <c r="B19" s="64">
        <v>0</v>
      </c>
      <c r="C19" s="58">
        <v>0</v>
      </c>
      <c r="D19" s="59">
        <v>0</v>
      </c>
      <c r="E19" s="59">
        <v>0</v>
      </c>
      <c r="F19" s="59">
        <v>0</v>
      </c>
      <c r="G19" s="59">
        <v>0</v>
      </c>
      <c r="H19" s="59">
        <v>0</v>
      </c>
      <c r="I19" s="47">
        <v>0</v>
      </c>
      <c r="J19" s="48">
        <v>0</v>
      </c>
      <c r="K19" s="48">
        <v>0</v>
      </c>
      <c r="L19" s="48">
        <v>0</v>
      </c>
      <c r="M19" s="48">
        <v>0</v>
      </c>
      <c r="N19" s="48">
        <v>0</v>
      </c>
      <c r="O19" s="79">
        <f t="shared" si="3"/>
        <v>0</v>
      </c>
      <c r="P19" s="74">
        <f t="shared" si="4"/>
        <v>0</v>
      </c>
      <c r="Q19" s="74">
        <f t="shared" si="5"/>
        <v>0</v>
      </c>
      <c r="R19" s="74">
        <f t="shared" si="6"/>
        <v>0</v>
      </c>
      <c r="S19" s="74">
        <f t="shared" si="7"/>
        <v>0</v>
      </c>
      <c r="T19" s="74">
        <f t="shared" si="8"/>
        <v>0</v>
      </c>
      <c r="U19" s="68">
        <f t="shared" si="9"/>
        <v>0</v>
      </c>
      <c r="V19" s="68">
        <f t="shared" si="2"/>
        <v>0</v>
      </c>
    </row>
    <row r="20" spans="2:22" ht="15" x14ac:dyDescent="0.25">
      <c r="B20" s="64">
        <v>0</v>
      </c>
      <c r="C20" s="58">
        <v>0</v>
      </c>
      <c r="D20" s="59">
        <v>0</v>
      </c>
      <c r="E20" s="59">
        <v>0</v>
      </c>
      <c r="F20" s="59">
        <v>0</v>
      </c>
      <c r="G20" s="59">
        <v>0</v>
      </c>
      <c r="H20" s="59">
        <v>0</v>
      </c>
      <c r="I20" s="47">
        <v>0</v>
      </c>
      <c r="J20" s="48">
        <v>0</v>
      </c>
      <c r="K20" s="48">
        <v>0</v>
      </c>
      <c r="L20" s="48">
        <v>0</v>
      </c>
      <c r="M20" s="48">
        <v>0</v>
      </c>
      <c r="N20" s="48">
        <v>0</v>
      </c>
      <c r="O20" s="79">
        <f t="shared" si="3"/>
        <v>0</v>
      </c>
      <c r="P20" s="74">
        <f t="shared" si="4"/>
        <v>0</v>
      </c>
      <c r="Q20" s="74">
        <f t="shared" si="5"/>
        <v>0</v>
      </c>
      <c r="R20" s="74">
        <f t="shared" si="6"/>
        <v>0</v>
      </c>
      <c r="S20" s="74">
        <f t="shared" si="7"/>
        <v>0</v>
      </c>
      <c r="T20" s="74">
        <f t="shared" si="8"/>
        <v>0</v>
      </c>
      <c r="U20" s="68">
        <f t="shared" si="9"/>
        <v>0</v>
      </c>
      <c r="V20" s="68">
        <f t="shared" si="2"/>
        <v>0</v>
      </c>
    </row>
    <row r="21" spans="2:22" ht="15" x14ac:dyDescent="0.25">
      <c r="B21" s="64">
        <v>0</v>
      </c>
      <c r="C21" s="58">
        <v>0</v>
      </c>
      <c r="D21" s="59">
        <v>0</v>
      </c>
      <c r="E21" s="59">
        <v>0</v>
      </c>
      <c r="F21" s="59">
        <v>0</v>
      </c>
      <c r="G21" s="59">
        <v>0</v>
      </c>
      <c r="H21" s="59">
        <v>0</v>
      </c>
      <c r="I21" s="47">
        <v>0</v>
      </c>
      <c r="J21" s="48">
        <v>0</v>
      </c>
      <c r="K21" s="48">
        <v>0</v>
      </c>
      <c r="L21" s="48">
        <v>0</v>
      </c>
      <c r="M21" s="48">
        <v>0</v>
      </c>
      <c r="N21" s="48">
        <v>0</v>
      </c>
      <c r="O21" s="79">
        <f t="shared" si="3"/>
        <v>0</v>
      </c>
      <c r="P21" s="74">
        <f t="shared" si="4"/>
        <v>0</v>
      </c>
      <c r="Q21" s="74">
        <f t="shared" si="5"/>
        <v>0</v>
      </c>
      <c r="R21" s="74">
        <f t="shared" si="6"/>
        <v>0</v>
      </c>
      <c r="S21" s="74">
        <f t="shared" si="7"/>
        <v>0</v>
      </c>
      <c r="T21" s="74">
        <f t="shared" si="8"/>
        <v>0</v>
      </c>
      <c r="U21" s="68">
        <f t="shared" si="9"/>
        <v>0</v>
      </c>
      <c r="V21" s="68">
        <f t="shared" si="2"/>
        <v>0</v>
      </c>
    </row>
    <row r="22" spans="2:22" x14ac:dyDescent="0.3">
      <c r="B22" s="64">
        <v>0</v>
      </c>
      <c r="C22" s="58">
        <v>0</v>
      </c>
      <c r="D22" s="59">
        <v>0</v>
      </c>
      <c r="E22" s="59">
        <v>0</v>
      </c>
      <c r="F22" s="59">
        <v>0</v>
      </c>
      <c r="G22" s="59">
        <v>0</v>
      </c>
      <c r="H22" s="59">
        <v>0</v>
      </c>
      <c r="I22" s="47">
        <v>0</v>
      </c>
      <c r="J22" s="48">
        <v>0</v>
      </c>
      <c r="K22" s="48">
        <v>0</v>
      </c>
      <c r="L22" s="48">
        <v>0</v>
      </c>
      <c r="M22" s="48">
        <v>0</v>
      </c>
      <c r="N22" s="48">
        <v>0</v>
      </c>
      <c r="O22" s="79">
        <f t="shared" si="3"/>
        <v>0</v>
      </c>
      <c r="P22" s="74">
        <f t="shared" si="4"/>
        <v>0</v>
      </c>
      <c r="Q22" s="74">
        <f t="shared" si="5"/>
        <v>0</v>
      </c>
      <c r="R22" s="74">
        <f t="shared" si="6"/>
        <v>0</v>
      </c>
      <c r="S22" s="74">
        <f t="shared" si="7"/>
        <v>0</v>
      </c>
      <c r="T22" s="74">
        <f t="shared" si="8"/>
        <v>0</v>
      </c>
      <c r="U22" s="68">
        <f t="shared" si="9"/>
        <v>0</v>
      </c>
      <c r="V22" s="68">
        <f t="shared" si="2"/>
        <v>0</v>
      </c>
    </row>
    <row r="23" spans="2:22" x14ac:dyDescent="0.3">
      <c r="B23" s="64">
        <v>0</v>
      </c>
      <c r="C23" s="58">
        <v>0</v>
      </c>
      <c r="D23" s="59">
        <v>0</v>
      </c>
      <c r="E23" s="59">
        <v>0</v>
      </c>
      <c r="F23" s="59">
        <v>0</v>
      </c>
      <c r="G23" s="59">
        <v>0</v>
      </c>
      <c r="H23" s="59">
        <v>0</v>
      </c>
      <c r="I23" s="47">
        <v>0</v>
      </c>
      <c r="J23" s="48">
        <v>0</v>
      </c>
      <c r="K23" s="48">
        <v>0</v>
      </c>
      <c r="L23" s="48">
        <v>0</v>
      </c>
      <c r="M23" s="48">
        <v>0</v>
      </c>
      <c r="N23" s="48">
        <v>0</v>
      </c>
      <c r="O23" s="79">
        <f t="shared" si="3"/>
        <v>0</v>
      </c>
      <c r="P23" s="74">
        <f t="shared" si="4"/>
        <v>0</v>
      </c>
      <c r="Q23" s="74">
        <f t="shared" si="5"/>
        <v>0</v>
      </c>
      <c r="R23" s="74">
        <f t="shared" si="6"/>
        <v>0</v>
      </c>
      <c r="S23" s="74">
        <f t="shared" si="7"/>
        <v>0</v>
      </c>
      <c r="T23" s="74">
        <f t="shared" si="8"/>
        <v>0</v>
      </c>
      <c r="U23" s="68">
        <f t="shared" si="9"/>
        <v>0</v>
      </c>
      <c r="V23" s="68">
        <f t="shared" si="2"/>
        <v>0</v>
      </c>
    </row>
    <row r="24" spans="2:22" x14ac:dyDescent="0.3">
      <c r="B24" s="64">
        <v>0</v>
      </c>
      <c r="C24" s="58">
        <v>0</v>
      </c>
      <c r="D24" s="59">
        <v>0</v>
      </c>
      <c r="E24" s="59">
        <v>0</v>
      </c>
      <c r="F24" s="59">
        <v>0</v>
      </c>
      <c r="G24" s="59">
        <v>0</v>
      </c>
      <c r="H24" s="59">
        <v>0</v>
      </c>
      <c r="I24" s="47">
        <v>0</v>
      </c>
      <c r="J24" s="48">
        <v>0</v>
      </c>
      <c r="K24" s="48">
        <v>0</v>
      </c>
      <c r="L24" s="48">
        <v>0</v>
      </c>
      <c r="M24" s="48">
        <v>0</v>
      </c>
      <c r="N24" s="48">
        <v>0</v>
      </c>
      <c r="O24" s="79">
        <f t="shared" si="3"/>
        <v>0</v>
      </c>
      <c r="P24" s="74">
        <f t="shared" si="4"/>
        <v>0</v>
      </c>
      <c r="Q24" s="74">
        <f t="shared" si="5"/>
        <v>0</v>
      </c>
      <c r="R24" s="74">
        <f t="shared" si="6"/>
        <v>0</v>
      </c>
      <c r="S24" s="74">
        <f t="shared" si="7"/>
        <v>0</v>
      </c>
      <c r="T24" s="74">
        <f t="shared" si="8"/>
        <v>0</v>
      </c>
      <c r="U24" s="68">
        <f t="shared" si="9"/>
        <v>0</v>
      </c>
      <c r="V24" s="68">
        <f t="shared" si="2"/>
        <v>0</v>
      </c>
    </row>
    <row r="25" spans="2:22" x14ac:dyDescent="0.3">
      <c r="B25" s="64">
        <v>0</v>
      </c>
      <c r="C25" s="58">
        <v>0</v>
      </c>
      <c r="D25" s="59">
        <v>0</v>
      </c>
      <c r="E25" s="59">
        <v>0</v>
      </c>
      <c r="F25" s="59">
        <v>0</v>
      </c>
      <c r="G25" s="59">
        <v>0</v>
      </c>
      <c r="H25" s="59">
        <v>0</v>
      </c>
      <c r="I25" s="47">
        <v>0</v>
      </c>
      <c r="J25" s="48">
        <v>0</v>
      </c>
      <c r="K25" s="48">
        <v>0</v>
      </c>
      <c r="L25" s="48">
        <v>0</v>
      </c>
      <c r="M25" s="48">
        <v>0</v>
      </c>
      <c r="N25" s="48">
        <v>0</v>
      </c>
      <c r="O25" s="79">
        <f t="shared" si="3"/>
        <v>0</v>
      </c>
      <c r="P25" s="74">
        <f t="shared" si="4"/>
        <v>0</v>
      </c>
      <c r="Q25" s="74">
        <f t="shared" si="5"/>
        <v>0</v>
      </c>
      <c r="R25" s="74">
        <f t="shared" si="6"/>
        <v>0</v>
      </c>
      <c r="S25" s="74">
        <f t="shared" si="7"/>
        <v>0</v>
      </c>
      <c r="T25" s="74">
        <f t="shared" si="8"/>
        <v>0</v>
      </c>
      <c r="U25" s="68">
        <f t="shared" si="9"/>
        <v>0</v>
      </c>
      <c r="V25" s="68">
        <f t="shared" si="2"/>
        <v>0</v>
      </c>
    </row>
    <row r="26" spans="2:22" x14ac:dyDescent="0.3">
      <c r="B26" s="64">
        <v>0</v>
      </c>
      <c r="C26" s="58">
        <v>0</v>
      </c>
      <c r="D26" s="59">
        <v>0</v>
      </c>
      <c r="E26" s="59">
        <v>0</v>
      </c>
      <c r="F26" s="59">
        <v>0</v>
      </c>
      <c r="G26" s="59">
        <v>0</v>
      </c>
      <c r="H26" s="59">
        <v>0</v>
      </c>
      <c r="I26" s="47">
        <v>0</v>
      </c>
      <c r="J26" s="48">
        <v>0</v>
      </c>
      <c r="K26" s="48">
        <v>0</v>
      </c>
      <c r="L26" s="48">
        <v>0</v>
      </c>
      <c r="M26" s="48">
        <v>0</v>
      </c>
      <c r="N26" s="48">
        <v>0</v>
      </c>
      <c r="O26" s="79">
        <f t="shared" si="3"/>
        <v>0</v>
      </c>
      <c r="P26" s="74">
        <f t="shared" si="4"/>
        <v>0</v>
      </c>
      <c r="Q26" s="74">
        <f t="shared" si="5"/>
        <v>0</v>
      </c>
      <c r="R26" s="74">
        <f t="shared" si="6"/>
        <v>0</v>
      </c>
      <c r="S26" s="74">
        <f t="shared" si="7"/>
        <v>0</v>
      </c>
      <c r="T26" s="74">
        <f t="shared" si="8"/>
        <v>0</v>
      </c>
      <c r="U26" s="68">
        <f t="shared" si="9"/>
        <v>0</v>
      </c>
      <c r="V26" s="68">
        <f t="shared" si="2"/>
        <v>0</v>
      </c>
    </row>
    <row r="27" spans="2:22" x14ac:dyDescent="0.3">
      <c r="B27" s="64">
        <v>0</v>
      </c>
      <c r="C27" s="58">
        <v>0</v>
      </c>
      <c r="D27" s="59">
        <v>0</v>
      </c>
      <c r="E27" s="59">
        <v>0</v>
      </c>
      <c r="F27" s="59">
        <v>0</v>
      </c>
      <c r="G27" s="59">
        <v>0</v>
      </c>
      <c r="H27" s="59">
        <v>0</v>
      </c>
      <c r="I27" s="47">
        <v>0</v>
      </c>
      <c r="J27" s="48">
        <v>0</v>
      </c>
      <c r="K27" s="48">
        <v>0</v>
      </c>
      <c r="L27" s="48">
        <v>0</v>
      </c>
      <c r="M27" s="48">
        <v>0</v>
      </c>
      <c r="N27" s="48">
        <v>0</v>
      </c>
      <c r="O27" s="79">
        <f t="shared" si="3"/>
        <v>0</v>
      </c>
      <c r="P27" s="74">
        <f t="shared" si="4"/>
        <v>0</v>
      </c>
      <c r="Q27" s="74">
        <f t="shared" si="5"/>
        <v>0</v>
      </c>
      <c r="R27" s="74">
        <f t="shared" si="6"/>
        <v>0</v>
      </c>
      <c r="S27" s="74">
        <f t="shared" si="7"/>
        <v>0</v>
      </c>
      <c r="T27" s="74">
        <f t="shared" si="8"/>
        <v>0</v>
      </c>
      <c r="U27" s="68">
        <f t="shared" si="9"/>
        <v>0</v>
      </c>
      <c r="V27" s="68">
        <f t="shared" si="2"/>
        <v>0</v>
      </c>
    </row>
    <row r="28" spans="2:22" x14ac:dyDescent="0.3">
      <c r="B28" s="64">
        <v>0</v>
      </c>
      <c r="C28" s="58">
        <v>0</v>
      </c>
      <c r="D28" s="59">
        <v>0</v>
      </c>
      <c r="E28" s="59">
        <v>0</v>
      </c>
      <c r="F28" s="59">
        <v>0</v>
      </c>
      <c r="G28" s="59">
        <v>0</v>
      </c>
      <c r="H28" s="59">
        <v>0</v>
      </c>
      <c r="I28" s="47">
        <v>0</v>
      </c>
      <c r="J28" s="48">
        <v>0</v>
      </c>
      <c r="K28" s="48">
        <v>0</v>
      </c>
      <c r="L28" s="48">
        <v>0</v>
      </c>
      <c r="M28" s="48">
        <v>0</v>
      </c>
      <c r="N28" s="48">
        <v>0</v>
      </c>
      <c r="O28" s="79">
        <f t="shared" si="3"/>
        <v>0</v>
      </c>
      <c r="P28" s="74">
        <f t="shared" si="4"/>
        <v>0</v>
      </c>
      <c r="Q28" s="74">
        <f t="shared" si="5"/>
        <v>0</v>
      </c>
      <c r="R28" s="74">
        <f t="shared" si="6"/>
        <v>0</v>
      </c>
      <c r="S28" s="74">
        <f t="shared" si="7"/>
        <v>0</v>
      </c>
      <c r="T28" s="74">
        <f t="shared" si="8"/>
        <v>0</v>
      </c>
      <c r="U28" s="68">
        <f t="shared" si="9"/>
        <v>0</v>
      </c>
      <c r="V28" s="68">
        <f t="shared" si="2"/>
        <v>0</v>
      </c>
    </row>
    <row r="29" spans="2:22" x14ac:dyDescent="0.3">
      <c r="B29" s="64">
        <v>0</v>
      </c>
      <c r="C29" s="58">
        <v>0</v>
      </c>
      <c r="D29" s="59">
        <v>0</v>
      </c>
      <c r="E29" s="59">
        <v>0</v>
      </c>
      <c r="F29" s="59">
        <v>0</v>
      </c>
      <c r="G29" s="59">
        <v>0</v>
      </c>
      <c r="H29" s="59">
        <v>0</v>
      </c>
      <c r="I29" s="47">
        <v>0</v>
      </c>
      <c r="J29" s="48">
        <v>0</v>
      </c>
      <c r="K29" s="48">
        <v>0</v>
      </c>
      <c r="L29" s="48">
        <v>0</v>
      </c>
      <c r="M29" s="48">
        <v>0</v>
      </c>
      <c r="N29" s="48">
        <v>0</v>
      </c>
      <c r="O29" s="79">
        <f t="shared" si="3"/>
        <v>0</v>
      </c>
      <c r="P29" s="74">
        <f t="shared" si="4"/>
        <v>0</v>
      </c>
      <c r="Q29" s="74">
        <f t="shared" si="5"/>
        <v>0</v>
      </c>
      <c r="R29" s="74">
        <f t="shared" si="6"/>
        <v>0</v>
      </c>
      <c r="S29" s="74">
        <f t="shared" si="7"/>
        <v>0</v>
      </c>
      <c r="T29" s="74">
        <f t="shared" si="8"/>
        <v>0</v>
      </c>
      <c r="U29" s="68">
        <f t="shared" si="9"/>
        <v>0</v>
      </c>
      <c r="V29" s="68">
        <f t="shared" si="2"/>
        <v>0</v>
      </c>
    </row>
    <row r="30" spans="2:22" x14ac:dyDescent="0.3">
      <c r="B30" s="64">
        <v>0</v>
      </c>
      <c r="C30" s="58">
        <v>0</v>
      </c>
      <c r="D30" s="59">
        <v>0</v>
      </c>
      <c r="E30" s="59">
        <v>0</v>
      </c>
      <c r="F30" s="59">
        <v>0</v>
      </c>
      <c r="G30" s="59">
        <v>0</v>
      </c>
      <c r="H30" s="59">
        <v>0</v>
      </c>
      <c r="I30" s="47">
        <v>0</v>
      </c>
      <c r="J30" s="48">
        <v>0</v>
      </c>
      <c r="K30" s="48">
        <v>0</v>
      </c>
      <c r="L30" s="48">
        <v>0</v>
      </c>
      <c r="M30" s="48">
        <v>0</v>
      </c>
      <c r="N30" s="48">
        <v>0</v>
      </c>
      <c r="O30" s="79">
        <f t="shared" si="3"/>
        <v>0</v>
      </c>
      <c r="P30" s="74">
        <f t="shared" si="4"/>
        <v>0</v>
      </c>
      <c r="Q30" s="74">
        <f t="shared" si="5"/>
        <v>0</v>
      </c>
      <c r="R30" s="74">
        <f t="shared" si="6"/>
        <v>0</v>
      </c>
      <c r="S30" s="74">
        <f t="shared" si="7"/>
        <v>0</v>
      </c>
      <c r="T30" s="74">
        <f t="shared" si="8"/>
        <v>0</v>
      </c>
      <c r="U30" s="68">
        <f t="shared" si="9"/>
        <v>0</v>
      </c>
      <c r="V30" s="68">
        <f t="shared" si="2"/>
        <v>0</v>
      </c>
    </row>
    <row r="31" spans="2:22" x14ac:dyDescent="0.3">
      <c r="B31" s="64">
        <v>0</v>
      </c>
      <c r="C31" s="58">
        <v>0</v>
      </c>
      <c r="D31" s="59">
        <v>0</v>
      </c>
      <c r="E31" s="59">
        <v>0</v>
      </c>
      <c r="F31" s="59">
        <v>0</v>
      </c>
      <c r="G31" s="59">
        <v>0</v>
      </c>
      <c r="H31" s="59">
        <v>0</v>
      </c>
      <c r="I31" s="47">
        <v>0</v>
      </c>
      <c r="J31" s="48">
        <v>0</v>
      </c>
      <c r="K31" s="48">
        <v>0</v>
      </c>
      <c r="L31" s="48">
        <v>0</v>
      </c>
      <c r="M31" s="48">
        <v>0</v>
      </c>
      <c r="N31" s="48">
        <v>0</v>
      </c>
      <c r="O31" s="79">
        <f t="shared" si="3"/>
        <v>0</v>
      </c>
      <c r="P31" s="74">
        <f t="shared" si="4"/>
        <v>0</v>
      </c>
      <c r="Q31" s="74">
        <f t="shared" si="5"/>
        <v>0</v>
      </c>
      <c r="R31" s="74">
        <f t="shared" si="6"/>
        <v>0</v>
      </c>
      <c r="S31" s="74">
        <f t="shared" si="7"/>
        <v>0</v>
      </c>
      <c r="T31" s="74">
        <f t="shared" si="8"/>
        <v>0</v>
      </c>
      <c r="U31" s="68">
        <f t="shared" si="9"/>
        <v>0</v>
      </c>
      <c r="V31" s="68">
        <f t="shared" si="2"/>
        <v>0</v>
      </c>
    </row>
    <row r="32" spans="2:22" x14ac:dyDescent="0.3">
      <c r="B32" s="64">
        <v>0</v>
      </c>
      <c r="C32" s="58">
        <v>0</v>
      </c>
      <c r="D32" s="59">
        <v>0</v>
      </c>
      <c r="E32" s="59">
        <v>0</v>
      </c>
      <c r="F32" s="59">
        <v>0</v>
      </c>
      <c r="G32" s="59">
        <v>0</v>
      </c>
      <c r="H32" s="59">
        <v>0</v>
      </c>
      <c r="I32" s="47">
        <v>0</v>
      </c>
      <c r="J32" s="48">
        <v>0</v>
      </c>
      <c r="K32" s="48">
        <v>0</v>
      </c>
      <c r="L32" s="48">
        <v>0</v>
      </c>
      <c r="M32" s="48">
        <v>0</v>
      </c>
      <c r="N32" s="48">
        <v>0</v>
      </c>
      <c r="O32" s="79">
        <f t="shared" si="3"/>
        <v>0</v>
      </c>
      <c r="P32" s="74">
        <f t="shared" si="4"/>
        <v>0</v>
      </c>
      <c r="Q32" s="74">
        <f t="shared" si="5"/>
        <v>0</v>
      </c>
      <c r="R32" s="74">
        <f t="shared" si="6"/>
        <v>0</v>
      </c>
      <c r="S32" s="74">
        <f t="shared" si="7"/>
        <v>0</v>
      </c>
      <c r="T32" s="74">
        <f t="shared" si="8"/>
        <v>0</v>
      </c>
      <c r="U32" s="68">
        <f t="shared" si="9"/>
        <v>0</v>
      </c>
      <c r="V32" s="68">
        <f t="shared" si="2"/>
        <v>0</v>
      </c>
    </row>
    <row r="33" spans="2:22" x14ac:dyDescent="0.3">
      <c r="B33" s="64">
        <v>0</v>
      </c>
      <c r="C33" s="58">
        <v>0</v>
      </c>
      <c r="D33" s="59">
        <v>0</v>
      </c>
      <c r="E33" s="59">
        <v>0</v>
      </c>
      <c r="F33" s="59">
        <v>0</v>
      </c>
      <c r="G33" s="59">
        <v>0</v>
      </c>
      <c r="H33" s="59">
        <v>0</v>
      </c>
      <c r="I33" s="47">
        <v>0</v>
      </c>
      <c r="J33" s="48">
        <v>0</v>
      </c>
      <c r="K33" s="48">
        <v>0</v>
      </c>
      <c r="L33" s="48">
        <v>0</v>
      </c>
      <c r="M33" s="48">
        <v>0</v>
      </c>
      <c r="N33" s="48">
        <v>0</v>
      </c>
      <c r="O33" s="79">
        <f t="shared" si="3"/>
        <v>0</v>
      </c>
      <c r="P33" s="74">
        <f t="shared" si="4"/>
        <v>0</v>
      </c>
      <c r="Q33" s="74">
        <f t="shared" si="5"/>
        <v>0</v>
      </c>
      <c r="R33" s="74">
        <f t="shared" si="6"/>
        <v>0</v>
      </c>
      <c r="S33" s="74">
        <f t="shared" si="7"/>
        <v>0</v>
      </c>
      <c r="T33" s="74">
        <f t="shared" si="8"/>
        <v>0</v>
      </c>
      <c r="U33" s="68">
        <f t="shared" si="9"/>
        <v>0</v>
      </c>
      <c r="V33" s="68">
        <f t="shared" si="2"/>
        <v>0</v>
      </c>
    </row>
    <row r="34" spans="2:22" x14ac:dyDescent="0.3">
      <c r="B34" s="64">
        <v>0</v>
      </c>
      <c r="C34" s="58">
        <v>0</v>
      </c>
      <c r="D34" s="59">
        <v>0</v>
      </c>
      <c r="E34" s="59">
        <v>0</v>
      </c>
      <c r="F34" s="59">
        <v>0</v>
      </c>
      <c r="G34" s="59">
        <v>0</v>
      </c>
      <c r="H34" s="59">
        <v>0</v>
      </c>
      <c r="I34" s="47">
        <v>0</v>
      </c>
      <c r="J34" s="48">
        <v>0</v>
      </c>
      <c r="K34" s="48">
        <v>0</v>
      </c>
      <c r="L34" s="48">
        <v>0</v>
      </c>
      <c r="M34" s="48">
        <v>0</v>
      </c>
      <c r="N34" s="48">
        <v>0</v>
      </c>
      <c r="O34" s="79">
        <f t="shared" si="3"/>
        <v>0</v>
      </c>
      <c r="P34" s="74">
        <f t="shared" si="4"/>
        <v>0</v>
      </c>
      <c r="Q34" s="74">
        <f t="shared" si="5"/>
        <v>0</v>
      </c>
      <c r="R34" s="74">
        <f t="shared" si="6"/>
        <v>0</v>
      </c>
      <c r="S34" s="74">
        <f t="shared" si="7"/>
        <v>0</v>
      </c>
      <c r="T34" s="74">
        <f t="shared" si="8"/>
        <v>0</v>
      </c>
      <c r="U34" s="68">
        <f t="shared" si="9"/>
        <v>0</v>
      </c>
      <c r="V34" s="68">
        <f t="shared" si="2"/>
        <v>0</v>
      </c>
    </row>
    <row r="35" spans="2:22" x14ac:dyDescent="0.3">
      <c r="B35" s="64">
        <v>0</v>
      </c>
      <c r="C35" s="58">
        <v>0</v>
      </c>
      <c r="D35" s="59">
        <v>0</v>
      </c>
      <c r="E35" s="59">
        <v>0</v>
      </c>
      <c r="F35" s="59">
        <v>0</v>
      </c>
      <c r="G35" s="59">
        <v>0</v>
      </c>
      <c r="H35" s="59">
        <v>0</v>
      </c>
      <c r="I35" s="47">
        <v>0</v>
      </c>
      <c r="J35" s="48">
        <v>0</v>
      </c>
      <c r="K35" s="48">
        <v>0</v>
      </c>
      <c r="L35" s="48">
        <v>0</v>
      </c>
      <c r="M35" s="48">
        <v>0</v>
      </c>
      <c r="N35" s="48">
        <v>0</v>
      </c>
      <c r="O35" s="79">
        <f t="shared" si="3"/>
        <v>0</v>
      </c>
      <c r="P35" s="74">
        <f t="shared" si="4"/>
        <v>0</v>
      </c>
      <c r="Q35" s="74">
        <f t="shared" si="5"/>
        <v>0</v>
      </c>
      <c r="R35" s="74">
        <f t="shared" si="6"/>
        <v>0</v>
      </c>
      <c r="S35" s="74">
        <f t="shared" si="7"/>
        <v>0</v>
      </c>
      <c r="T35" s="74">
        <f t="shared" si="8"/>
        <v>0</v>
      </c>
      <c r="U35" s="68">
        <f t="shared" si="9"/>
        <v>0</v>
      </c>
      <c r="V35" s="68">
        <f t="shared" si="2"/>
        <v>0</v>
      </c>
    </row>
    <row r="36" spans="2:22" x14ac:dyDescent="0.3">
      <c r="B36" s="64">
        <v>0</v>
      </c>
      <c r="C36" s="58">
        <v>0</v>
      </c>
      <c r="D36" s="59">
        <v>0</v>
      </c>
      <c r="E36" s="59">
        <v>0</v>
      </c>
      <c r="F36" s="59">
        <v>0</v>
      </c>
      <c r="G36" s="59">
        <v>0</v>
      </c>
      <c r="H36" s="59">
        <v>0</v>
      </c>
      <c r="I36" s="47">
        <v>0</v>
      </c>
      <c r="J36" s="48">
        <v>0</v>
      </c>
      <c r="K36" s="48">
        <v>0</v>
      </c>
      <c r="L36" s="48">
        <v>0</v>
      </c>
      <c r="M36" s="48">
        <v>0</v>
      </c>
      <c r="N36" s="48">
        <v>0</v>
      </c>
      <c r="O36" s="79">
        <f t="shared" si="3"/>
        <v>0</v>
      </c>
      <c r="P36" s="74">
        <f t="shared" si="4"/>
        <v>0</v>
      </c>
      <c r="Q36" s="74">
        <f t="shared" si="5"/>
        <v>0</v>
      </c>
      <c r="R36" s="74">
        <f t="shared" si="6"/>
        <v>0</v>
      </c>
      <c r="S36" s="74">
        <f t="shared" si="7"/>
        <v>0</v>
      </c>
      <c r="T36" s="74">
        <f t="shared" si="8"/>
        <v>0</v>
      </c>
      <c r="U36" s="68">
        <f t="shared" si="9"/>
        <v>0</v>
      </c>
      <c r="V36" s="68">
        <f t="shared" si="2"/>
        <v>0</v>
      </c>
    </row>
    <row r="37" spans="2:22" x14ac:dyDescent="0.3">
      <c r="B37" s="64">
        <v>0</v>
      </c>
      <c r="C37" s="58">
        <v>0</v>
      </c>
      <c r="D37" s="59">
        <v>0</v>
      </c>
      <c r="E37" s="59">
        <v>0</v>
      </c>
      <c r="F37" s="59">
        <v>0</v>
      </c>
      <c r="G37" s="59">
        <v>0</v>
      </c>
      <c r="H37" s="59">
        <v>0</v>
      </c>
      <c r="I37" s="47">
        <v>0</v>
      </c>
      <c r="J37" s="48">
        <v>0</v>
      </c>
      <c r="K37" s="48">
        <v>0</v>
      </c>
      <c r="L37" s="48">
        <v>0</v>
      </c>
      <c r="M37" s="48">
        <v>0</v>
      </c>
      <c r="N37" s="48">
        <v>0</v>
      </c>
      <c r="O37" s="79">
        <f t="shared" si="3"/>
        <v>0</v>
      </c>
      <c r="P37" s="74">
        <f t="shared" si="4"/>
        <v>0</v>
      </c>
      <c r="Q37" s="74">
        <f t="shared" si="5"/>
        <v>0</v>
      </c>
      <c r="R37" s="74">
        <f t="shared" si="6"/>
        <v>0</v>
      </c>
      <c r="S37" s="74">
        <f t="shared" si="7"/>
        <v>0</v>
      </c>
      <c r="T37" s="74">
        <f t="shared" si="8"/>
        <v>0</v>
      </c>
      <c r="U37" s="68">
        <f t="shared" si="9"/>
        <v>0</v>
      </c>
      <c r="V37" s="68">
        <f t="shared" si="2"/>
        <v>0</v>
      </c>
    </row>
    <row r="38" spans="2:22" x14ac:dyDescent="0.3">
      <c r="B38" s="64">
        <v>0</v>
      </c>
      <c r="C38" s="58">
        <v>0</v>
      </c>
      <c r="D38" s="59">
        <v>0</v>
      </c>
      <c r="E38" s="59">
        <v>0</v>
      </c>
      <c r="F38" s="59">
        <v>0</v>
      </c>
      <c r="G38" s="59">
        <v>0</v>
      </c>
      <c r="H38" s="59">
        <v>0</v>
      </c>
      <c r="I38" s="47">
        <v>0</v>
      </c>
      <c r="J38" s="48">
        <v>0</v>
      </c>
      <c r="K38" s="48">
        <v>0</v>
      </c>
      <c r="L38" s="48">
        <v>0</v>
      </c>
      <c r="M38" s="48">
        <v>0</v>
      </c>
      <c r="N38" s="48">
        <v>0</v>
      </c>
      <c r="O38" s="79">
        <f t="shared" si="3"/>
        <v>0</v>
      </c>
      <c r="P38" s="74">
        <f t="shared" si="4"/>
        <v>0</v>
      </c>
      <c r="Q38" s="74">
        <f t="shared" si="5"/>
        <v>0</v>
      </c>
      <c r="R38" s="74">
        <f t="shared" si="6"/>
        <v>0</v>
      </c>
      <c r="S38" s="74">
        <f t="shared" si="7"/>
        <v>0</v>
      </c>
      <c r="T38" s="74">
        <f t="shared" si="8"/>
        <v>0</v>
      </c>
      <c r="U38" s="68">
        <f t="shared" si="9"/>
        <v>0</v>
      </c>
      <c r="V38" s="68">
        <f t="shared" si="2"/>
        <v>0</v>
      </c>
    </row>
    <row r="39" spans="2:22" x14ac:dyDescent="0.3">
      <c r="B39" s="64">
        <v>0</v>
      </c>
      <c r="C39" s="58">
        <v>0</v>
      </c>
      <c r="D39" s="59">
        <v>0</v>
      </c>
      <c r="E39" s="59">
        <v>0</v>
      </c>
      <c r="F39" s="59">
        <v>0</v>
      </c>
      <c r="G39" s="59">
        <v>0</v>
      </c>
      <c r="H39" s="59">
        <v>0</v>
      </c>
      <c r="I39" s="47">
        <v>0</v>
      </c>
      <c r="J39" s="48">
        <v>0</v>
      </c>
      <c r="K39" s="48">
        <v>0</v>
      </c>
      <c r="L39" s="48">
        <v>0</v>
      </c>
      <c r="M39" s="48">
        <v>0</v>
      </c>
      <c r="N39" s="48">
        <v>0</v>
      </c>
      <c r="O39" s="79">
        <f t="shared" si="3"/>
        <v>0</v>
      </c>
      <c r="P39" s="74">
        <f t="shared" si="4"/>
        <v>0</v>
      </c>
      <c r="Q39" s="74">
        <f t="shared" si="5"/>
        <v>0</v>
      </c>
      <c r="R39" s="74">
        <f t="shared" si="6"/>
        <v>0</v>
      </c>
      <c r="S39" s="74">
        <f t="shared" si="7"/>
        <v>0</v>
      </c>
      <c r="T39" s="74">
        <f t="shared" si="8"/>
        <v>0</v>
      </c>
      <c r="U39" s="68">
        <f t="shared" si="9"/>
        <v>0</v>
      </c>
      <c r="V39" s="68">
        <f t="shared" si="2"/>
        <v>0</v>
      </c>
    </row>
    <row r="40" spans="2:22" x14ac:dyDescent="0.3">
      <c r="B40" s="64">
        <v>0</v>
      </c>
      <c r="C40" s="58">
        <v>0</v>
      </c>
      <c r="D40" s="59">
        <v>0</v>
      </c>
      <c r="E40" s="59">
        <v>0</v>
      </c>
      <c r="F40" s="59">
        <v>0</v>
      </c>
      <c r="G40" s="59">
        <v>0</v>
      </c>
      <c r="H40" s="59">
        <v>0</v>
      </c>
      <c r="I40" s="47">
        <v>0</v>
      </c>
      <c r="J40" s="48">
        <v>0</v>
      </c>
      <c r="K40" s="48">
        <v>0</v>
      </c>
      <c r="L40" s="48">
        <v>0</v>
      </c>
      <c r="M40" s="48">
        <v>0</v>
      </c>
      <c r="N40" s="48">
        <v>0</v>
      </c>
      <c r="O40" s="79">
        <f t="shared" si="3"/>
        <v>0</v>
      </c>
      <c r="P40" s="74">
        <f t="shared" si="4"/>
        <v>0</v>
      </c>
      <c r="Q40" s="74">
        <f t="shared" si="5"/>
        <v>0</v>
      </c>
      <c r="R40" s="74">
        <f t="shared" si="6"/>
        <v>0</v>
      </c>
      <c r="S40" s="74">
        <f t="shared" si="7"/>
        <v>0</v>
      </c>
      <c r="T40" s="74">
        <f t="shared" si="8"/>
        <v>0</v>
      </c>
      <c r="U40" s="68">
        <f t="shared" si="9"/>
        <v>0</v>
      </c>
      <c r="V40" s="68">
        <f t="shared" si="2"/>
        <v>0</v>
      </c>
    </row>
    <row r="41" spans="2:22" x14ac:dyDescent="0.3">
      <c r="B41" s="64">
        <v>0</v>
      </c>
      <c r="C41" s="58">
        <v>0</v>
      </c>
      <c r="D41" s="59">
        <v>0</v>
      </c>
      <c r="E41" s="59">
        <v>0</v>
      </c>
      <c r="F41" s="59">
        <v>0</v>
      </c>
      <c r="G41" s="59">
        <v>0</v>
      </c>
      <c r="H41" s="59">
        <v>0</v>
      </c>
      <c r="I41" s="47">
        <v>0</v>
      </c>
      <c r="J41" s="48">
        <v>0</v>
      </c>
      <c r="K41" s="48">
        <v>0</v>
      </c>
      <c r="L41" s="48">
        <v>0</v>
      </c>
      <c r="M41" s="48">
        <v>0</v>
      </c>
      <c r="N41" s="48">
        <v>0</v>
      </c>
      <c r="O41" s="79">
        <f t="shared" si="3"/>
        <v>0</v>
      </c>
      <c r="P41" s="74">
        <f t="shared" si="4"/>
        <v>0</v>
      </c>
      <c r="Q41" s="74">
        <f t="shared" si="5"/>
        <v>0</v>
      </c>
      <c r="R41" s="74">
        <f t="shared" si="6"/>
        <v>0</v>
      </c>
      <c r="S41" s="74">
        <f t="shared" si="7"/>
        <v>0</v>
      </c>
      <c r="T41" s="74">
        <f t="shared" si="8"/>
        <v>0</v>
      </c>
      <c r="U41" s="68">
        <f t="shared" si="9"/>
        <v>0</v>
      </c>
      <c r="V41" s="68">
        <f t="shared" si="2"/>
        <v>0</v>
      </c>
    </row>
    <row r="42" spans="2:22" x14ac:dyDescent="0.3">
      <c r="B42" s="64">
        <v>0</v>
      </c>
      <c r="C42" s="58">
        <v>0</v>
      </c>
      <c r="D42" s="59">
        <v>0</v>
      </c>
      <c r="E42" s="59">
        <v>0</v>
      </c>
      <c r="F42" s="59">
        <v>0</v>
      </c>
      <c r="G42" s="59">
        <v>0</v>
      </c>
      <c r="H42" s="59">
        <v>0</v>
      </c>
      <c r="I42" s="47">
        <v>0</v>
      </c>
      <c r="J42" s="48">
        <v>0</v>
      </c>
      <c r="K42" s="48">
        <v>0</v>
      </c>
      <c r="L42" s="48">
        <v>0</v>
      </c>
      <c r="M42" s="48">
        <v>0</v>
      </c>
      <c r="N42" s="48">
        <v>0</v>
      </c>
      <c r="O42" s="79">
        <f t="shared" si="3"/>
        <v>0</v>
      </c>
      <c r="P42" s="74">
        <f t="shared" si="4"/>
        <v>0</v>
      </c>
      <c r="Q42" s="74">
        <f t="shared" si="5"/>
        <v>0</v>
      </c>
      <c r="R42" s="74">
        <f t="shared" si="6"/>
        <v>0</v>
      </c>
      <c r="S42" s="74">
        <f t="shared" si="7"/>
        <v>0</v>
      </c>
      <c r="T42" s="74">
        <f t="shared" si="8"/>
        <v>0</v>
      </c>
      <c r="U42" s="68">
        <f t="shared" si="9"/>
        <v>0</v>
      </c>
      <c r="V42" s="68">
        <f t="shared" si="2"/>
        <v>0</v>
      </c>
    </row>
    <row r="43" spans="2:22" x14ac:dyDescent="0.3">
      <c r="B43" s="64">
        <v>0</v>
      </c>
      <c r="C43" s="58">
        <v>0</v>
      </c>
      <c r="D43" s="59">
        <v>0</v>
      </c>
      <c r="E43" s="59">
        <v>0</v>
      </c>
      <c r="F43" s="59">
        <v>0</v>
      </c>
      <c r="G43" s="59">
        <v>0</v>
      </c>
      <c r="H43" s="59">
        <v>0</v>
      </c>
      <c r="I43" s="47">
        <v>0</v>
      </c>
      <c r="J43" s="48">
        <v>0</v>
      </c>
      <c r="K43" s="48">
        <v>0</v>
      </c>
      <c r="L43" s="48">
        <v>0</v>
      </c>
      <c r="M43" s="48">
        <v>0</v>
      </c>
      <c r="N43" s="48">
        <v>0</v>
      </c>
      <c r="O43" s="79">
        <f t="shared" si="3"/>
        <v>0</v>
      </c>
      <c r="P43" s="74">
        <f t="shared" si="4"/>
        <v>0</v>
      </c>
      <c r="Q43" s="74">
        <f t="shared" si="5"/>
        <v>0</v>
      </c>
      <c r="R43" s="74">
        <f t="shared" si="6"/>
        <v>0</v>
      </c>
      <c r="S43" s="74">
        <f t="shared" si="7"/>
        <v>0</v>
      </c>
      <c r="T43" s="74">
        <f t="shared" si="8"/>
        <v>0</v>
      </c>
      <c r="U43" s="68">
        <f t="shared" si="9"/>
        <v>0</v>
      </c>
      <c r="V43" s="68">
        <f t="shared" si="2"/>
        <v>0</v>
      </c>
    </row>
    <row r="44" spans="2:22" x14ac:dyDescent="0.3">
      <c r="B44" s="64">
        <v>0</v>
      </c>
      <c r="C44" s="58">
        <v>0</v>
      </c>
      <c r="D44" s="59">
        <v>0</v>
      </c>
      <c r="E44" s="59">
        <v>0</v>
      </c>
      <c r="F44" s="59">
        <v>0</v>
      </c>
      <c r="G44" s="59">
        <v>0</v>
      </c>
      <c r="H44" s="59">
        <v>0</v>
      </c>
      <c r="I44" s="47">
        <v>0</v>
      </c>
      <c r="J44" s="48">
        <v>0</v>
      </c>
      <c r="K44" s="48">
        <v>0</v>
      </c>
      <c r="L44" s="48">
        <v>0</v>
      </c>
      <c r="M44" s="48">
        <v>0</v>
      </c>
      <c r="N44" s="48">
        <v>0</v>
      </c>
      <c r="O44" s="79">
        <f t="shared" si="3"/>
        <v>0</v>
      </c>
      <c r="P44" s="74">
        <f t="shared" si="4"/>
        <v>0</v>
      </c>
      <c r="Q44" s="74">
        <f t="shared" si="5"/>
        <v>0</v>
      </c>
      <c r="R44" s="74">
        <f t="shared" si="6"/>
        <v>0</v>
      </c>
      <c r="S44" s="74">
        <f t="shared" si="7"/>
        <v>0</v>
      </c>
      <c r="T44" s="74">
        <f t="shared" si="8"/>
        <v>0</v>
      </c>
      <c r="U44" s="68">
        <f t="shared" si="9"/>
        <v>0</v>
      </c>
      <c r="V44" s="68">
        <f t="shared" si="2"/>
        <v>0</v>
      </c>
    </row>
    <row r="45" spans="2:22" x14ac:dyDescent="0.3">
      <c r="B45" s="64">
        <v>0</v>
      </c>
      <c r="C45" s="58">
        <v>0</v>
      </c>
      <c r="D45" s="59">
        <v>0</v>
      </c>
      <c r="E45" s="59">
        <v>0</v>
      </c>
      <c r="F45" s="59">
        <v>0</v>
      </c>
      <c r="G45" s="59">
        <v>0</v>
      </c>
      <c r="H45" s="59">
        <v>0</v>
      </c>
      <c r="I45" s="47">
        <v>0</v>
      </c>
      <c r="J45" s="48">
        <v>0</v>
      </c>
      <c r="K45" s="48">
        <v>0</v>
      </c>
      <c r="L45" s="48">
        <v>0</v>
      </c>
      <c r="M45" s="48">
        <v>0</v>
      </c>
      <c r="N45" s="48">
        <v>0</v>
      </c>
      <c r="O45" s="79">
        <f t="shared" si="3"/>
        <v>0</v>
      </c>
      <c r="P45" s="74">
        <f t="shared" si="4"/>
        <v>0</v>
      </c>
      <c r="Q45" s="74">
        <f t="shared" si="5"/>
        <v>0</v>
      </c>
      <c r="R45" s="74">
        <f t="shared" si="6"/>
        <v>0</v>
      </c>
      <c r="S45" s="74">
        <f t="shared" si="7"/>
        <v>0</v>
      </c>
      <c r="T45" s="74">
        <f t="shared" si="8"/>
        <v>0</v>
      </c>
      <c r="U45" s="68">
        <f t="shared" si="9"/>
        <v>0</v>
      </c>
      <c r="V45" s="68">
        <f t="shared" si="2"/>
        <v>0</v>
      </c>
    </row>
    <row r="46" spans="2:22" x14ac:dyDescent="0.3">
      <c r="B46" s="64">
        <v>0</v>
      </c>
      <c r="C46" s="58">
        <v>0</v>
      </c>
      <c r="D46" s="59">
        <v>0</v>
      </c>
      <c r="E46" s="59">
        <v>0</v>
      </c>
      <c r="F46" s="59">
        <v>0</v>
      </c>
      <c r="G46" s="59">
        <v>0</v>
      </c>
      <c r="H46" s="59">
        <v>0</v>
      </c>
      <c r="I46" s="47">
        <v>0</v>
      </c>
      <c r="J46" s="48">
        <v>0</v>
      </c>
      <c r="K46" s="48">
        <v>0</v>
      </c>
      <c r="L46" s="48">
        <v>0</v>
      </c>
      <c r="M46" s="48">
        <v>0</v>
      </c>
      <c r="N46" s="48">
        <v>0</v>
      </c>
      <c r="O46" s="79">
        <f t="shared" si="3"/>
        <v>0</v>
      </c>
      <c r="P46" s="74">
        <f t="shared" si="4"/>
        <v>0</v>
      </c>
      <c r="Q46" s="74">
        <f t="shared" si="5"/>
        <v>0</v>
      </c>
      <c r="R46" s="74">
        <f t="shared" si="6"/>
        <v>0</v>
      </c>
      <c r="S46" s="74">
        <f t="shared" si="7"/>
        <v>0</v>
      </c>
      <c r="T46" s="74">
        <f t="shared" si="8"/>
        <v>0</v>
      </c>
      <c r="U46" s="68">
        <f t="shared" si="9"/>
        <v>0</v>
      </c>
      <c r="V46" s="68">
        <f t="shared" si="2"/>
        <v>0</v>
      </c>
    </row>
    <row r="47" spans="2:22" x14ac:dyDescent="0.3">
      <c r="B47" s="64">
        <v>0</v>
      </c>
      <c r="C47" s="58">
        <v>0</v>
      </c>
      <c r="D47" s="59">
        <v>0</v>
      </c>
      <c r="E47" s="59">
        <v>0</v>
      </c>
      <c r="F47" s="59">
        <v>0</v>
      </c>
      <c r="G47" s="59">
        <v>0</v>
      </c>
      <c r="H47" s="59">
        <v>0</v>
      </c>
      <c r="I47" s="47">
        <v>0</v>
      </c>
      <c r="J47" s="48">
        <v>0</v>
      </c>
      <c r="K47" s="48">
        <v>0</v>
      </c>
      <c r="L47" s="48">
        <v>0</v>
      </c>
      <c r="M47" s="48">
        <v>0</v>
      </c>
      <c r="N47" s="48">
        <v>0</v>
      </c>
      <c r="O47" s="79">
        <f t="shared" si="3"/>
        <v>0</v>
      </c>
      <c r="P47" s="74">
        <f t="shared" si="4"/>
        <v>0</v>
      </c>
      <c r="Q47" s="74">
        <f t="shared" si="5"/>
        <v>0</v>
      </c>
      <c r="R47" s="74">
        <f t="shared" si="6"/>
        <v>0</v>
      </c>
      <c r="S47" s="74">
        <f t="shared" si="7"/>
        <v>0</v>
      </c>
      <c r="T47" s="74">
        <f t="shared" si="8"/>
        <v>0</v>
      </c>
      <c r="U47" s="68">
        <f t="shared" si="9"/>
        <v>0</v>
      </c>
      <c r="V47" s="68">
        <f t="shared" si="2"/>
        <v>0</v>
      </c>
    </row>
    <row r="48" spans="2:22" x14ac:dyDescent="0.3">
      <c r="B48" s="64">
        <v>0</v>
      </c>
      <c r="C48" s="58">
        <v>0</v>
      </c>
      <c r="D48" s="59">
        <v>0</v>
      </c>
      <c r="E48" s="59">
        <v>0</v>
      </c>
      <c r="F48" s="59">
        <v>0</v>
      </c>
      <c r="G48" s="59">
        <v>0</v>
      </c>
      <c r="H48" s="59">
        <v>0</v>
      </c>
      <c r="I48" s="47">
        <v>0</v>
      </c>
      <c r="J48" s="48">
        <v>0</v>
      </c>
      <c r="K48" s="48">
        <v>0</v>
      </c>
      <c r="L48" s="48">
        <v>0</v>
      </c>
      <c r="M48" s="48">
        <v>0</v>
      </c>
      <c r="N48" s="48">
        <v>0</v>
      </c>
      <c r="O48" s="79">
        <f t="shared" si="3"/>
        <v>0</v>
      </c>
      <c r="P48" s="74">
        <f t="shared" si="4"/>
        <v>0</v>
      </c>
      <c r="Q48" s="74">
        <f t="shared" si="5"/>
        <v>0</v>
      </c>
      <c r="R48" s="74">
        <f t="shared" si="6"/>
        <v>0</v>
      </c>
      <c r="S48" s="74">
        <f t="shared" si="7"/>
        <v>0</v>
      </c>
      <c r="T48" s="74">
        <f t="shared" si="8"/>
        <v>0</v>
      </c>
      <c r="U48" s="68">
        <f t="shared" si="9"/>
        <v>0</v>
      </c>
      <c r="V48" s="68">
        <f t="shared" si="2"/>
        <v>0</v>
      </c>
    </row>
    <row r="49" spans="2:22" x14ac:dyDescent="0.3">
      <c r="B49" s="64">
        <v>0</v>
      </c>
      <c r="C49" s="58">
        <v>0</v>
      </c>
      <c r="D49" s="59">
        <v>0</v>
      </c>
      <c r="E49" s="59">
        <v>0</v>
      </c>
      <c r="F49" s="59">
        <v>0</v>
      </c>
      <c r="G49" s="59">
        <v>0</v>
      </c>
      <c r="H49" s="59">
        <v>0</v>
      </c>
      <c r="I49" s="47">
        <v>0</v>
      </c>
      <c r="J49" s="48">
        <v>0</v>
      </c>
      <c r="K49" s="48">
        <v>0</v>
      </c>
      <c r="L49" s="48">
        <v>0</v>
      </c>
      <c r="M49" s="48">
        <v>0</v>
      </c>
      <c r="N49" s="48">
        <v>0</v>
      </c>
      <c r="O49" s="79">
        <f t="shared" si="3"/>
        <v>0</v>
      </c>
      <c r="P49" s="74">
        <f t="shared" si="4"/>
        <v>0</v>
      </c>
      <c r="Q49" s="74">
        <f t="shared" si="5"/>
        <v>0</v>
      </c>
      <c r="R49" s="74">
        <f t="shared" si="6"/>
        <v>0</v>
      </c>
      <c r="S49" s="74">
        <f t="shared" si="7"/>
        <v>0</v>
      </c>
      <c r="T49" s="74">
        <f t="shared" si="8"/>
        <v>0</v>
      </c>
      <c r="U49" s="68">
        <f t="shared" si="9"/>
        <v>0</v>
      </c>
      <c r="V49" s="68">
        <f t="shared" si="2"/>
        <v>0</v>
      </c>
    </row>
    <row r="50" spans="2:22" x14ac:dyDescent="0.3">
      <c r="B50" s="64">
        <v>0</v>
      </c>
      <c r="C50" s="58">
        <v>0</v>
      </c>
      <c r="D50" s="59">
        <v>0</v>
      </c>
      <c r="E50" s="59">
        <v>0</v>
      </c>
      <c r="F50" s="59">
        <v>0</v>
      </c>
      <c r="G50" s="59">
        <v>0</v>
      </c>
      <c r="H50" s="59">
        <v>0</v>
      </c>
      <c r="I50" s="47">
        <v>0</v>
      </c>
      <c r="J50" s="48">
        <v>0</v>
      </c>
      <c r="K50" s="48">
        <v>0</v>
      </c>
      <c r="L50" s="48">
        <v>0</v>
      </c>
      <c r="M50" s="48">
        <v>0</v>
      </c>
      <c r="N50" s="48">
        <v>0</v>
      </c>
      <c r="O50" s="79">
        <f t="shared" si="3"/>
        <v>0</v>
      </c>
      <c r="P50" s="74">
        <f t="shared" si="4"/>
        <v>0</v>
      </c>
      <c r="Q50" s="74">
        <f t="shared" si="5"/>
        <v>0</v>
      </c>
      <c r="R50" s="74">
        <f t="shared" si="6"/>
        <v>0</v>
      </c>
      <c r="S50" s="74">
        <f t="shared" si="7"/>
        <v>0</v>
      </c>
      <c r="T50" s="74">
        <f t="shared" si="8"/>
        <v>0</v>
      </c>
      <c r="U50" s="68">
        <f t="shared" si="9"/>
        <v>0</v>
      </c>
      <c r="V50" s="68">
        <f t="shared" si="2"/>
        <v>0</v>
      </c>
    </row>
    <row r="51" spans="2:22" x14ac:dyDescent="0.3">
      <c r="B51" s="64">
        <v>0</v>
      </c>
      <c r="C51" s="58">
        <v>0</v>
      </c>
      <c r="D51" s="59">
        <v>0</v>
      </c>
      <c r="E51" s="59">
        <v>0</v>
      </c>
      <c r="F51" s="59">
        <v>0</v>
      </c>
      <c r="G51" s="59">
        <v>0</v>
      </c>
      <c r="H51" s="59">
        <v>0</v>
      </c>
      <c r="I51" s="47">
        <v>0</v>
      </c>
      <c r="J51" s="48">
        <v>0</v>
      </c>
      <c r="K51" s="48">
        <v>0</v>
      </c>
      <c r="L51" s="48">
        <v>0</v>
      </c>
      <c r="M51" s="48">
        <v>0</v>
      </c>
      <c r="N51" s="48">
        <v>0</v>
      </c>
      <c r="O51" s="79">
        <f t="shared" si="3"/>
        <v>0</v>
      </c>
      <c r="P51" s="74">
        <f t="shared" si="4"/>
        <v>0</v>
      </c>
      <c r="Q51" s="74">
        <f t="shared" si="5"/>
        <v>0</v>
      </c>
      <c r="R51" s="74">
        <f t="shared" si="6"/>
        <v>0</v>
      </c>
      <c r="S51" s="74">
        <f t="shared" si="7"/>
        <v>0</v>
      </c>
      <c r="T51" s="74">
        <f t="shared" si="8"/>
        <v>0</v>
      </c>
      <c r="U51" s="68">
        <f t="shared" si="9"/>
        <v>0</v>
      </c>
      <c r="V51" s="68">
        <f t="shared" si="2"/>
        <v>0</v>
      </c>
    </row>
    <row r="52" spans="2:22" x14ac:dyDescent="0.3">
      <c r="B52" s="64">
        <v>0</v>
      </c>
      <c r="C52" s="58">
        <v>0</v>
      </c>
      <c r="D52" s="59">
        <v>0</v>
      </c>
      <c r="E52" s="59">
        <v>0</v>
      </c>
      <c r="F52" s="59">
        <v>0</v>
      </c>
      <c r="G52" s="59">
        <v>0</v>
      </c>
      <c r="H52" s="59">
        <v>0</v>
      </c>
      <c r="I52" s="47">
        <v>0</v>
      </c>
      <c r="J52" s="48">
        <v>0</v>
      </c>
      <c r="K52" s="48">
        <v>0</v>
      </c>
      <c r="L52" s="48">
        <v>0</v>
      </c>
      <c r="M52" s="48">
        <v>0</v>
      </c>
      <c r="N52" s="48">
        <v>0</v>
      </c>
      <c r="O52" s="79">
        <f t="shared" si="3"/>
        <v>0</v>
      </c>
      <c r="P52" s="74">
        <f t="shared" si="4"/>
        <v>0</v>
      </c>
      <c r="Q52" s="74">
        <f t="shared" si="5"/>
        <v>0</v>
      </c>
      <c r="R52" s="74">
        <f t="shared" si="6"/>
        <v>0</v>
      </c>
      <c r="S52" s="74">
        <f t="shared" si="7"/>
        <v>0</v>
      </c>
      <c r="T52" s="74">
        <f t="shared" si="8"/>
        <v>0</v>
      </c>
      <c r="U52" s="68">
        <f t="shared" si="9"/>
        <v>0</v>
      </c>
      <c r="V52" s="68">
        <f t="shared" si="2"/>
        <v>0</v>
      </c>
    </row>
    <row r="53" spans="2:22" x14ac:dyDescent="0.3">
      <c r="B53" s="64">
        <v>0</v>
      </c>
      <c r="C53" s="58">
        <v>0</v>
      </c>
      <c r="D53" s="59">
        <v>0</v>
      </c>
      <c r="E53" s="59">
        <v>0</v>
      </c>
      <c r="F53" s="59">
        <v>0</v>
      </c>
      <c r="G53" s="59">
        <v>0</v>
      </c>
      <c r="H53" s="59">
        <v>0</v>
      </c>
      <c r="I53" s="47">
        <v>0</v>
      </c>
      <c r="J53" s="48">
        <v>0</v>
      </c>
      <c r="K53" s="48">
        <v>0</v>
      </c>
      <c r="L53" s="48">
        <v>0</v>
      </c>
      <c r="M53" s="48">
        <v>0</v>
      </c>
      <c r="N53" s="48">
        <v>0</v>
      </c>
      <c r="O53" s="79">
        <f t="shared" si="3"/>
        <v>0</v>
      </c>
      <c r="P53" s="74">
        <f t="shared" si="4"/>
        <v>0</v>
      </c>
      <c r="Q53" s="74">
        <f t="shared" si="5"/>
        <v>0</v>
      </c>
      <c r="R53" s="74">
        <f t="shared" si="6"/>
        <v>0</v>
      </c>
      <c r="S53" s="74">
        <f t="shared" si="7"/>
        <v>0</v>
      </c>
      <c r="T53" s="74">
        <f t="shared" si="8"/>
        <v>0</v>
      </c>
      <c r="U53" s="68">
        <f t="shared" si="9"/>
        <v>0</v>
      </c>
      <c r="V53" s="68">
        <f t="shared" si="2"/>
        <v>0</v>
      </c>
    </row>
    <row r="54" spans="2:22" x14ac:dyDescent="0.3">
      <c r="B54" s="64">
        <v>0</v>
      </c>
      <c r="C54" s="58">
        <v>0</v>
      </c>
      <c r="D54" s="59">
        <v>0</v>
      </c>
      <c r="E54" s="59">
        <v>0</v>
      </c>
      <c r="F54" s="59">
        <v>0</v>
      </c>
      <c r="G54" s="59">
        <v>0</v>
      </c>
      <c r="H54" s="59">
        <v>0</v>
      </c>
      <c r="I54" s="47">
        <v>0</v>
      </c>
      <c r="J54" s="48">
        <v>0</v>
      </c>
      <c r="K54" s="48">
        <v>0</v>
      </c>
      <c r="L54" s="48">
        <v>0</v>
      </c>
      <c r="M54" s="48">
        <v>0</v>
      </c>
      <c r="N54" s="48">
        <v>0</v>
      </c>
      <c r="O54" s="79">
        <f t="shared" si="3"/>
        <v>0</v>
      </c>
      <c r="P54" s="74">
        <f t="shared" si="4"/>
        <v>0</v>
      </c>
      <c r="Q54" s="74">
        <f t="shared" si="5"/>
        <v>0</v>
      </c>
      <c r="R54" s="74">
        <f t="shared" si="6"/>
        <v>0</v>
      </c>
      <c r="S54" s="74">
        <f t="shared" si="7"/>
        <v>0</v>
      </c>
      <c r="T54" s="74">
        <f t="shared" si="8"/>
        <v>0</v>
      </c>
      <c r="U54" s="68">
        <f t="shared" si="9"/>
        <v>0</v>
      </c>
      <c r="V54" s="68">
        <f t="shared" si="2"/>
        <v>0</v>
      </c>
    </row>
    <row r="55" spans="2:22" x14ac:dyDescent="0.3">
      <c r="B55" s="64">
        <v>0</v>
      </c>
      <c r="C55" s="58">
        <v>0</v>
      </c>
      <c r="D55" s="59">
        <v>0</v>
      </c>
      <c r="E55" s="59">
        <v>0</v>
      </c>
      <c r="F55" s="59">
        <v>0</v>
      </c>
      <c r="G55" s="59">
        <v>0</v>
      </c>
      <c r="H55" s="59">
        <v>0</v>
      </c>
      <c r="I55" s="47">
        <v>0</v>
      </c>
      <c r="J55" s="48">
        <v>0</v>
      </c>
      <c r="K55" s="48">
        <v>0</v>
      </c>
      <c r="L55" s="48">
        <v>0</v>
      </c>
      <c r="M55" s="48">
        <v>0</v>
      </c>
      <c r="N55" s="48">
        <v>0</v>
      </c>
      <c r="O55" s="79">
        <f t="shared" si="3"/>
        <v>0</v>
      </c>
      <c r="P55" s="74">
        <f t="shared" si="4"/>
        <v>0</v>
      </c>
      <c r="Q55" s="74">
        <f t="shared" si="5"/>
        <v>0</v>
      </c>
      <c r="R55" s="74">
        <f t="shared" si="6"/>
        <v>0</v>
      </c>
      <c r="S55" s="74">
        <f t="shared" si="7"/>
        <v>0</v>
      </c>
      <c r="T55" s="74">
        <f t="shared" si="8"/>
        <v>0</v>
      </c>
      <c r="U55" s="68">
        <f t="shared" si="9"/>
        <v>0</v>
      </c>
      <c r="V55" s="68">
        <f t="shared" si="2"/>
        <v>0</v>
      </c>
    </row>
    <row r="56" spans="2:22" x14ac:dyDescent="0.3">
      <c r="B56" s="64">
        <v>0</v>
      </c>
      <c r="C56" s="58">
        <v>0</v>
      </c>
      <c r="D56" s="59">
        <v>0</v>
      </c>
      <c r="E56" s="59">
        <v>0</v>
      </c>
      <c r="F56" s="59">
        <v>0</v>
      </c>
      <c r="G56" s="59">
        <v>0</v>
      </c>
      <c r="H56" s="59">
        <v>0</v>
      </c>
      <c r="I56" s="47">
        <v>0</v>
      </c>
      <c r="J56" s="48">
        <v>0</v>
      </c>
      <c r="K56" s="48">
        <v>0</v>
      </c>
      <c r="L56" s="48">
        <v>0</v>
      </c>
      <c r="M56" s="48">
        <v>0</v>
      </c>
      <c r="N56" s="48">
        <v>0</v>
      </c>
      <c r="O56" s="79">
        <f t="shared" si="3"/>
        <v>0</v>
      </c>
      <c r="P56" s="74">
        <f t="shared" si="4"/>
        <v>0</v>
      </c>
      <c r="Q56" s="74">
        <f t="shared" si="5"/>
        <v>0</v>
      </c>
      <c r="R56" s="74">
        <f t="shared" si="6"/>
        <v>0</v>
      </c>
      <c r="S56" s="74">
        <f t="shared" si="7"/>
        <v>0</v>
      </c>
      <c r="T56" s="74">
        <f t="shared" si="8"/>
        <v>0</v>
      </c>
      <c r="U56" s="68">
        <f t="shared" si="9"/>
        <v>0</v>
      </c>
      <c r="V56" s="68">
        <f t="shared" si="2"/>
        <v>0</v>
      </c>
    </row>
  </sheetData>
  <sortState ref="A2:U8">
    <sortCondition ref="A2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72"/>
  <sheetViews>
    <sheetView tabSelected="1" zoomScaleNormal="100" workbookViewId="0">
      <selection activeCell="D1" sqref="D1"/>
    </sheetView>
  </sheetViews>
  <sheetFormatPr defaultColWidth="9.109375" defaultRowHeight="12" x14ac:dyDescent="0.25"/>
  <cols>
    <col min="1" max="1" width="29.109375" style="3" customWidth="1"/>
    <col min="2" max="4" width="16.109375" style="4" customWidth="1"/>
    <col min="5" max="5" width="15.33203125" style="4" customWidth="1"/>
    <col min="6" max="16384" width="9.109375" style="3"/>
  </cols>
  <sheetData>
    <row r="1" spans="1:6" s="28" customFormat="1" ht="26.25" customHeight="1" x14ac:dyDescent="0.25">
      <c r="A1" s="81" t="s">
        <v>36</v>
      </c>
      <c r="B1" s="81"/>
      <c r="C1" s="33"/>
    </row>
    <row r="2" spans="1:6" ht="15.75" customHeight="1" x14ac:dyDescent="0.3">
      <c r="A2" s="25" t="s">
        <v>12</v>
      </c>
      <c r="B2" s="26"/>
      <c r="C2" s="25" t="s">
        <v>13</v>
      </c>
      <c r="D2" s="26"/>
      <c r="E2" s="27"/>
    </row>
    <row r="3" spans="1:6" s="31" customFormat="1" ht="15.75" customHeight="1" thickBot="1" x14ac:dyDescent="0.3">
      <c r="A3" s="32" t="s">
        <v>18</v>
      </c>
      <c r="B3" s="29"/>
      <c r="C3" s="32" t="s">
        <v>14</v>
      </c>
      <c r="D3" s="29">
        <v>1</v>
      </c>
      <c r="E3" s="30"/>
    </row>
    <row r="4" spans="1:6" s="92" customFormat="1" ht="6.75" thickTop="1" x14ac:dyDescent="0.15">
      <c r="C4" s="93"/>
      <c r="D4" s="93"/>
      <c r="E4" s="93"/>
    </row>
    <row r="5" spans="1:6" ht="15" x14ac:dyDescent="0.25">
      <c r="A5" s="2" t="s">
        <v>54</v>
      </c>
    </row>
    <row r="6" spans="1:6" ht="24" customHeight="1" x14ac:dyDescent="0.25">
      <c r="A6" s="80" t="s">
        <v>17</v>
      </c>
      <c r="B6" s="82" t="s">
        <v>15</v>
      </c>
      <c r="C6" s="102" t="s">
        <v>51</v>
      </c>
      <c r="D6" s="102" t="s">
        <v>52</v>
      </c>
      <c r="E6" s="5" t="s">
        <v>6</v>
      </c>
    </row>
    <row r="7" spans="1:6" x14ac:dyDescent="0.2">
      <c r="A7" s="3" t="s">
        <v>48</v>
      </c>
      <c r="B7" s="17">
        <v>1</v>
      </c>
      <c r="C7" s="19">
        <f>IF(ISERROR(VLOOKUP(A7,'Input Teaching data here'!$A$2:$V$560,21,FALSE)*B7), "0",(VLOOKUP(A7,'Input Teaching data here'!$A$2:$V$560,21,FALSE)*B7))</f>
        <v>64</v>
      </c>
      <c r="D7" s="19">
        <f>C7</f>
        <v>64</v>
      </c>
      <c r="E7" s="20">
        <f t="shared" ref="E7:E15" si="0">SUM(C7:D7)</f>
        <v>128</v>
      </c>
      <c r="F7" s="83"/>
    </row>
    <row r="8" spans="1:6" x14ac:dyDescent="0.2">
      <c r="A8" s="3" t="s">
        <v>49</v>
      </c>
      <c r="B8" s="17">
        <v>0.5</v>
      </c>
      <c r="C8" s="19">
        <f>IF(ISERROR(VLOOKUP(A8,'Input Teaching data here'!$A$2:$V$560,21,FALSE)*B8), "0",(VLOOKUP(A8,'Input Teaching data here'!$A$2:$V$560,21,FALSE)*B8))</f>
        <v>28</v>
      </c>
      <c r="D8" s="19">
        <f t="shared" ref="D8:D15" si="1">C8</f>
        <v>28</v>
      </c>
      <c r="E8" s="20">
        <f t="shared" si="0"/>
        <v>56</v>
      </c>
      <c r="F8" s="83"/>
    </row>
    <row r="9" spans="1:6" x14ac:dyDescent="0.2">
      <c r="B9" s="17">
        <v>1</v>
      </c>
      <c r="C9" s="19" t="str">
        <f>IF(ISERROR(VLOOKUP(A9,'Input Teaching data here'!$A$2:$V$560,21,FALSE)*B9), "0",(VLOOKUP(A9,'Input Teaching data here'!$A$2:$V$560,21,FALSE)*B9))</f>
        <v>0</v>
      </c>
      <c r="D9" s="19" t="str">
        <f t="shared" si="1"/>
        <v>0</v>
      </c>
      <c r="E9" s="20">
        <f t="shared" si="0"/>
        <v>0</v>
      </c>
      <c r="F9" s="83"/>
    </row>
    <row r="10" spans="1:6" x14ac:dyDescent="0.2">
      <c r="B10" s="17">
        <v>1</v>
      </c>
      <c r="C10" s="19" t="str">
        <f>IF(ISERROR(VLOOKUP(A10,'Input Teaching data here'!$A$2:$V$560,21,FALSE)*B10), "0",(VLOOKUP(A10,'Input Teaching data here'!$A$2:$V$560,21,FALSE)*B10))</f>
        <v>0</v>
      </c>
      <c r="D10" s="19" t="str">
        <f t="shared" si="1"/>
        <v>0</v>
      </c>
      <c r="E10" s="20">
        <f t="shared" si="0"/>
        <v>0</v>
      </c>
      <c r="F10" s="83"/>
    </row>
    <row r="11" spans="1:6" x14ac:dyDescent="0.2">
      <c r="B11" s="17">
        <v>1</v>
      </c>
      <c r="C11" s="19" t="str">
        <f>IF(ISERROR(VLOOKUP(A11,'Input Teaching data here'!$A$2:$V$560,21,FALSE)*B11), "0",(VLOOKUP(A11,'Input Teaching data here'!$A$2:$V$560,21,FALSE)*B11))</f>
        <v>0</v>
      </c>
      <c r="D11" s="19" t="str">
        <f t="shared" si="1"/>
        <v>0</v>
      </c>
      <c r="E11" s="20">
        <f t="shared" si="0"/>
        <v>0</v>
      </c>
      <c r="F11" s="83"/>
    </row>
    <row r="12" spans="1:6" x14ac:dyDescent="0.2">
      <c r="B12" s="17">
        <v>1</v>
      </c>
      <c r="C12" s="19" t="str">
        <f>IF(ISERROR(VLOOKUP(A12,'Input Teaching data here'!$A$2:$V$560,21,FALSE)*B12), "0",(VLOOKUP(A12,'Input Teaching data here'!$A$2:$V$560,21,FALSE)*B12))</f>
        <v>0</v>
      </c>
      <c r="D12" s="19" t="str">
        <f t="shared" si="1"/>
        <v>0</v>
      </c>
      <c r="E12" s="20">
        <f t="shared" si="0"/>
        <v>0</v>
      </c>
      <c r="F12" s="83"/>
    </row>
    <row r="13" spans="1:6" x14ac:dyDescent="0.2">
      <c r="B13" s="17">
        <v>1</v>
      </c>
      <c r="C13" s="19" t="str">
        <f>IF(ISERROR(VLOOKUP(A13,'Input Teaching data here'!$A$2:$V$560,21,FALSE)*B13), "0",(VLOOKUP(A13,'Input Teaching data here'!$A$2:$V$560,21,FALSE)*B13))</f>
        <v>0</v>
      </c>
      <c r="D13" s="19" t="str">
        <f t="shared" si="1"/>
        <v>0</v>
      </c>
      <c r="E13" s="20">
        <f t="shared" si="0"/>
        <v>0</v>
      </c>
      <c r="F13" s="83"/>
    </row>
    <row r="14" spans="1:6" x14ac:dyDescent="0.2">
      <c r="B14" s="17">
        <v>1</v>
      </c>
      <c r="C14" s="19" t="str">
        <f>IF(ISERROR(VLOOKUP(A14,'Input Teaching data here'!$A$2:$V$560,21,FALSE)*B14), "0",(VLOOKUP(A14,'Input Teaching data here'!$A$2:$V$560,21,FALSE)*B14))</f>
        <v>0</v>
      </c>
      <c r="D14" s="19" t="str">
        <f t="shared" si="1"/>
        <v>0</v>
      </c>
      <c r="E14" s="20">
        <f t="shared" si="0"/>
        <v>0</v>
      </c>
      <c r="F14" s="83"/>
    </row>
    <row r="15" spans="1:6" x14ac:dyDescent="0.2">
      <c r="A15" s="6"/>
      <c r="B15" s="17">
        <v>1</v>
      </c>
      <c r="C15" s="19" t="str">
        <f>IF(ISERROR(VLOOKUP(A15,'Input Teaching data here'!$A$2:$V$560,21,FALSE)*B15), "0",(VLOOKUP(A15,'Input Teaching data here'!$A$2:$V$560,21,FALSE)*B15))</f>
        <v>0</v>
      </c>
      <c r="D15" s="19" t="str">
        <f t="shared" si="1"/>
        <v>0</v>
      </c>
      <c r="E15" s="20">
        <f t="shared" si="0"/>
        <v>0</v>
      </c>
      <c r="F15" s="83"/>
    </row>
    <row r="16" spans="1:6" ht="12.75" thickBot="1" x14ac:dyDescent="0.25">
      <c r="A16" s="8"/>
      <c r="B16" s="9"/>
      <c r="C16" s="21">
        <f>SUM(C7:C15)</f>
        <v>92</v>
      </c>
      <c r="D16" s="21">
        <f>SUM(D7:D15)</f>
        <v>92</v>
      </c>
      <c r="E16" s="22">
        <f t="shared" ref="E16" si="2">SUM(B16:D16)</f>
        <v>184</v>
      </c>
      <c r="F16" s="83"/>
    </row>
    <row r="17" spans="1:5" s="97" customFormat="1" ht="6.75" thickTop="1" x14ac:dyDescent="0.15">
      <c r="B17" s="98"/>
      <c r="C17" s="98">
        <f>D3*450</f>
        <v>450</v>
      </c>
      <c r="D17" s="98"/>
      <c r="E17" s="98"/>
    </row>
    <row r="18" spans="1:5" ht="15" x14ac:dyDescent="0.25">
      <c r="A18" s="2" t="s">
        <v>53</v>
      </c>
    </row>
    <row r="19" spans="1:5" x14ac:dyDescent="0.25">
      <c r="A19" s="108" t="s">
        <v>65</v>
      </c>
      <c r="B19" s="108"/>
      <c r="C19" s="108"/>
      <c r="D19" s="107"/>
      <c r="E19" s="20">
        <v>0</v>
      </c>
    </row>
    <row r="20" spans="1:5" x14ac:dyDescent="0.25">
      <c r="A20" s="34"/>
      <c r="B20" s="34"/>
      <c r="C20" s="34"/>
      <c r="D20" s="35" t="s">
        <v>68</v>
      </c>
      <c r="E20" s="20">
        <v>0</v>
      </c>
    </row>
    <row r="21" spans="1:5" x14ac:dyDescent="0.25">
      <c r="A21" s="108" t="s">
        <v>66</v>
      </c>
      <c r="B21" s="108"/>
      <c r="C21" s="108"/>
      <c r="D21" s="107"/>
      <c r="E21" s="20">
        <v>0</v>
      </c>
    </row>
    <row r="22" spans="1:5" x14ac:dyDescent="0.2">
      <c r="A22" s="10"/>
      <c r="B22" s="10"/>
      <c r="C22" s="10"/>
      <c r="D22" s="11" t="s">
        <v>67</v>
      </c>
      <c r="E22" s="20">
        <v>0</v>
      </c>
    </row>
    <row r="23" spans="1:5" x14ac:dyDescent="0.2">
      <c r="A23" s="101"/>
      <c r="B23" s="101"/>
      <c r="C23" s="101"/>
      <c r="D23" s="100" t="s">
        <v>35</v>
      </c>
      <c r="E23" s="20">
        <v>0</v>
      </c>
    </row>
    <row r="24" spans="1:5" x14ac:dyDescent="0.2">
      <c r="A24" s="101"/>
      <c r="B24" s="101"/>
      <c r="C24" s="101"/>
      <c r="D24" s="100" t="s">
        <v>69</v>
      </c>
      <c r="E24" s="20">
        <v>0</v>
      </c>
    </row>
    <row r="25" spans="1:5" x14ac:dyDescent="0.2">
      <c r="A25" s="108" t="s">
        <v>70</v>
      </c>
      <c r="B25" s="108"/>
      <c r="C25" s="108"/>
      <c r="D25" s="107"/>
      <c r="E25" s="20">
        <v>0</v>
      </c>
    </row>
    <row r="26" spans="1:5" x14ac:dyDescent="0.2">
      <c r="A26" s="105"/>
      <c r="B26" s="105"/>
      <c r="C26" s="105"/>
      <c r="D26" s="104" t="s">
        <v>71</v>
      </c>
      <c r="E26" s="20">
        <v>0</v>
      </c>
    </row>
    <row r="27" spans="1:5" x14ac:dyDescent="0.2">
      <c r="A27" s="109"/>
      <c r="B27" s="109"/>
      <c r="C27" s="109"/>
      <c r="D27" s="110"/>
      <c r="E27" s="20">
        <v>0</v>
      </c>
    </row>
    <row r="28" spans="1:5" ht="12.6" thickBot="1" x14ac:dyDescent="0.3">
      <c r="A28" s="111" t="s">
        <v>6</v>
      </c>
      <c r="B28" s="111"/>
      <c r="C28" s="111"/>
      <c r="D28" s="112"/>
      <c r="E28" s="23">
        <f>SUM(E19:E27)</f>
        <v>0</v>
      </c>
    </row>
    <row r="29" spans="1:5" s="92" customFormat="1" ht="6" thickTop="1" x14ac:dyDescent="0.15">
      <c r="A29" s="95"/>
      <c r="B29" s="96"/>
      <c r="C29" s="96"/>
      <c r="D29" s="96"/>
      <c r="E29" s="96"/>
    </row>
    <row r="30" spans="1:5" ht="14.4" x14ac:dyDescent="0.3">
      <c r="A30" s="2" t="s">
        <v>55</v>
      </c>
    </row>
    <row r="31" spans="1:5" x14ac:dyDescent="0.25">
      <c r="B31" s="18"/>
      <c r="C31" s="18"/>
      <c r="D31" s="18" t="s">
        <v>59</v>
      </c>
      <c r="E31" s="20">
        <v>0</v>
      </c>
    </row>
    <row r="32" spans="1:5" x14ac:dyDescent="0.25">
      <c r="A32" s="106" t="s">
        <v>7</v>
      </c>
      <c r="B32" s="106"/>
      <c r="C32" s="106"/>
      <c r="D32" s="107"/>
      <c r="E32" s="20">
        <v>0</v>
      </c>
    </row>
    <row r="33" spans="1:5" x14ac:dyDescent="0.25">
      <c r="A33" s="106" t="s">
        <v>38</v>
      </c>
      <c r="B33" s="106"/>
      <c r="C33" s="106"/>
      <c r="D33" s="107"/>
      <c r="E33" s="24">
        <v>0</v>
      </c>
    </row>
    <row r="34" spans="1:5" x14ac:dyDescent="0.25">
      <c r="A34" s="106" t="s">
        <v>39</v>
      </c>
      <c r="B34" s="106"/>
      <c r="C34" s="106"/>
      <c r="D34" s="107"/>
      <c r="E34" s="24">
        <v>0</v>
      </c>
    </row>
    <row r="35" spans="1:5" x14ac:dyDescent="0.25">
      <c r="A35" s="106" t="s">
        <v>40</v>
      </c>
      <c r="B35" s="106"/>
      <c r="C35" s="106"/>
      <c r="D35" s="107"/>
      <c r="E35" s="24">
        <v>0</v>
      </c>
    </row>
    <row r="36" spans="1:5" x14ac:dyDescent="0.25">
      <c r="A36" s="106" t="s">
        <v>60</v>
      </c>
      <c r="B36" s="106"/>
      <c r="C36" s="106"/>
      <c r="D36" s="107"/>
      <c r="E36" s="24">
        <v>0</v>
      </c>
    </row>
    <row r="37" spans="1:5" x14ac:dyDescent="0.25">
      <c r="A37" s="106" t="s">
        <v>41</v>
      </c>
      <c r="B37" s="106"/>
      <c r="C37" s="106"/>
      <c r="D37" s="107"/>
      <c r="E37" s="24">
        <v>0</v>
      </c>
    </row>
    <row r="38" spans="1:5" x14ac:dyDescent="0.25">
      <c r="A38" s="36"/>
      <c r="B38" s="36"/>
      <c r="C38" s="36"/>
      <c r="D38" s="35" t="s">
        <v>42</v>
      </c>
      <c r="E38" s="24">
        <v>0</v>
      </c>
    </row>
    <row r="39" spans="1:5" x14ac:dyDescent="0.25">
      <c r="A39" s="84"/>
      <c r="B39" s="84"/>
      <c r="C39" s="84"/>
      <c r="D39" s="85" t="s">
        <v>61</v>
      </c>
      <c r="E39" s="24">
        <v>0</v>
      </c>
    </row>
    <row r="40" spans="1:5" x14ac:dyDescent="0.25">
      <c r="A40" s="99"/>
      <c r="B40" s="99"/>
      <c r="C40" s="99"/>
      <c r="D40" s="100" t="s">
        <v>43</v>
      </c>
      <c r="E40" s="24">
        <v>0</v>
      </c>
    </row>
    <row r="41" spans="1:5" x14ac:dyDescent="0.25">
      <c r="A41" s="99"/>
      <c r="B41" s="99"/>
      <c r="C41" s="99"/>
      <c r="D41" s="100" t="s">
        <v>62</v>
      </c>
      <c r="E41" s="24">
        <v>0</v>
      </c>
    </row>
    <row r="42" spans="1:5" x14ac:dyDescent="0.25">
      <c r="A42" s="103"/>
      <c r="B42" s="103"/>
      <c r="C42" s="103"/>
      <c r="D42" s="104" t="s">
        <v>72</v>
      </c>
      <c r="E42" s="24">
        <v>0</v>
      </c>
    </row>
    <row r="43" spans="1:5" x14ac:dyDescent="0.25">
      <c r="A43" s="86"/>
      <c r="B43" s="86"/>
      <c r="C43" s="86"/>
      <c r="D43" s="87"/>
      <c r="E43" s="24">
        <v>0</v>
      </c>
    </row>
    <row r="44" spans="1:5" ht="12.6" thickBot="1" x14ac:dyDescent="0.3">
      <c r="A44" s="111" t="s">
        <v>6</v>
      </c>
      <c r="B44" s="111"/>
      <c r="C44" s="111"/>
      <c r="D44" s="112"/>
      <c r="E44" s="23">
        <f>SUM(E31:E43)</f>
        <v>0</v>
      </c>
    </row>
    <row r="45" spans="1:5" s="92" customFormat="1" ht="6" thickTop="1" x14ac:dyDescent="0.15">
      <c r="A45" s="95"/>
      <c r="B45" s="96"/>
      <c r="C45" s="96"/>
      <c r="D45" s="96"/>
      <c r="E45" s="93"/>
    </row>
    <row r="46" spans="1:5" ht="14.4" x14ac:dyDescent="0.3">
      <c r="A46" s="2" t="s">
        <v>56</v>
      </c>
    </row>
    <row r="47" spans="1:5" x14ac:dyDescent="0.25">
      <c r="A47" s="12"/>
      <c r="B47" s="13"/>
      <c r="C47" s="14"/>
      <c r="D47" s="11" t="s">
        <v>8</v>
      </c>
      <c r="E47" s="24">
        <v>0</v>
      </c>
    </row>
    <row r="48" spans="1:5" x14ac:dyDescent="0.25">
      <c r="A48" s="12"/>
      <c r="B48" s="13"/>
      <c r="C48" s="14"/>
      <c r="D48" s="85" t="s">
        <v>9</v>
      </c>
      <c r="E48" s="24">
        <v>0</v>
      </c>
    </row>
    <row r="49" spans="1:5" x14ac:dyDescent="0.25">
      <c r="A49" s="6"/>
      <c r="B49" s="7"/>
      <c r="C49" s="15"/>
      <c r="D49" s="38" t="s">
        <v>37</v>
      </c>
      <c r="E49" s="24">
        <v>0</v>
      </c>
    </row>
    <row r="50" spans="1:5" ht="12.6" thickBot="1" x14ac:dyDescent="0.3">
      <c r="A50" s="117" t="s">
        <v>6</v>
      </c>
      <c r="B50" s="117"/>
      <c r="C50" s="117"/>
      <c r="D50" s="117"/>
      <c r="E50" s="23">
        <f>SUM(E47:E49)</f>
        <v>0</v>
      </c>
    </row>
    <row r="51" spans="1:5" s="92" customFormat="1" ht="6" thickTop="1" x14ac:dyDescent="0.15">
      <c r="B51" s="93"/>
      <c r="C51" s="93"/>
      <c r="D51" s="93"/>
      <c r="E51" s="94"/>
    </row>
    <row r="52" spans="1:5" ht="14.4" x14ac:dyDescent="0.3">
      <c r="A52" s="2" t="s">
        <v>57</v>
      </c>
      <c r="E52" s="19"/>
    </row>
    <row r="53" spans="1:5" ht="12.6" thickBot="1" x14ac:dyDescent="0.3">
      <c r="A53" s="117" t="s">
        <v>16</v>
      </c>
      <c r="B53" s="117"/>
      <c r="C53" s="117"/>
      <c r="D53" s="117"/>
      <c r="E53" s="23">
        <f>168*D3</f>
        <v>168</v>
      </c>
    </row>
    <row r="54" spans="1:5" s="92" customFormat="1" ht="6" thickTop="1" x14ac:dyDescent="0.15">
      <c r="B54" s="93"/>
      <c r="C54" s="93"/>
      <c r="D54" s="93"/>
      <c r="E54" s="94"/>
    </row>
    <row r="55" spans="1:5" ht="14.4" x14ac:dyDescent="0.3">
      <c r="A55" s="2" t="s">
        <v>58</v>
      </c>
      <c r="E55" s="19"/>
    </row>
    <row r="56" spans="1:5" x14ac:dyDescent="0.25">
      <c r="A56" s="108" t="s">
        <v>44</v>
      </c>
      <c r="B56" s="108"/>
      <c r="C56" s="108"/>
      <c r="D56" s="107"/>
      <c r="E56" s="20">
        <v>0</v>
      </c>
    </row>
    <row r="57" spans="1:5" x14ac:dyDescent="0.25">
      <c r="A57" s="108" t="s">
        <v>10</v>
      </c>
      <c r="B57" s="108"/>
      <c r="C57" s="108"/>
      <c r="D57" s="107"/>
      <c r="E57" s="20">
        <v>0</v>
      </c>
    </row>
    <row r="58" spans="1:5" x14ac:dyDescent="0.25">
      <c r="A58" s="108" t="s">
        <v>45</v>
      </c>
      <c r="B58" s="108"/>
      <c r="C58" s="108"/>
      <c r="D58" s="107"/>
      <c r="E58" s="20">
        <v>0</v>
      </c>
    </row>
    <row r="59" spans="1:5" x14ac:dyDescent="0.25">
      <c r="A59" s="106" t="s">
        <v>11</v>
      </c>
      <c r="B59" s="106"/>
      <c r="C59" s="106"/>
      <c r="D59" s="107"/>
      <c r="E59" s="24">
        <v>0</v>
      </c>
    </row>
    <row r="60" spans="1:5" x14ac:dyDescent="0.25">
      <c r="A60" s="106" t="s">
        <v>46</v>
      </c>
      <c r="B60" s="106"/>
      <c r="C60" s="106"/>
      <c r="D60" s="107"/>
      <c r="E60" s="24">
        <v>0</v>
      </c>
    </row>
    <row r="61" spans="1:5" x14ac:dyDescent="0.25">
      <c r="A61" s="106" t="s">
        <v>63</v>
      </c>
      <c r="B61" s="106"/>
      <c r="C61" s="106"/>
      <c r="D61" s="107"/>
      <c r="E61" s="24">
        <v>0</v>
      </c>
    </row>
    <row r="62" spans="1:5" x14ac:dyDescent="0.25">
      <c r="A62" s="106" t="s">
        <v>64</v>
      </c>
      <c r="B62" s="106"/>
      <c r="C62" s="106"/>
      <c r="D62" s="107"/>
      <c r="E62" s="24">
        <v>0</v>
      </c>
    </row>
    <row r="63" spans="1:5" x14ac:dyDescent="0.25">
      <c r="A63" s="99"/>
      <c r="B63" s="99"/>
      <c r="C63" s="99"/>
      <c r="D63" s="100" t="s">
        <v>47</v>
      </c>
      <c r="E63" s="24">
        <v>0</v>
      </c>
    </row>
    <row r="64" spans="1:5" x14ac:dyDescent="0.25">
      <c r="A64" s="37"/>
      <c r="B64" s="37"/>
      <c r="C64" s="37"/>
      <c r="D64" s="38"/>
      <c r="E64" s="24">
        <v>0</v>
      </c>
    </row>
    <row r="65" spans="1:5" ht="12.6" thickBot="1" x14ac:dyDescent="0.3">
      <c r="A65" s="117" t="s">
        <v>6</v>
      </c>
      <c r="B65" s="117"/>
      <c r="C65" s="117"/>
      <c r="D65" s="117"/>
      <c r="E65" s="23">
        <f>SUM(E56:E64)</f>
        <v>0</v>
      </c>
    </row>
    <row r="66" spans="1:5" s="92" customFormat="1" ht="6" thickTop="1" x14ac:dyDescent="0.15">
      <c r="B66" s="93"/>
      <c r="C66" s="93"/>
      <c r="D66" s="93"/>
      <c r="E66" s="94"/>
    </row>
    <row r="67" spans="1:5" s="89" customFormat="1" ht="31.8" thickBot="1" x14ac:dyDescent="0.55000000000000004">
      <c r="B67" s="90"/>
      <c r="C67" s="88" t="s">
        <v>6</v>
      </c>
      <c r="D67" s="118">
        <f>SUM(E16+E28+E44+E50+E53+E65)</f>
        <v>352</v>
      </c>
      <c r="E67" s="119"/>
    </row>
    <row r="68" spans="1:5" ht="12.6" thickTop="1" x14ac:dyDescent="0.25">
      <c r="A68" s="91" t="s">
        <v>50</v>
      </c>
      <c r="D68" s="16"/>
    </row>
    <row r="69" spans="1:5" ht="9" customHeight="1" x14ac:dyDescent="0.25">
      <c r="A69" s="113"/>
      <c r="B69" s="113"/>
      <c r="C69" s="113"/>
      <c r="D69" s="113"/>
      <c r="E69" s="114"/>
    </row>
    <row r="70" spans="1:5" ht="9" customHeight="1" x14ac:dyDescent="0.25">
      <c r="A70" s="113"/>
      <c r="B70" s="113"/>
      <c r="C70" s="113"/>
      <c r="D70" s="113"/>
      <c r="E70" s="114"/>
    </row>
    <row r="71" spans="1:5" ht="9" customHeight="1" thickBot="1" x14ac:dyDescent="0.3">
      <c r="A71" s="115"/>
      <c r="B71" s="115"/>
      <c r="C71" s="115"/>
      <c r="D71" s="115"/>
      <c r="E71" s="116"/>
    </row>
    <row r="72" spans="1:5" ht="12.6" thickTop="1" x14ac:dyDescent="0.25"/>
  </sheetData>
  <mergeCells count="24">
    <mergeCell ref="A69:E71"/>
    <mergeCell ref="A44:D44"/>
    <mergeCell ref="A50:D50"/>
    <mergeCell ref="A32:D32"/>
    <mergeCell ref="A33:D33"/>
    <mergeCell ref="A34:D34"/>
    <mergeCell ref="A35:D35"/>
    <mergeCell ref="A36:D36"/>
    <mergeCell ref="A37:D37"/>
    <mergeCell ref="A65:D65"/>
    <mergeCell ref="A53:D53"/>
    <mergeCell ref="D67:E67"/>
    <mergeCell ref="A56:D56"/>
    <mergeCell ref="A57:D57"/>
    <mergeCell ref="A58:D58"/>
    <mergeCell ref="A59:D59"/>
    <mergeCell ref="A60:D60"/>
    <mergeCell ref="A61:D61"/>
    <mergeCell ref="A62:D62"/>
    <mergeCell ref="A19:D19"/>
    <mergeCell ref="A21:D21"/>
    <mergeCell ref="A25:D25"/>
    <mergeCell ref="A27:D27"/>
    <mergeCell ref="A28:D28"/>
  </mergeCells>
  <conditionalFormatting sqref="D67:E67">
    <cfRule type="expression" dxfId="1" priority="3">
      <formula>$D$67&gt;(1574*D3)</formula>
    </cfRule>
  </conditionalFormatting>
  <conditionalFormatting sqref="C16">
    <cfRule type="expression" dxfId="0" priority="1">
      <formula>$C$16&gt;$C$17</formula>
    </cfRule>
  </conditionalFormatting>
  <dataValidations count="1">
    <dataValidation type="list" allowBlank="1" showInputMessage="1" showErrorMessage="1" sqref="A15">
      <formula1>Modules</formula1>
    </dataValidation>
  </dataValidations>
  <pageMargins left="0.70866141732283472" right="0.23622047244094491" top="0.55118110236220474" bottom="0.55118110236220474" header="0.31496062992125984" footer="0.31496062992125984"/>
  <pageSetup paperSize="9" scale="8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'Input Teaching data here'!$A$2:$A$50</xm:f>
          </x14:formula1>
          <xm:sqref>A7:A14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Input Teaching data here</vt:lpstr>
      <vt:lpstr>template</vt:lpstr>
      <vt:lpstr>Modules</vt:lpstr>
      <vt:lpstr>template!Print_Area</vt:lpstr>
    </vt:vector>
  </TitlesOfParts>
  <Company>York St John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a.fern</dc:creator>
  <cp:lastModifiedBy>e.wilkins</cp:lastModifiedBy>
  <cp:lastPrinted>2011-02-22T11:30:44Z</cp:lastPrinted>
  <dcterms:created xsi:type="dcterms:W3CDTF">2010-03-26T14:53:57Z</dcterms:created>
  <dcterms:modified xsi:type="dcterms:W3CDTF">2011-02-22T12:49:58Z</dcterms:modified>
</cp:coreProperties>
</file>