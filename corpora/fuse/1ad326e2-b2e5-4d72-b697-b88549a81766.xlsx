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Serials Unit Stats 2007-2008" sheetId="1" r:id="rId1"/>
  </sheets>
  <definedNames>
    <definedName name="_xlnm.Print_Area" localSheetId="0">'Serials Unit Stats 2007-2008'!$A$1:$O$34</definedName>
  </definedNames>
  <calcPr calcId="124519"/>
</workbook>
</file>

<file path=xl/calcChain.xml><?xml version="1.0" encoding="utf-8"?>
<calcChain xmlns="http://schemas.openxmlformats.org/spreadsheetml/2006/main">
  <c r="C10" i="1"/>
  <c r="D10"/>
  <c r="E10"/>
  <c r="F10"/>
  <c r="G10"/>
  <c r="H10"/>
  <c r="I10"/>
  <c r="J10"/>
  <c r="K10"/>
  <c r="L10"/>
  <c r="M10"/>
  <c r="N10"/>
  <c r="B10"/>
  <c r="N7"/>
  <c r="N11"/>
  <c r="N12"/>
  <c r="N13"/>
  <c r="B15"/>
  <c r="N15"/>
  <c r="C15"/>
  <c r="D15"/>
  <c r="E15"/>
  <c r="F15"/>
  <c r="G15"/>
  <c r="H15"/>
  <c r="I15"/>
  <c r="J15"/>
  <c r="N16"/>
  <c r="N17"/>
  <c r="G21"/>
  <c r="H21"/>
  <c r="N21"/>
  <c r="N23"/>
  <c r="N24"/>
  <c r="N26"/>
  <c r="N28"/>
  <c r="G30"/>
  <c r="H30"/>
  <c r="N30"/>
  <c r="I30"/>
  <c r="K30"/>
  <c r="L30"/>
  <c r="M30"/>
  <c r="N31"/>
  <c r="N32"/>
  <c r="N33"/>
</calcChain>
</file>

<file path=xl/sharedStrings.xml><?xml version="1.0" encoding="utf-8"?>
<sst xmlns="http://schemas.openxmlformats.org/spreadsheetml/2006/main" count="37" uniqueCount="36">
  <si>
    <t>TECHNICAL SERVICES DEPARTMENT</t>
  </si>
  <si>
    <t>Serials Unit Statistics 2008/2009</t>
  </si>
  <si>
    <t>COLLECTION METRICS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</si>
  <si>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</si>
  <si>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</si>
  <si>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</si>
  <si>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</si>
  <si>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</si>
  <si>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</si>
  <si>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</si>
  <si>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</si>
  <si>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</si>
  <si>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</si>
  <si>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</si>
  <si>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</si>
  <si>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YTD</t>
  </si>
  <si>
    <t>Serial volumes withdrawn</t>
  </si>
  <si>
    <t>Mform pieces withdrawn</t>
  </si>
  <si>
    <t xml:space="preserve"> Subscriptions</t>
  </si>
  <si>
    <t xml:space="preserve"> Binding</t>
  </si>
  <si>
    <t>Gifts</t>
  </si>
  <si>
    <t xml:space="preserve"> </t>
  </si>
  <si>
    <t xml:space="preserve"> Film</t>
  </si>
  <si>
    <t xml:space="preserve"> Fiche</t>
  </si>
  <si>
    <t>PRODUCTIVITY METRICS</t>
  </si>
  <si>
    <t>Volumes processed</t>
  </si>
  <si>
    <t>Volumes temp bound</t>
  </si>
  <si>
    <t>Volumes mended (in-house)</t>
  </si>
  <si>
    <t>Claims sent</t>
  </si>
  <si>
    <t>Pieces checked in</t>
  </si>
  <si>
    <t>Repairs</t>
  </si>
  <si>
    <t>Non-Library</t>
  </si>
  <si>
    <t>Serial volumes added (total)</t>
  </si>
  <si>
    <t>Mform pieces added (total)</t>
  </si>
  <si>
    <t>Volumes returned from bindery (total)</t>
  </si>
  <si>
    <t>Journals and other materials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</si>
</sst>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b/>
      <sz val="12"/>
      <color indexed="8"/>
      <name val="arial,sans-serif"/>
    </font>
    <font>
      <sz val="10"/>
      <color indexed="8"/>
      <name val="Arial"/>
      <family val="2"/>
    </font>
    <font>
      <sz val="10"/>
      <color indexed="8"/>
      <name val="arial,sans-serif"/>
    </font>
    <font>
      <b/>
      <sz val="10"/>
      <color indexed="8"/>
      <name val="arial,sans-serif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20"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/>
    <xf numFmtId="0" fontId="3" fillId="0" borderId="1" xfId="0" applyNumberFormat="1" applyFont="1" applyFill="1" applyBorder="1" applyAlignment="1"/>
    <xf numFmtId="0" fontId="4" fillId="0" borderId="1" xfId="0" applyNumberFormat="1" applyFont="1" applyFill="1" applyBorder="1" applyAlignment="1"/>
    <xf numFmtId="0" fontId="3" fillId="2" borderId="1" xfId="0" applyNumberFormat="1" applyFont="1" applyFill="1" applyBorder="1" applyAlignment="1"/>
    <xf numFmtId="0" fontId="4" fillId="0" borderId="1" xfId="0" applyNumberFormat="1" applyFont="1" applyFill="1" applyBorder="1" applyAlignment="1">
      <alignment horizontal="right"/>
    </xf>
    <xf numFmtId="0" fontId="3" fillId="3" borderId="1" xfId="0" applyNumberFormat="1" applyFont="1" applyFill="1" applyBorder="1" applyAlignment="1"/>
    <xf numFmtId="0" fontId="4" fillId="0" borderId="0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>
      <alignment horizontal="left"/>
    </xf>
    <xf numFmtId="0" fontId="3" fillId="0" borderId="1" xfId="0" applyNumberFormat="1" applyFont="1" applyFill="1" applyBorder="1" applyAlignment="1">
      <alignment horizontal="right"/>
    </xf>
    <xf numFmtId="0" fontId="4" fillId="0" borderId="1" xfId="0" applyNumberFormat="1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right"/>
    </xf>
    <xf numFmtId="0" fontId="4" fillId="4" borderId="1" xfId="0" applyNumberFormat="1" applyFont="1" applyFill="1" applyBorder="1" applyAlignment="1">
      <alignment horizontal="center"/>
    </xf>
    <xf numFmtId="0" fontId="3" fillId="5" borderId="1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99CCFF"/>
      <rgbColor rgb="00DDDDDD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4"/>
  <sheetViews>
    <sheetView tabSelected="1" workbookViewId="0">
      <selection activeCell="G44" sqref="G43:G44"/>
    </sheetView>
  </sheetViews>
  <sheetFormatPr defaultRowHeight="12.75"/>
  <cols>
    <col min="1" max="1" width="37.140625" customWidth="1"/>
    <col min="2" max="14" width="6" bestFit="1" customWidth="1"/>
    <col min="15" max="15" width="8" bestFit="1" customWidth="1"/>
  </cols>
  <sheetData>
    <row r="1" spans="1:15" ht="15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2"/>
    </row>
    <row r="2" spans="1:15" ht="12.75" customHeight="1">
      <c r="A2" s="19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"/>
    </row>
    <row r="3" spans="1:15" ht="15" customHeight="1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2"/>
    </row>
    <row r="4" spans="1:15" ht="12.75" customHeight="1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2.75" customHeight="1">
      <c r="A5" s="15" t="s">
        <v>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2.75" customHeight="1">
      <c r="A6" s="5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6" t="s">
        <v>11</v>
      </c>
      <c r="K6" s="6" t="s">
        <v>12</v>
      </c>
      <c r="L6" s="6" t="s">
        <v>13</v>
      </c>
      <c r="M6" s="6" t="s">
        <v>14</v>
      </c>
      <c r="N6" s="6" t="s">
        <v>15</v>
      </c>
      <c r="O6" s="1"/>
    </row>
    <row r="7" spans="1:15" ht="12.75" customHeight="1">
      <c r="A7" s="6" t="s">
        <v>16</v>
      </c>
      <c r="B7" s="5">
        <v>0</v>
      </c>
      <c r="C7" s="5">
        <v>7</v>
      </c>
      <c r="D7" s="5">
        <v>0</v>
      </c>
      <c r="E7" s="5">
        <v>0</v>
      </c>
      <c r="F7" s="5">
        <v>0</v>
      </c>
      <c r="G7" s="5">
        <v>0</v>
      </c>
      <c r="H7" s="5">
        <v>30</v>
      </c>
      <c r="I7" s="5">
        <v>0</v>
      </c>
      <c r="J7" s="5">
        <v>8</v>
      </c>
      <c r="K7" s="5">
        <v>67</v>
      </c>
      <c r="L7" s="5">
        <v>0</v>
      </c>
      <c r="M7" s="5">
        <v>0</v>
      </c>
      <c r="N7" s="5">
        <f>SUM(B7:M7)</f>
        <v>112</v>
      </c>
      <c r="O7" s="1"/>
    </row>
    <row r="8" spans="1:15" ht="12.75" customHeight="1">
      <c r="A8" s="6" t="s">
        <v>17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1"/>
    </row>
    <row r="9" spans="1:15" ht="12.75" customHeight="1">
      <c r="A9" s="6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1"/>
    </row>
    <row r="10" spans="1:15" ht="12.75" customHeight="1">
      <c r="A10" s="6" t="s">
        <v>32</v>
      </c>
      <c r="B10" s="7">
        <f>SUM(B11:B13)</f>
        <v>195</v>
      </c>
      <c r="C10" s="7">
        <f t="shared" ref="C10:N10" si="0">SUM(C11:C13)</f>
        <v>218</v>
      </c>
      <c r="D10" s="7">
        <f t="shared" si="0"/>
        <v>225</v>
      </c>
      <c r="E10" s="7">
        <f t="shared" si="0"/>
        <v>417</v>
      </c>
      <c r="F10" s="7">
        <f t="shared" si="0"/>
        <v>144</v>
      </c>
      <c r="G10" s="7">
        <f t="shared" si="0"/>
        <v>110</v>
      </c>
      <c r="H10" s="7">
        <f t="shared" si="0"/>
        <v>420</v>
      </c>
      <c r="I10" s="7">
        <f t="shared" si="0"/>
        <v>219</v>
      </c>
      <c r="J10" s="7">
        <f t="shared" si="0"/>
        <v>437</v>
      </c>
      <c r="K10" s="7">
        <f t="shared" si="0"/>
        <v>258</v>
      </c>
      <c r="L10" s="7">
        <f t="shared" si="0"/>
        <v>276</v>
      </c>
      <c r="M10" s="7">
        <f t="shared" si="0"/>
        <v>166</v>
      </c>
      <c r="N10" s="7">
        <f t="shared" si="0"/>
        <v>3085</v>
      </c>
      <c r="O10" s="1"/>
    </row>
    <row r="11" spans="1:15" ht="12.75" customHeight="1">
      <c r="A11" s="8" t="s">
        <v>18</v>
      </c>
      <c r="B11" s="5">
        <v>45</v>
      </c>
      <c r="C11" s="5">
        <v>98</v>
      </c>
      <c r="D11" s="5">
        <v>42</v>
      </c>
      <c r="E11" s="5">
        <v>60</v>
      </c>
      <c r="F11" s="5">
        <v>60</v>
      </c>
      <c r="G11" s="9">
        <v>36</v>
      </c>
      <c r="H11" s="9">
        <v>90</v>
      </c>
      <c r="I11" s="5">
        <v>48</v>
      </c>
      <c r="J11" s="5">
        <v>44</v>
      </c>
      <c r="K11" s="5">
        <v>20</v>
      </c>
      <c r="L11" s="5">
        <v>57</v>
      </c>
      <c r="M11" s="5">
        <v>26</v>
      </c>
      <c r="N11" s="5">
        <f>SUM(B11:M11)</f>
        <v>626</v>
      </c>
      <c r="O11" s="1"/>
    </row>
    <row r="12" spans="1:15" ht="12.75" customHeight="1">
      <c r="A12" s="8" t="s">
        <v>19</v>
      </c>
      <c r="B12" s="5">
        <v>150</v>
      </c>
      <c r="C12" s="5">
        <v>75</v>
      </c>
      <c r="D12" s="5">
        <v>183</v>
      </c>
      <c r="E12" s="5">
        <v>357</v>
      </c>
      <c r="F12" s="5">
        <v>84</v>
      </c>
      <c r="G12" s="5">
        <v>74</v>
      </c>
      <c r="H12" s="5">
        <v>330</v>
      </c>
      <c r="I12" s="5">
        <v>171</v>
      </c>
      <c r="J12" s="5">
        <v>393</v>
      </c>
      <c r="K12" s="5">
        <v>238</v>
      </c>
      <c r="L12" s="5">
        <v>219</v>
      </c>
      <c r="M12" s="5">
        <v>140</v>
      </c>
      <c r="N12" s="5">
        <f>SUM(B12:M12)</f>
        <v>2414</v>
      </c>
      <c r="O12" s="1"/>
    </row>
    <row r="13" spans="1:15" ht="12.75" customHeight="1">
      <c r="A13" s="8" t="s">
        <v>20</v>
      </c>
      <c r="B13" s="5">
        <v>0</v>
      </c>
      <c r="C13" s="5">
        <v>45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f>SUM(B13:M13)</f>
        <v>45</v>
      </c>
      <c r="O13" s="1"/>
    </row>
    <row r="14" spans="1:15" ht="12.75" customHeight="1">
      <c r="A14" s="6" t="s">
        <v>21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 t="s">
        <v>21</v>
      </c>
      <c r="O14" s="1"/>
    </row>
    <row r="15" spans="1:15" ht="12.75" customHeight="1">
      <c r="A15" s="6" t="s">
        <v>33</v>
      </c>
      <c r="B15" s="16">
        <f t="shared" ref="B15:J15" si="1">SUM(B16:B17)</f>
        <v>14</v>
      </c>
      <c r="C15" s="16">
        <f t="shared" si="1"/>
        <v>179</v>
      </c>
      <c r="D15" s="16">
        <f t="shared" si="1"/>
        <v>10</v>
      </c>
      <c r="E15" s="16">
        <f t="shared" si="1"/>
        <v>10</v>
      </c>
      <c r="F15" s="16">
        <f t="shared" si="1"/>
        <v>382</v>
      </c>
      <c r="G15" s="16">
        <f t="shared" si="1"/>
        <v>0</v>
      </c>
      <c r="H15" s="16">
        <f t="shared" si="1"/>
        <v>9</v>
      </c>
      <c r="I15" s="16">
        <f t="shared" si="1"/>
        <v>3</v>
      </c>
      <c r="J15" s="16">
        <f t="shared" si="1"/>
        <v>14</v>
      </c>
      <c r="K15" s="16">
        <v>8</v>
      </c>
      <c r="L15" s="16">
        <v>10</v>
      </c>
      <c r="M15" s="16">
        <v>6</v>
      </c>
      <c r="N15" s="16">
        <f>SUM(B15:M15)</f>
        <v>645</v>
      </c>
      <c r="O15" s="1"/>
    </row>
    <row r="16" spans="1:15" ht="12.75" customHeight="1">
      <c r="A16" s="8" t="s">
        <v>22</v>
      </c>
      <c r="B16" s="5">
        <v>14</v>
      </c>
      <c r="C16" s="5">
        <v>139</v>
      </c>
      <c r="D16" s="5">
        <v>10</v>
      </c>
      <c r="E16" s="5">
        <v>10</v>
      </c>
      <c r="F16" s="5">
        <v>27</v>
      </c>
      <c r="G16" s="9">
        <v>0</v>
      </c>
      <c r="H16" s="9">
        <v>9</v>
      </c>
      <c r="I16" s="5">
        <v>3</v>
      </c>
      <c r="J16" s="5">
        <v>14</v>
      </c>
      <c r="K16" s="5">
        <v>8</v>
      </c>
      <c r="L16" s="5">
        <v>10</v>
      </c>
      <c r="M16" s="5">
        <v>6</v>
      </c>
      <c r="N16" s="5">
        <f>SUM(B16:M16)</f>
        <v>250</v>
      </c>
      <c r="O16" s="1"/>
    </row>
    <row r="17" spans="1:15" ht="12.75" customHeight="1">
      <c r="A17" s="8" t="s">
        <v>23</v>
      </c>
      <c r="B17" s="5">
        <v>0</v>
      </c>
      <c r="C17" s="5">
        <v>40</v>
      </c>
      <c r="D17" s="5">
        <v>0</v>
      </c>
      <c r="E17" s="5">
        <v>0</v>
      </c>
      <c r="F17" s="5">
        <v>355</v>
      </c>
      <c r="G17" s="9">
        <v>0</v>
      </c>
      <c r="H17" s="9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f>SUM(B17:M17)</f>
        <v>395</v>
      </c>
      <c r="O17" s="1"/>
    </row>
    <row r="18" spans="1:15" ht="12.75" customHeight="1">
      <c r="A18" s="2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"/>
    </row>
    <row r="19" spans="1:15" ht="12.75" customHeight="1">
      <c r="A19" s="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1"/>
    </row>
    <row r="20" spans="1:15" ht="12.75" customHeight="1">
      <c r="A20" s="15" t="s">
        <v>24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1"/>
    </row>
    <row r="21" spans="1:15" ht="12.75" customHeight="1">
      <c r="A21" s="11" t="s">
        <v>25</v>
      </c>
      <c r="B21" s="5">
        <v>1486</v>
      </c>
      <c r="C21" s="5">
        <v>1432</v>
      </c>
      <c r="D21" s="5">
        <v>1339</v>
      </c>
      <c r="E21" s="5">
        <v>1294</v>
      </c>
      <c r="F21" s="5">
        <v>944</v>
      </c>
      <c r="G21" s="5">
        <f>862</f>
        <v>862</v>
      </c>
      <c r="H21" s="5">
        <f>1497+159</f>
        <v>1656</v>
      </c>
      <c r="I21" s="5">
        <v>1067</v>
      </c>
      <c r="J21" s="5">
        <v>1391</v>
      </c>
      <c r="K21" s="5">
        <v>1123</v>
      </c>
      <c r="L21" s="5">
        <v>1208</v>
      </c>
      <c r="M21" s="5">
        <v>1160</v>
      </c>
      <c r="N21" s="5">
        <f>SUM(B21:M21)</f>
        <v>14962</v>
      </c>
      <c r="O21" s="1"/>
    </row>
    <row r="22" spans="1:15" ht="12.75" customHeight="1">
      <c r="A22" s="11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"/>
    </row>
    <row r="23" spans="1:15" ht="12.75" customHeight="1">
      <c r="A23" s="11" t="s">
        <v>26</v>
      </c>
      <c r="B23" s="5">
        <v>60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f>SUM(B23:M23)</f>
        <v>60</v>
      </c>
      <c r="O23" s="1"/>
    </row>
    <row r="24" spans="1:15" ht="12.75" customHeight="1">
      <c r="A24" s="11" t="s">
        <v>27</v>
      </c>
      <c r="B24" s="5">
        <v>54</v>
      </c>
      <c r="C24" s="5">
        <v>40</v>
      </c>
      <c r="D24" s="5">
        <v>15</v>
      </c>
      <c r="E24" s="5">
        <v>4</v>
      </c>
      <c r="F24" s="9">
        <v>0</v>
      </c>
      <c r="G24" s="9">
        <v>1</v>
      </c>
      <c r="H24" s="5">
        <v>12</v>
      </c>
      <c r="I24" s="5">
        <v>4</v>
      </c>
      <c r="J24" s="5">
        <v>14</v>
      </c>
      <c r="K24" s="5">
        <v>5</v>
      </c>
      <c r="L24" s="5">
        <v>1</v>
      </c>
      <c r="M24" s="5">
        <v>6</v>
      </c>
      <c r="N24" s="5">
        <f>SUM(B24:M24)</f>
        <v>156</v>
      </c>
      <c r="O24" s="1"/>
    </row>
    <row r="25" spans="1:15" ht="12.75" customHeight="1">
      <c r="A25" s="6"/>
      <c r="B25" s="5"/>
      <c r="C25" s="5"/>
      <c r="D25" s="5"/>
      <c r="E25" s="5"/>
      <c r="F25" s="9"/>
      <c r="G25" s="9"/>
      <c r="H25" s="5"/>
      <c r="I25" s="5"/>
      <c r="J25" s="5"/>
      <c r="K25" s="5"/>
      <c r="L25" s="5"/>
      <c r="M25" s="5"/>
      <c r="N25" s="5"/>
      <c r="O25" s="1"/>
    </row>
    <row r="26" spans="1:15" ht="12.75" customHeight="1">
      <c r="A26" s="6" t="s">
        <v>28</v>
      </c>
      <c r="B26" s="5">
        <v>75</v>
      </c>
      <c r="C26" s="5">
        <v>46</v>
      </c>
      <c r="D26" s="5">
        <v>56</v>
      </c>
      <c r="E26" s="5">
        <v>128</v>
      </c>
      <c r="F26" s="9">
        <v>53</v>
      </c>
      <c r="G26" s="9">
        <v>0</v>
      </c>
      <c r="H26" s="9">
        <v>5</v>
      </c>
      <c r="I26" s="5">
        <v>80</v>
      </c>
      <c r="J26" s="5">
        <v>35</v>
      </c>
      <c r="K26" s="5">
        <v>53</v>
      </c>
      <c r="L26" s="5">
        <v>19</v>
      </c>
      <c r="M26" s="5">
        <v>7</v>
      </c>
      <c r="N26" s="5">
        <f>SUM(B26:M26)</f>
        <v>557</v>
      </c>
      <c r="O26" s="1"/>
    </row>
    <row r="27" spans="1:15" ht="12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"/>
    </row>
    <row r="28" spans="1:15" ht="12.75" customHeight="1">
      <c r="A28" s="6" t="s">
        <v>29</v>
      </c>
      <c r="B28" s="12">
        <v>892</v>
      </c>
      <c r="C28" s="12">
        <v>919</v>
      </c>
      <c r="D28" s="12">
        <v>960</v>
      </c>
      <c r="E28" s="5">
        <v>1014</v>
      </c>
      <c r="F28" s="5">
        <v>877</v>
      </c>
      <c r="G28" s="5">
        <v>383</v>
      </c>
      <c r="H28" s="5">
        <v>1325</v>
      </c>
      <c r="I28" s="5">
        <v>1442</v>
      </c>
      <c r="J28" s="5">
        <v>655</v>
      </c>
      <c r="K28" s="5">
        <v>623</v>
      </c>
      <c r="L28" s="5">
        <v>591</v>
      </c>
      <c r="M28" s="5">
        <v>515</v>
      </c>
      <c r="N28" s="5">
        <f>SUM(B28:M28)</f>
        <v>10196</v>
      </c>
      <c r="O28" s="1"/>
    </row>
    <row r="29" spans="1:15" ht="12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"/>
    </row>
    <row r="30" spans="1:15" ht="12.75" customHeight="1">
      <c r="A30" s="13" t="s">
        <v>34</v>
      </c>
      <c r="B30" s="14">
        <v>155</v>
      </c>
      <c r="C30" s="14">
        <v>171</v>
      </c>
      <c r="D30" s="14">
        <v>243</v>
      </c>
      <c r="E30" s="14">
        <v>619</v>
      </c>
      <c r="F30" s="14">
        <v>162</v>
      </c>
      <c r="G30" s="14">
        <f>SUM(G31:G33)</f>
        <v>112</v>
      </c>
      <c r="H30" s="14">
        <f>SUM(H31:H33)</f>
        <v>627</v>
      </c>
      <c r="I30" s="14">
        <f>SUM(I31:I33)</f>
        <v>236</v>
      </c>
      <c r="J30" s="14">
        <v>369</v>
      </c>
      <c r="K30" s="14">
        <f>SUM(K31:K33)</f>
        <v>265</v>
      </c>
      <c r="L30" s="14">
        <f>SUM(L31:L33)</f>
        <v>279</v>
      </c>
      <c r="M30" s="14">
        <f>SUM(M31:M33)</f>
        <v>287</v>
      </c>
      <c r="N30" s="14">
        <f>SUM(B30:M30)</f>
        <v>3525</v>
      </c>
      <c r="O30" s="1"/>
    </row>
    <row r="31" spans="1:15" ht="12.75" customHeight="1">
      <c r="A31" s="8" t="s">
        <v>35</v>
      </c>
      <c r="B31" s="5">
        <v>150</v>
      </c>
      <c r="C31" s="5">
        <v>133</v>
      </c>
      <c r="D31" s="5">
        <v>183</v>
      </c>
      <c r="E31" s="5">
        <v>357</v>
      </c>
      <c r="F31" s="5">
        <v>84</v>
      </c>
      <c r="G31" s="5">
        <v>74</v>
      </c>
      <c r="H31" s="5">
        <v>352</v>
      </c>
      <c r="I31" s="5">
        <v>171</v>
      </c>
      <c r="J31" s="5">
        <v>293</v>
      </c>
      <c r="K31" s="5">
        <v>238</v>
      </c>
      <c r="L31" s="5">
        <v>219</v>
      </c>
      <c r="M31" s="5">
        <v>140</v>
      </c>
      <c r="N31" s="5">
        <f>SUM(B31:M31)</f>
        <v>2394</v>
      </c>
      <c r="O31" s="1"/>
    </row>
    <row r="32" spans="1:15" ht="12.75" customHeight="1">
      <c r="A32" s="8" t="s">
        <v>30</v>
      </c>
      <c r="B32" s="5">
        <v>5</v>
      </c>
      <c r="C32" s="5">
        <v>4</v>
      </c>
      <c r="D32" s="5">
        <v>25</v>
      </c>
      <c r="E32" s="5">
        <v>203</v>
      </c>
      <c r="F32" s="5">
        <v>65</v>
      </c>
      <c r="G32" s="5">
        <v>38</v>
      </c>
      <c r="H32" s="5">
        <v>17</v>
      </c>
      <c r="I32" s="5">
        <v>38</v>
      </c>
      <c r="J32" s="5">
        <v>51</v>
      </c>
      <c r="K32" s="5">
        <v>27</v>
      </c>
      <c r="L32" s="5">
        <v>53</v>
      </c>
      <c r="M32" s="5">
        <v>71</v>
      </c>
      <c r="N32" s="5">
        <f>SUM(B32:M32)</f>
        <v>597</v>
      </c>
      <c r="O32" s="1"/>
    </row>
    <row r="33" spans="1:15" ht="12.75" customHeight="1">
      <c r="A33" s="8" t="s">
        <v>31</v>
      </c>
      <c r="B33" s="5">
        <v>0</v>
      </c>
      <c r="C33" s="5">
        <v>34</v>
      </c>
      <c r="D33" s="5">
        <v>35</v>
      </c>
      <c r="E33" s="5">
        <v>59</v>
      </c>
      <c r="F33" s="5">
        <v>13</v>
      </c>
      <c r="G33" s="5">
        <v>0</v>
      </c>
      <c r="H33" s="9">
        <v>258</v>
      </c>
      <c r="I33" s="5">
        <v>27</v>
      </c>
      <c r="J33" s="5">
        <v>25</v>
      </c>
      <c r="K33" s="5">
        <v>0</v>
      </c>
      <c r="L33" s="5">
        <v>7</v>
      </c>
      <c r="M33" s="5">
        <v>76</v>
      </c>
      <c r="N33" s="5">
        <f>SUM(B33:M33)</f>
        <v>534</v>
      </c>
      <c r="O33" s="1"/>
    </row>
    <row r="34" spans="1:15" ht="12.75" customHeight="1">
      <c r="A34" s="10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1"/>
    </row>
  </sheetData>
  <mergeCells count="3">
    <mergeCell ref="A1:N1"/>
    <mergeCell ref="A2:N2"/>
    <mergeCell ref="A3:N3"/>
  </mergeCells>
  <pageMargins left="0.75" right="0.75" top="1" bottom="1" header="0.5" footer="0.5"/>
  <pageSetup firstPageNumber="0" fitToHeight="2" orientation="landscape" r:id="rId1"/>
  <headerFooter alignWithMargins="0">
    <oddFooter>&amp;LSerials Unit Statistics 2008-2009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Serials Unit Stats 2007-2008</vt:lpstr>
      <vt:lpstr>'Serials Unit Stats 2007-2008'!Print_Area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2009-07-27T14:49:14Z</cp:lastPrinted>
  <dcterms:created xsi:type="dcterms:W3CDTF">2009-07-27T14:36:33Z</dcterms:created>
  <dcterms:modified xsi:type="dcterms:W3CDTF">2009-07-27T15:18:08Z</dcterms:modified>
</cp:coreProperties>
</file>