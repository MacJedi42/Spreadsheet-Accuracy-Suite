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workbookProtection workbookPassword="EBB0" lockStructure="1"/>
  <bookViews>
    <workbookView xWindow="-15" yWindow="1890" windowWidth="9480" windowHeight="4170"/>
  </bookViews>
  <sheets>
    <sheet name="Reimbursement Calculator" sheetId="2" r:id="rId1"/>
  </sheets>
  <definedNames>
    <definedName name="_xlnm.Print_Area" localSheetId="0">'Reimbursement Calculator'!$A$1:$F$67</definedName>
    <definedName name="_xlnm.Print_Titles" localSheetId="0">'Reimbursement Calculator'!$8:$8</definedName>
  </definedNames>
  <calcPr calcId="144525"/>
</workbook>
</file>

<file path=xl/calcChain.xml><?xml version="1.0" encoding="utf-8"?>
<calcChain xmlns="http://schemas.openxmlformats.org/spreadsheetml/2006/main">
  <c r="I54" i="2" l="1"/>
  <c r="M54" i="2" s="1"/>
  <c r="D52" i="2" s="1"/>
  <c r="F52" i="2" s="1"/>
  <c r="I52" i="2"/>
  <c r="I51" i="2"/>
  <c r="I50" i="2"/>
  <c r="I49" i="2"/>
  <c r="I48" i="2"/>
  <c r="I33" i="2"/>
  <c r="I31" i="2"/>
  <c r="I30" i="2"/>
  <c r="M30" i="2" s="1"/>
  <c r="D27" i="2" s="1"/>
  <c r="I29" i="2"/>
  <c r="I27" i="2"/>
  <c r="M27" i="2" s="1"/>
  <c r="D24" i="2" s="1"/>
  <c r="I26" i="2"/>
  <c r="M26" i="2" s="1"/>
  <c r="I23" i="2"/>
  <c r="M23" i="2" s="1"/>
  <c r="I22" i="2"/>
  <c r="I16" i="2"/>
  <c r="I14" i="2"/>
  <c r="I21" i="2"/>
  <c r="J54" i="2"/>
  <c r="J53" i="2"/>
  <c r="J52" i="2"/>
  <c r="N52" i="2" s="1"/>
  <c r="E49" i="2" s="1"/>
  <c r="F49" i="2" s="1"/>
  <c r="J51" i="2"/>
  <c r="J50" i="2"/>
  <c r="J49" i="2"/>
  <c r="J48" i="2"/>
  <c r="N48" i="2" s="1"/>
  <c r="Q48" i="2" s="1"/>
  <c r="J46" i="2"/>
  <c r="N46" i="2" s="1"/>
  <c r="E43" i="2" s="1"/>
  <c r="J45" i="2"/>
  <c r="J44" i="2"/>
  <c r="N44" i="2" s="1"/>
  <c r="J43" i="2"/>
  <c r="N43" i="2" s="1"/>
  <c r="E40" i="2" s="1"/>
  <c r="J42" i="2"/>
  <c r="J40" i="2"/>
  <c r="J39" i="2"/>
  <c r="N39" i="2" s="1"/>
  <c r="Q39" i="2" s="1"/>
  <c r="J38" i="2"/>
  <c r="J37" i="2"/>
  <c r="N37" i="2" s="1"/>
  <c r="J36" i="2"/>
  <c r="J34" i="2"/>
  <c r="J33" i="2"/>
  <c r="J31" i="2"/>
  <c r="N31" i="2" s="1"/>
  <c r="E28" i="2" s="1"/>
  <c r="J30" i="2"/>
  <c r="J29" i="2"/>
  <c r="J27" i="2"/>
  <c r="N27" i="2" s="1"/>
  <c r="Q27" i="2" s="1"/>
  <c r="J26" i="2"/>
  <c r="J25" i="2"/>
  <c r="J23" i="2"/>
  <c r="J22" i="2"/>
  <c r="N22" i="2" s="1"/>
  <c r="J21" i="2"/>
  <c r="N21" i="2" s="1"/>
  <c r="E18" i="2" s="1"/>
  <c r="J20" i="2"/>
  <c r="J19" i="2"/>
  <c r="J17" i="2"/>
  <c r="J16" i="2"/>
  <c r="N16" i="2" s="1"/>
  <c r="E13" i="2" s="1"/>
  <c r="J15" i="2"/>
  <c r="J14" i="2"/>
  <c r="N14" i="2" s="1"/>
  <c r="E11" i="2" s="1"/>
  <c r="J13" i="2"/>
  <c r="I53" i="2"/>
  <c r="I46" i="2"/>
  <c r="I45" i="2"/>
  <c r="I44" i="2"/>
  <c r="M44" i="2" s="1"/>
  <c r="D41" i="2" s="1"/>
  <c r="I43" i="2"/>
  <c r="I42" i="2"/>
  <c r="I40" i="2"/>
  <c r="M40" i="2" s="1"/>
  <c r="I39" i="2"/>
  <c r="I38" i="2"/>
  <c r="M38" i="2" s="1"/>
  <c r="D35" i="2" s="1"/>
  <c r="I37" i="2"/>
  <c r="I36" i="2"/>
  <c r="I34" i="2"/>
  <c r="I25" i="2"/>
  <c r="M25" i="2" s="1"/>
  <c r="I20" i="2"/>
  <c r="I19" i="2"/>
  <c r="M19" i="2" s="1"/>
  <c r="I17" i="2"/>
  <c r="M17" i="2" s="1"/>
  <c r="D14" i="2" s="1"/>
  <c r="I15" i="2"/>
  <c r="M15" i="2" s="1"/>
  <c r="D12" i="2" s="1"/>
  <c r="I13" i="2"/>
  <c r="M13" i="2" s="1"/>
  <c r="M46" i="2"/>
  <c r="D43" i="2" s="1"/>
  <c r="M45" i="2"/>
  <c r="M43" i="2"/>
  <c r="D40" i="2" s="1"/>
  <c r="N15" i="2"/>
  <c r="M34" i="2"/>
  <c r="M31" i="2"/>
  <c r="M29" i="2"/>
  <c r="M21" i="2"/>
  <c r="M16" i="2"/>
  <c r="M53" i="2"/>
  <c r="D51" i="2" s="1"/>
  <c r="M52" i="2"/>
  <c r="M51" i="2"/>
  <c r="M50" i="2"/>
  <c r="M49" i="2"/>
  <c r="O49" i="2" s="1"/>
  <c r="M48" i="2"/>
  <c r="M42" i="2"/>
  <c r="M39" i="2"/>
  <c r="D36" i="2" s="1"/>
  <c r="M37" i="2"/>
  <c r="M36" i="2"/>
  <c r="M33" i="2"/>
  <c r="D30" i="2" s="1"/>
  <c r="M22" i="2"/>
  <c r="D19" i="2" s="1"/>
  <c r="M20" i="2"/>
  <c r="M14" i="2"/>
  <c r="D11" i="2" s="1"/>
  <c r="D33" i="2"/>
  <c r="D34" i="2"/>
  <c r="D39" i="2"/>
  <c r="D45" i="2"/>
  <c r="D47" i="2"/>
  <c r="D48" i="2"/>
  <c r="D49" i="2"/>
  <c r="E52" i="2"/>
  <c r="D17" i="2"/>
  <c r="N34" i="2"/>
  <c r="E31" i="2" s="1"/>
  <c r="N26" i="2"/>
  <c r="E23" i="2" s="1"/>
  <c r="N25" i="2"/>
  <c r="E22" i="2" s="1"/>
  <c r="N13" i="2"/>
  <c r="E10" i="2" s="1"/>
  <c r="N17" i="2"/>
  <c r="E14" i="2" s="1"/>
  <c r="N40" i="2"/>
  <c r="E37" i="2" s="1"/>
  <c r="N42" i="2"/>
  <c r="E39" i="2" s="1"/>
  <c r="F39" i="2" s="1"/>
  <c r="N49" i="2"/>
  <c r="N50" i="2"/>
  <c r="E47" i="2" s="1"/>
  <c r="N51" i="2"/>
  <c r="O51" i="2" s="1"/>
  <c r="N53" i="2"/>
  <c r="N45" i="2"/>
  <c r="N36" i="2"/>
  <c r="E33" i="2" s="1"/>
  <c r="N33" i="2"/>
  <c r="N23" i="2"/>
  <c r="E20" i="2" s="1"/>
  <c r="N19" i="2"/>
  <c r="E16" i="2" s="1"/>
  <c r="N20" i="2"/>
  <c r="O20" i="2" s="1"/>
  <c r="N29" i="2"/>
  <c r="E26" i="2" s="1"/>
  <c r="N30" i="2"/>
  <c r="E27" i="2" s="1"/>
  <c r="N38" i="2"/>
  <c r="N54" i="2"/>
  <c r="O50" i="2"/>
  <c r="E35" i="2"/>
  <c r="Q20" i="2"/>
  <c r="O36" i="2"/>
  <c r="E42" i="2"/>
  <c r="E48" i="2"/>
  <c r="F48" i="2" s="1"/>
  <c r="E51" i="2"/>
  <c r="D22" i="2" l="1"/>
  <c r="Q25" i="2"/>
  <c r="Q37" i="2"/>
  <c r="O37" i="2"/>
  <c r="E34" i="2"/>
  <c r="F34" i="2" s="1"/>
  <c r="Q22" i="2"/>
  <c r="O22" i="2"/>
  <c r="E19" i="2"/>
  <c r="F19" i="2" s="1"/>
  <c r="F14" i="2"/>
  <c r="Q44" i="2"/>
  <c r="E41" i="2"/>
  <c r="F41" i="2" s="1"/>
  <c r="O44" i="2"/>
  <c r="Q38" i="2"/>
  <c r="F35" i="2"/>
  <c r="F51" i="2"/>
  <c r="Q17" i="2"/>
  <c r="Q42" i="2"/>
  <c r="Q51" i="2"/>
  <c r="E17" i="2"/>
  <c r="F17" i="2" s="1"/>
  <c r="O17" i="2"/>
  <c r="Q53" i="2"/>
  <c r="Q49" i="2"/>
  <c r="D46" i="2"/>
  <c r="E46" i="2"/>
  <c r="F46" i="2" s="1"/>
  <c r="O53" i="2"/>
  <c r="Q33" i="2"/>
  <c r="Q52" i="2"/>
  <c r="E45" i="2"/>
  <c r="F45" i="2" s="1"/>
  <c r="O48" i="2"/>
  <c r="E36" i="2"/>
  <c r="F36" i="2" s="1"/>
  <c r="E30" i="2"/>
  <c r="F30" i="2" s="1"/>
  <c r="O27" i="2"/>
  <c r="D10" i="2"/>
  <c r="Q13" i="2"/>
  <c r="F27" i="2"/>
  <c r="Q30" i="2"/>
  <c r="Q36" i="2"/>
  <c r="O38" i="2"/>
  <c r="O42" i="2"/>
  <c r="Q50" i="2"/>
  <c r="O52" i="2"/>
  <c r="F10" i="2"/>
  <c r="F22" i="2"/>
  <c r="O15" i="2"/>
  <c r="F33" i="2"/>
  <c r="O54" i="2"/>
  <c r="O25" i="2"/>
  <c r="O13" i="2"/>
  <c r="F47" i="2"/>
  <c r="O46" i="2"/>
  <c r="Q54" i="2"/>
  <c r="O40" i="2"/>
  <c r="D37" i="2"/>
  <c r="F37" i="2" s="1"/>
  <c r="Q40" i="2"/>
  <c r="D42" i="2"/>
  <c r="Q45" i="2"/>
  <c r="O45" i="2"/>
  <c r="D13" i="2"/>
  <c r="F13" i="2" s="1"/>
  <c r="Q16" i="2"/>
  <c r="O16" i="2"/>
  <c r="O19" i="2"/>
  <c r="D16" i="2"/>
  <c r="D18" i="2"/>
  <c r="Q21" i="2"/>
  <c r="O21" i="2"/>
  <c r="D20" i="2"/>
  <c r="O23" i="2"/>
  <c r="Q23" i="2"/>
  <c r="D23" i="2"/>
  <c r="F23" i="2" s="1"/>
  <c r="O26" i="2"/>
  <c r="Q26" i="2"/>
  <c r="O29" i="2"/>
  <c r="D26" i="2"/>
  <c r="F26" i="2" s="1"/>
  <c r="Q29" i="2"/>
  <c r="D28" i="2"/>
  <c r="O31" i="2"/>
  <c r="Q31" i="2"/>
  <c r="O34" i="2"/>
  <c r="D31" i="2"/>
  <c r="F31" i="2" s="1"/>
  <c r="Q34" i="2"/>
  <c r="F18" i="2"/>
  <c r="F16" i="2"/>
  <c r="O43" i="2"/>
  <c r="F28" i="2"/>
  <c r="F42" i="2"/>
  <c r="F20" i="2"/>
  <c r="O33" i="2"/>
  <c r="Q14" i="2"/>
  <c r="E24" i="2"/>
  <c r="F24" i="2" s="1"/>
  <c r="O39" i="2"/>
  <c r="F40" i="2"/>
  <c r="Q19" i="2"/>
  <c r="Q43" i="2"/>
  <c r="F43" i="2"/>
  <c r="Q15" i="2"/>
  <c r="F11" i="2"/>
  <c r="Q46" i="2"/>
  <c r="O14" i="2"/>
  <c r="O30" i="2"/>
  <c r="E12" i="2"/>
  <c r="F12" i="2" s="1"/>
  <c r="D53" i="2" l="1"/>
  <c r="D57" i="2" s="1"/>
  <c r="F53" i="2"/>
  <c r="E53" i="2"/>
  <c r="E57" i="2" s="1"/>
  <c r="F57" i="2" l="1"/>
</calcChain>
</file>

<file path=xl/sharedStrings.xml><?xml version="1.0" encoding="utf-8"?>
<sst xmlns="http://schemas.openxmlformats.org/spreadsheetml/2006/main" count="44" uniqueCount="37">
  <si>
    <t>CPT</t>
  </si>
  <si>
    <t>Office, new</t>
  </si>
  <si>
    <t>Office, estab</t>
  </si>
  <si>
    <t>Initial hospital</t>
  </si>
  <si>
    <t>Subsequent hospital</t>
  </si>
  <si>
    <t>Hospital discharge</t>
  </si>
  <si>
    <t>Office consult</t>
  </si>
  <si>
    <t>Inpatient consult</t>
  </si>
  <si>
    <t>Emergency visit</t>
  </si>
  <si>
    <t>Critical care</t>
  </si>
  <si>
    <t>Conversion Factor</t>
  </si>
  <si>
    <t>Total RVUs</t>
  </si>
  <si>
    <t>Year</t>
  </si>
  <si>
    <t>Change</t>
  </si>
  <si>
    <t>Totals Per Week</t>
  </si>
  <si>
    <t>Interactive Reimbursement Calculator</t>
  </si>
  <si>
    <r>
      <t>How to use the Calculator</t>
    </r>
    <r>
      <rPr>
        <sz val="14"/>
        <rFont val="Arial"/>
        <family val="2"/>
      </rPr>
      <t>:</t>
    </r>
  </si>
  <si>
    <t>Office, established</t>
  </si>
  <si>
    <r>
      <t>NOTES</t>
    </r>
    <r>
      <rPr>
        <sz val="10"/>
        <rFont val="Arial"/>
      </rPr>
      <t>:</t>
    </r>
  </si>
  <si>
    <t>Enter your average weekly Medicare patient load into the yellow box adjacent to the corresponding</t>
  </si>
  <si>
    <t>Totals Thru June 30</t>
  </si>
  <si>
    <t xml:space="preserve">CPT codes. The calculator will estimate your Medicare payments per week and through the first </t>
  </si>
  <si>
    <t>six months of the year.</t>
  </si>
  <si>
    <t>Utilization       Per Week</t>
  </si>
  <si>
    <t>2010 Allowance</t>
  </si>
  <si>
    <r>
      <t xml:space="preserve">Office consult </t>
    </r>
    <r>
      <rPr>
        <b/>
        <sz val="14"/>
        <color indexed="10"/>
        <rFont val="Arial"/>
        <family val="2"/>
      </rPr>
      <t>(not covered by Medicare)</t>
    </r>
  </si>
  <si>
    <r>
      <t xml:space="preserve">Inpatient consult </t>
    </r>
    <r>
      <rPr>
        <b/>
        <sz val="14"/>
        <color indexed="10"/>
        <rFont val="Arial"/>
        <family val="2"/>
      </rPr>
      <t>(not covered by Medicare)</t>
    </r>
  </si>
  <si>
    <t>Weeks Worked CY 2010:</t>
  </si>
  <si>
    <t>The financial impact of the RVU increases for each physician will vary depending on patient volume, payer mix, and code frequency distribution.</t>
  </si>
  <si>
    <t>2011 (+0.0%)</t>
  </si>
  <si>
    <t>2011 Allowance</t>
  </si>
  <si>
    <t xml:space="preserve">2010 Revenue            </t>
  </si>
  <si>
    <t xml:space="preserve">2011 Revenue                 </t>
  </si>
  <si>
    <t>2010 revenue is based on 1) the 2010 total RVUs for individual services including adjustments to reflect Medicare's decision to eliminate payments for consultation codes</t>
  </si>
  <si>
    <t>2011 revenue is based on 1) the 2011 total RVUs for individual services including adjustments to reflect rebasing and revising of  the Medicare Economic Index and</t>
  </si>
  <si>
    <t>and the 1st year of a 4-year transition to new PE RVUs, 2) a +2.2% physician payment update from 6/1/2010-12/31/2010, 3) the 2010 CF with no geographic adjustment.</t>
  </si>
  <si>
    <t>the 2nd of a 4-year transition to new PE RVUs, 2) a 0% physician payment update, 3) the 2011 CF with no geographic adjustment.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</si>
</sst>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%"/>
  </numFmts>
  <fonts count="12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8"/>
      <name val="Arial"/>
    </font>
    <font>
      <sz val="14"/>
      <name val="Arial"/>
    </font>
    <font>
      <b/>
      <sz val="14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/>
    <xf numFmtId="0" fontId="0" fillId="0" borderId="0" xfId="0" applyAlignment="1" applyProtection="1">
      <alignment wrapText="1"/>
      <protection hidden="1"/>
    </xf>
    <xf numFmtId="0" fontId="0" fillId="0" borderId="0" xfId="0" applyProtection="1">
      <protection hidden="1"/>
    </xf>
    <xf numFmtId="0" fontId="1" fillId="0" borderId="1" xfId="0" applyFont="1" applyFill="1" applyBorder="1" applyAlignment="1" applyProtection="1">
      <alignment wrapText="1"/>
      <protection hidden="1"/>
    </xf>
    <xf numFmtId="0" fontId="2" fillId="0" borderId="0" xfId="0" applyFont="1" applyProtection="1">
      <protection hidden="1"/>
    </xf>
    <xf numFmtId="2" fontId="0" fillId="0" borderId="0" xfId="0" applyNumberFormat="1" applyProtection="1">
      <protection hidden="1"/>
    </xf>
    <xf numFmtId="0" fontId="3" fillId="0" borderId="1" xfId="0" applyFont="1" applyBorder="1" applyProtection="1">
      <protection hidden="1"/>
    </xf>
    <xf numFmtId="164" fontId="0" fillId="0" borderId="0" xfId="0" applyNumberFormat="1" applyProtection="1">
      <protection hidden="1"/>
    </xf>
    <xf numFmtId="164" fontId="0" fillId="2" borderId="0" xfId="0" applyNumberFormat="1" applyFill="1" applyProtection="1">
      <protection hidden="1"/>
    </xf>
    <xf numFmtId="0" fontId="3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1" fillId="0" borderId="0" xfId="0" applyFont="1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3" fillId="0" borderId="1" xfId="0" applyFont="1" applyFill="1" applyBorder="1" applyProtection="1">
      <protection hidden="1"/>
    </xf>
    <xf numFmtId="0" fontId="3" fillId="0" borderId="2" xfId="0" applyFont="1" applyFill="1" applyBorder="1" applyProtection="1">
      <protection hidden="1"/>
    </xf>
    <xf numFmtId="0" fontId="5" fillId="0" borderId="0" xfId="0" applyFont="1"/>
    <xf numFmtId="0" fontId="5" fillId="3" borderId="4" xfId="0" applyFont="1" applyFill="1" applyBorder="1" applyProtection="1">
      <protection locked="0"/>
    </xf>
    <xf numFmtId="164" fontId="5" fillId="0" borderId="5" xfId="0" applyNumberFormat="1" applyFont="1" applyBorder="1"/>
    <xf numFmtId="0" fontId="5" fillId="3" borderId="1" xfId="0" applyFont="1" applyFill="1" applyBorder="1" applyProtection="1">
      <protection locked="0"/>
    </xf>
    <xf numFmtId="0" fontId="7" fillId="0" borderId="6" xfId="0" applyFont="1" applyBorder="1"/>
    <xf numFmtId="0" fontId="7" fillId="0" borderId="7" xfId="0" applyFont="1" applyBorder="1"/>
    <xf numFmtId="0" fontId="5" fillId="0" borderId="6" xfId="0" applyFont="1" applyBorder="1"/>
    <xf numFmtId="0" fontId="5" fillId="0" borderId="7" xfId="0" applyFont="1" applyBorder="1"/>
    <xf numFmtId="0" fontId="7" fillId="0" borderId="6" xfId="0" applyFont="1" applyFill="1" applyBorder="1"/>
    <xf numFmtId="0" fontId="7" fillId="0" borderId="8" xfId="0" applyFont="1" applyBorder="1"/>
    <xf numFmtId="0" fontId="5" fillId="3" borderId="9" xfId="0" applyFont="1" applyFill="1" applyBorder="1" applyProtection="1">
      <protection locked="0"/>
    </xf>
    <xf numFmtId="164" fontId="5" fillId="0" borderId="10" xfId="0" applyNumberFormat="1" applyFont="1" applyBorder="1"/>
    <xf numFmtId="0" fontId="5" fillId="0" borderId="8" xfId="0" applyFont="1" applyBorder="1"/>
    <xf numFmtId="0" fontId="7" fillId="0" borderId="8" xfId="0" applyFont="1" applyFill="1" applyBorder="1"/>
    <xf numFmtId="0" fontId="6" fillId="0" borderId="1" xfId="0" applyFont="1" applyBorder="1" applyProtection="1">
      <protection locked="0"/>
    </xf>
    <xf numFmtId="0" fontId="6" fillId="0" borderId="1" xfId="0" applyFont="1" applyBorder="1"/>
    <xf numFmtId="0" fontId="6" fillId="0" borderId="1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/>
    </xf>
    <xf numFmtId="164" fontId="6" fillId="0" borderId="5" xfId="0" applyNumberFormat="1" applyFont="1" applyFill="1" applyBorder="1" applyAlignment="1">
      <alignment vertical="center"/>
    </xf>
    <xf numFmtId="164" fontId="6" fillId="0" borderId="12" xfId="0" applyNumberFormat="1" applyFont="1" applyFill="1" applyBorder="1" applyAlignment="1">
      <alignment vertical="center"/>
    </xf>
    <xf numFmtId="164" fontId="6" fillId="2" borderId="13" xfId="0" applyNumberFormat="1" applyFont="1" applyFill="1" applyBorder="1" applyAlignment="1">
      <alignment vertical="center"/>
    </xf>
    <xf numFmtId="0" fontId="6" fillId="0" borderId="11" xfId="0" applyFont="1" applyBorder="1" applyAlignment="1">
      <alignment wrapText="1"/>
    </xf>
    <xf numFmtId="0" fontId="6" fillId="0" borderId="5" xfId="0" applyFont="1" applyFill="1" applyBorder="1" applyProtection="1">
      <protection locked="0"/>
    </xf>
    <xf numFmtId="0" fontId="6" fillId="0" borderId="5" xfId="0" applyFont="1" applyBorder="1" applyProtection="1">
      <protection locked="0"/>
    </xf>
    <xf numFmtId="0" fontId="6" fillId="0" borderId="5" xfId="0" applyFont="1" applyBorder="1"/>
    <xf numFmtId="0" fontId="6" fillId="0" borderId="12" xfId="0" applyFont="1" applyBorder="1"/>
    <xf numFmtId="164" fontId="6" fillId="2" borderId="9" xfId="0" applyNumberFormat="1" applyFont="1" applyFill="1" applyBorder="1" applyAlignment="1">
      <alignment vertical="center"/>
    </xf>
    <xf numFmtId="0" fontId="8" fillId="0" borderId="0" xfId="0" applyFont="1"/>
    <xf numFmtId="0" fontId="7" fillId="0" borderId="0" xfId="0" applyFont="1"/>
    <xf numFmtId="0" fontId="7" fillId="0" borderId="7" xfId="0" applyFont="1" applyBorder="1" applyAlignment="1">
      <alignment vertical="center" wrapText="1"/>
    </xf>
    <xf numFmtId="0" fontId="10" fillId="0" borderId="0" xfId="0" applyFont="1"/>
    <xf numFmtId="0" fontId="9" fillId="0" borderId="0" xfId="0" applyFont="1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0" fontId="5" fillId="0" borderId="5" xfId="0" applyFont="1" applyBorder="1" applyProtection="1">
      <protection locked="0"/>
    </xf>
    <xf numFmtId="164" fontId="5" fillId="0" borderId="12" xfId="0" applyNumberFormat="1" applyFont="1" applyBorder="1"/>
    <xf numFmtId="0" fontId="5" fillId="0" borderId="10" xfId="0" applyFont="1" applyBorder="1" applyProtection="1">
      <protection locked="0"/>
    </xf>
    <xf numFmtId="0" fontId="7" fillId="3" borderId="1" xfId="0" applyFont="1" applyFill="1" applyBorder="1" applyProtection="1">
      <protection locked="0"/>
    </xf>
    <xf numFmtId="0" fontId="7" fillId="0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/>
    <xf numFmtId="164" fontId="6" fillId="2" borderId="18" xfId="0" applyNumberFormat="1" applyFont="1" applyFill="1" applyBorder="1" applyAlignment="1">
      <alignment vertical="center"/>
    </xf>
    <xf numFmtId="164" fontId="6" fillId="2" borderId="19" xfId="0" applyNumberFormat="1" applyFont="1" applyFill="1" applyBorder="1" applyAlignment="1">
      <alignment vertical="center"/>
    </xf>
    <xf numFmtId="0" fontId="6" fillId="0" borderId="20" xfId="0" applyFont="1" applyBorder="1"/>
    <xf numFmtId="165" fontId="0" fillId="0" borderId="0" xfId="0" applyNumberFormat="1"/>
    <xf numFmtId="0" fontId="7" fillId="0" borderId="15" xfId="0" applyFont="1" applyBorder="1" applyAlignment="1">
      <alignment horizontal="center" vertical="center" wrapText="1"/>
    </xf>
    <xf numFmtId="2" fontId="0" fillId="0" borderId="0" xfId="0" applyNumberFormat="1" applyFill="1" applyProtection="1">
      <protection hidden="1"/>
    </xf>
    <xf numFmtId="0" fontId="0" fillId="0" borderId="0" xfId="0" applyFill="1" applyProtection="1">
      <protection hidden="1"/>
    </xf>
    <xf numFmtId="0" fontId="1" fillId="0" borderId="0" xfId="0" applyFont="1" applyFill="1" applyBorder="1" applyAlignment="1" applyProtection="1">
      <alignment horizontal="center" wrapText="1"/>
      <protection hidden="1"/>
    </xf>
    <xf numFmtId="0" fontId="6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/>
    </xf>
    <xf numFmtId="0" fontId="9" fillId="0" borderId="0" xfId="0" applyFont="1" applyAlignment="1">
      <alignment horizontal="left"/>
    </xf>
    <xf numFmtId="0" fontId="6" fillId="2" borderId="21" xfId="0" applyFont="1" applyFill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67"/>
  <sheetViews>
    <sheetView tabSelected="1" topLeftCell="A36" workbookViewId="0">
      <selection activeCell="C43" sqref="C43"/>
    </sheetView>
  </sheetViews>
  <sheetFormatPr defaultRowHeight="12.75" x14ac:dyDescent="0.2"/>
  <cols>
    <col min="1" max="1" width="17.7109375" customWidth="1"/>
    <col min="2" max="2" width="15.7109375" customWidth="1"/>
    <col min="3" max="3" width="17.7109375" customWidth="1"/>
    <col min="4" max="6" width="30.7109375" customWidth="1"/>
    <col min="7" max="7" width="9.140625" customWidth="1"/>
    <col min="8" max="8" width="11" style="3" hidden="1" customWidth="1"/>
    <col min="9" max="12" width="9.140625" style="3" hidden="1" customWidth="1"/>
    <col min="13" max="13" width="10.7109375" style="3" hidden="1" customWidth="1"/>
    <col min="14" max="14" width="10.5703125" hidden="1" customWidth="1"/>
    <col min="15" max="17" width="9.140625" hidden="1" customWidth="1"/>
  </cols>
  <sheetData>
    <row r="1" spans="1:17" ht="23.25" x14ac:dyDescent="0.35">
      <c r="A1" s="76" t="s">
        <v>15</v>
      </c>
      <c r="B1" s="76"/>
      <c r="C1" s="76"/>
      <c r="D1" s="76"/>
      <c r="E1" s="49"/>
      <c r="F1" s="49"/>
    </row>
    <row r="3" spans="1:17" ht="18" x14ac:dyDescent="0.25">
      <c r="A3" s="45" t="s">
        <v>16</v>
      </c>
      <c r="B3" s="46"/>
      <c r="C3" s="46"/>
      <c r="D3" s="46"/>
      <c r="E3" s="18"/>
      <c r="F3" s="18"/>
    </row>
    <row r="4" spans="1:17" ht="18" x14ac:dyDescent="0.25">
      <c r="A4" s="46" t="s">
        <v>19</v>
      </c>
      <c r="B4" s="46"/>
      <c r="C4" s="46"/>
      <c r="D4" s="46"/>
      <c r="E4" s="18"/>
      <c r="F4" s="18"/>
    </row>
    <row r="5" spans="1:17" ht="18" x14ac:dyDescent="0.25">
      <c r="A5" s="46" t="s">
        <v>21</v>
      </c>
      <c r="B5" s="46"/>
      <c r="C5" s="46"/>
      <c r="D5" s="46"/>
      <c r="E5" s="18"/>
      <c r="F5" s="18"/>
    </row>
    <row r="6" spans="1:17" ht="18" x14ac:dyDescent="0.25">
      <c r="A6" s="46" t="s">
        <v>22</v>
      </c>
      <c r="B6" s="46"/>
      <c r="C6" s="46"/>
      <c r="D6" s="46"/>
      <c r="E6" s="18"/>
      <c r="F6" s="18"/>
    </row>
    <row r="7" spans="1:17" ht="18" customHeight="1" thickBot="1" x14ac:dyDescent="0.3">
      <c r="A7" s="18"/>
      <c r="B7" s="18"/>
      <c r="C7" s="18"/>
      <c r="D7" s="18"/>
      <c r="E7" s="18"/>
      <c r="F7" s="18"/>
    </row>
    <row r="8" spans="1:17" ht="51.75" customHeight="1" thickTop="1" thickBot="1" x14ac:dyDescent="0.3">
      <c r="A8" s="56" t="s">
        <v>0</v>
      </c>
      <c r="B8" s="57"/>
      <c r="C8" s="58" t="s">
        <v>23</v>
      </c>
      <c r="D8" s="65" t="s">
        <v>31</v>
      </c>
      <c r="E8" s="65" t="s">
        <v>32</v>
      </c>
      <c r="F8" s="59" t="s">
        <v>13</v>
      </c>
      <c r="H8" s="2" t="s">
        <v>10</v>
      </c>
      <c r="I8" s="3">
        <v>36.872900000000001</v>
      </c>
      <c r="J8" s="3">
        <v>33.976399999999998</v>
      </c>
    </row>
    <row r="9" spans="1:17" ht="24.95" customHeight="1" thickTop="1" x14ac:dyDescent="0.2">
      <c r="A9" s="69" t="s">
        <v>1</v>
      </c>
      <c r="B9" s="70"/>
      <c r="C9" s="70"/>
      <c r="D9" s="70"/>
      <c r="E9" s="71"/>
      <c r="F9" s="72"/>
      <c r="H9" s="3" t="s">
        <v>12</v>
      </c>
      <c r="I9" s="3">
        <v>2010</v>
      </c>
      <c r="J9" s="2" t="s">
        <v>29</v>
      </c>
      <c r="M9" s="68" t="s">
        <v>24</v>
      </c>
      <c r="N9" s="68" t="s">
        <v>30</v>
      </c>
      <c r="O9" s="68" t="s">
        <v>13</v>
      </c>
    </row>
    <row r="10" spans="1:17" ht="24.95" customHeight="1" x14ac:dyDescent="0.25">
      <c r="A10" s="22">
        <v>99201</v>
      </c>
      <c r="B10" s="52"/>
      <c r="C10" s="19">
        <v>0</v>
      </c>
      <c r="D10" s="20">
        <f>M13*C10</f>
        <v>0</v>
      </c>
      <c r="E10" s="20">
        <f>N13*C10</f>
        <v>0</v>
      </c>
      <c r="F10" s="53">
        <f>+E10-D10</f>
        <v>0</v>
      </c>
      <c r="H10" s="2"/>
      <c r="I10" s="2" t="s">
        <v>11</v>
      </c>
      <c r="J10" s="2"/>
      <c r="M10" s="79"/>
      <c r="N10" s="68"/>
      <c r="O10" s="68"/>
    </row>
    <row r="11" spans="1:17" ht="24.95" customHeight="1" x14ac:dyDescent="0.25">
      <c r="A11" s="23">
        <v>99202</v>
      </c>
      <c r="B11" s="52"/>
      <c r="C11" s="21">
        <v>0</v>
      </c>
      <c r="D11" s="20">
        <f>M14*C11</f>
        <v>0</v>
      </c>
      <c r="E11" s="20">
        <f>N14*C11</f>
        <v>0</v>
      </c>
      <c r="F11" s="53">
        <f>+E11-D11</f>
        <v>0</v>
      </c>
      <c r="I11" s="2"/>
      <c r="J11" s="2"/>
      <c r="K11" s="4" t="s">
        <v>0</v>
      </c>
    </row>
    <row r="12" spans="1:17" ht="24.95" customHeight="1" x14ac:dyDescent="0.25">
      <c r="A12" s="23">
        <v>99203</v>
      </c>
      <c r="B12" s="52"/>
      <c r="C12" s="21">
        <v>0</v>
      </c>
      <c r="D12" s="20">
        <f>M15*C12</f>
        <v>0</v>
      </c>
      <c r="E12" s="20">
        <f>N15*C12</f>
        <v>0</v>
      </c>
      <c r="F12" s="53">
        <f>+E12-D12</f>
        <v>0</v>
      </c>
      <c r="K12" s="5" t="s">
        <v>1</v>
      </c>
    </row>
    <row r="13" spans="1:17" ht="24.95" customHeight="1" x14ac:dyDescent="0.25">
      <c r="A13" s="23">
        <v>99204</v>
      </c>
      <c r="B13" s="52"/>
      <c r="C13" s="21">
        <v>0</v>
      </c>
      <c r="D13" s="20">
        <f>M16*C13</f>
        <v>0</v>
      </c>
      <c r="E13" s="20">
        <f>N16*C13</f>
        <v>0</v>
      </c>
      <c r="F13" s="53">
        <f>+E13-D13</f>
        <v>0</v>
      </c>
      <c r="I13" s="6">
        <f>(0.48+0.57+0.03)</f>
        <v>1.0799999999999998</v>
      </c>
      <c r="J13" s="6">
        <f>(0.48+0.69+0.04)</f>
        <v>1.21</v>
      </c>
      <c r="K13" s="7">
        <v>99201</v>
      </c>
      <c r="M13" s="8">
        <f>+$I$8*I13</f>
        <v>39.822731999999995</v>
      </c>
      <c r="N13" s="9">
        <f>+$J$8*J13</f>
        <v>41.111443999999999</v>
      </c>
      <c r="O13" s="50">
        <f>+N13-M13</f>
        <v>1.2887120000000039</v>
      </c>
      <c r="Q13" s="64">
        <f>(N13-M13)/M13</f>
        <v>3.2361215197390374E-2</v>
      </c>
    </row>
    <row r="14" spans="1:17" ht="24.95" customHeight="1" thickBot="1" x14ac:dyDescent="0.3">
      <c r="A14" s="27">
        <v>99205</v>
      </c>
      <c r="B14" s="54"/>
      <c r="C14" s="28">
        <v>0</v>
      </c>
      <c r="D14" s="29">
        <f>M17*C14</f>
        <v>0</v>
      </c>
      <c r="E14" s="29">
        <f>N17*C14</f>
        <v>0</v>
      </c>
      <c r="F14" s="60">
        <f>+E14-D14</f>
        <v>0</v>
      </c>
      <c r="I14" s="66">
        <f>(0.93+0.88+0.05)</f>
        <v>1.86</v>
      </c>
      <c r="J14" s="6">
        <f>(0.93+1.09+0.07)</f>
        <v>2.09</v>
      </c>
      <c r="K14" s="7">
        <v>99202</v>
      </c>
      <c r="M14" s="8">
        <f>+$I$8*I14</f>
        <v>68.583594000000005</v>
      </c>
      <c r="N14" s="51">
        <f t="shared" ref="N14:N54" si="0">+$J$8*J14</f>
        <v>71.010675999999989</v>
      </c>
      <c r="O14" s="50">
        <f>+N14-M14</f>
        <v>2.4270819999999844</v>
      </c>
      <c r="Q14" s="64">
        <f t="shared" ref="Q14:Q54" si="1">(N14-M14)/M14</f>
        <v>3.5388667441370661E-2</v>
      </c>
    </row>
    <row r="15" spans="1:17" ht="24.95" customHeight="1" thickTop="1" x14ac:dyDescent="0.2">
      <c r="A15" s="69" t="s">
        <v>17</v>
      </c>
      <c r="B15" s="70"/>
      <c r="C15" s="70"/>
      <c r="D15" s="70"/>
      <c r="E15" s="71"/>
      <c r="F15" s="72"/>
      <c r="I15" s="66">
        <f>(1.42+1.19+0.1)</f>
        <v>2.71</v>
      </c>
      <c r="J15" s="6">
        <f>(1.42+1.47+0.14)</f>
        <v>3.03</v>
      </c>
      <c r="K15" s="7">
        <v>99203</v>
      </c>
      <c r="M15" s="8">
        <f>+$I$8*I15</f>
        <v>99.925559000000007</v>
      </c>
      <c r="N15" s="51">
        <f t="shared" si="0"/>
        <v>102.94849199999999</v>
      </c>
      <c r="O15" s="50">
        <f>+N15-M15</f>
        <v>3.0229329999999806</v>
      </c>
      <c r="Q15" s="64">
        <f t="shared" si="1"/>
        <v>3.0251849779494158E-2</v>
      </c>
    </row>
    <row r="16" spans="1:17" ht="24.95" customHeight="1" x14ac:dyDescent="0.25">
      <c r="A16" s="22">
        <v>99211</v>
      </c>
      <c r="B16" s="52"/>
      <c r="C16" s="19">
        <v>0</v>
      </c>
      <c r="D16" s="20">
        <f>M19*C16</f>
        <v>0</v>
      </c>
      <c r="E16" s="20">
        <f>N19*C16</f>
        <v>0</v>
      </c>
      <c r="F16" s="53">
        <f>+E16-D16</f>
        <v>0</v>
      </c>
      <c r="I16" s="66">
        <f>(2.43+1.61+0.17)</f>
        <v>4.21</v>
      </c>
      <c r="J16" s="6">
        <f>(2.43+2+0.23)</f>
        <v>4.66</v>
      </c>
      <c r="K16" s="7">
        <v>99204</v>
      </c>
      <c r="M16" s="8">
        <f>+$I$8*I16</f>
        <v>155.23490900000002</v>
      </c>
      <c r="N16" s="51">
        <f t="shared" si="0"/>
        <v>158.33002400000001</v>
      </c>
      <c r="O16" s="50">
        <f>+N16-M16</f>
        <v>3.0951149999999927</v>
      </c>
      <c r="Q16" s="64">
        <f t="shared" si="1"/>
        <v>1.9938266591826924E-2</v>
      </c>
    </row>
    <row r="17" spans="1:17" ht="24.95" customHeight="1" thickBot="1" x14ac:dyDescent="0.3">
      <c r="A17" s="23">
        <v>99212</v>
      </c>
      <c r="B17" s="52"/>
      <c r="C17" s="21">
        <v>0</v>
      </c>
      <c r="D17" s="20">
        <f>M20*C17</f>
        <v>0</v>
      </c>
      <c r="E17" s="20">
        <f>N20*C17</f>
        <v>0</v>
      </c>
      <c r="F17" s="53">
        <f>+E17-D17</f>
        <v>0</v>
      </c>
      <c r="I17" s="66">
        <f>(3.17+1.91+0.2)</f>
        <v>5.28</v>
      </c>
      <c r="J17" s="6">
        <f>(3.17+2.36+0.27)</f>
        <v>5.7999999999999989</v>
      </c>
      <c r="K17" s="10">
        <v>99205</v>
      </c>
      <c r="M17" s="8">
        <f>+$I$8*I17</f>
        <v>194.68891200000002</v>
      </c>
      <c r="N17" s="51">
        <f t="shared" si="0"/>
        <v>197.06311999999994</v>
      </c>
      <c r="O17" s="50">
        <f>+N17-M17</f>
        <v>2.3742079999999248</v>
      </c>
      <c r="Q17" s="64">
        <f t="shared" si="1"/>
        <v>1.2194880415171895E-2</v>
      </c>
    </row>
    <row r="18" spans="1:17" ht="24.95" customHeight="1" x14ac:dyDescent="0.25">
      <c r="A18" s="23">
        <v>99213</v>
      </c>
      <c r="B18" s="52"/>
      <c r="C18" s="21">
        <v>0</v>
      </c>
      <c r="D18" s="20">
        <f>M21*C18</f>
        <v>0</v>
      </c>
      <c r="E18" s="20">
        <f>N21*C18</f>
        <v>0</v>
      </c>
      <c r="F18" s="53">
        <f>+E18-D18</f>
        <v>0</v>
      </c>
      <c r="I18" s="67"/>
      <c r="K18" s="11" t="s">
        <v>2</v>
      </c>
      <c r="N18" s="51"/>
      <c r="O18" s="50"/>
      <c r="Q18" s="64"/>
    </row>
    <row r="19" spans="1:17" ht="24.95" customHeight="1" x14ac:dyDescent="0.25">
      <c r="A19" s="23">
        <v>99214</v>
      </c>
      <c r="B19" s="52"/>
      <c r="C19" s="21">
        <v>0</v>
      </c>
      <c r="D19" s="20">
        <f>M22*C19</f>
        <v>0</v>
      </c>
      <c r="E19" s="20">
        <f>N22*C19</f>
        <v>0</v>
      </c>
      <c r="F19" s="53">
        <f>+E19-D19</f>
        <v>0</v>
      </c>
      <c r="I19" s="66">
        <f>(0.18+0.34+0.01)</f>
        <v>0.53</v>
      </c>
      <c r="J19" s="6">
        <f>(0.18+0.39+0.01)</f>
        <v>0.58000000000000007</v>
      </c>
      <c r="K19" s="12">
        <v>99211</v>
      </c>
      <c r="M19" s="8">
        <f>+$I$8*I19</f>
        <v>19.542637000000003</v>
      </c>
      <c r="N19" s="51">
        <f t="shared" si="0"/>
        <v>19.706312</v>
      </c>
      <c r="O19" s="50">
        <f>+N19-M19</f>
        <v>0.16367499999999779</v>
      </c>
      <c r="Q19" s="64">
        <f t="shared" si="1"/>
        <v>8.375277092850764E-3</v>
      </c>
    </row>
    <row r="20" spans="1:17" ht="24.95" customHeight="1" thickBot="1" x14ac:dyDescent="0.3">
      <c r="A20" s="27">
        <v>99215</v>
      </c>
      <c r="B20" s="54"/>
      <c r="C20" s="28">
        <v>0</v>
      </c>
      <c r="D20" s="29">
        <f>M23*C20</f>
        <v>0</v>
      </c>
      <c r="E20" s="29">
        <f>N23*C20</f>
        <v>0</v>
      </c>
      <c r="F20" s="60">
        <f>+E20-D20</f>
        <v>0</v>
      </c>
      <c r="I20" s="66">
        <f>(0.48+0.57+0.03)</f>
        <v>1.0799999999999998</v>
      </c>
      <c r="J20" s="6">
        <f>(0.48+0.7+0.04)</f>
        <v>1.22</v>
      </c>
      <c r="K20" s="7">
        <v>99212</v>
      </c>
      <c r="M20" s="8">
        <f>+$I$8*I20</f>
        <v>39.822731999999995</v>
      </c>
      <c r="N20" s="51">
        <f t="shared" si="0"/>
        <v>41.451207999999994</v>
      </c>
      <c r="O20" s="50">
        <f>+N20-M20</f>
        <v>1.6284759999999991</v>
      </c>
      <c r="Q20" s="64">
        <f t="shared" si="1"/>
        <v>4.0893126066790179E-2</v>
      </c>
    </row>
    <row r="21" spans="1:17" ht="24.95" customHeight="1" thickTop="1" x14ac:dyDescent="0.2">
      <c r="A21" s="69" t="s">
        <v>3</v>
      </c>
      <c r="B21" s="70"/>
      <c r="C21" s="70"/>
      <c r="D21" s="70"/>
      <c r="E21" s="71"/>
      <c r="F21" s="72"/>
      <c r="I21" s="66">
        <f>(0.97+0.79+0.05)</f>
        <v>1.81</v>
      </c>
      <c r="J21" s="6">
        <f>(0.97+0.99+0.07)</f>
        <v>2.0299999999999998</v>
      </c>
      <c r="K21" s="7">
        <v>99213</v>
      </c>
      <c r="M21" s="8">
        <f>+$I$8*I21</f>
        <v>66.73994900000001</v>
      </c>
      <c r="N21" s="51">
        <f t="shared" si="0"/>
        <v>68.972091999999989</v>
      </c>
      <c r="O21" s="50">
        <f>+N21-M21</f>
        <v>2.2321429999999793</v>
      </c>
      <c r="Q21" s="64">
        <f t="shared" si="1"/>
        <v>3.3445380666982216E-2</v>
      </c>
    </row>
    <row r="22" spans="1:17" ht="24.95" customHeight="1" x14ac:dyDescent="0.25">
      <c r="A22" s="22">
        <v>99221</v>
      </c>
      <c r="B22" s="52"/>
      <c r="C22" s="19">
        <v>0</v>
      </c>
      <c r="D22" s="20">
        <f>M25*C22</f>
        <v>0</v>
      </c>
      <c r="E22" s="20">
        <f>N25*C22</f>
        <v>0</v>
      </c>
      <c r="F22" s="53">
        <f>+E22-D22</f>
        <v>0</v>
      </c>
      <c r="I22" s="66">
        <f>(1.5+1.14+0.07)</f>
        <v>2.7099999999999995</v>
      </c>
      <c r="J22" s="6">
        <f>(1.5+1.41+0.1)</f>
        <v>3.0100000000000002</v>
      </c>
      <c r="K22" s="7">
        <v>99214</v>
      </c>
      <c r="M22" s="8">
        <f>+$I$8*I22</f>
        <v>99.925558999999993</v>
      </c>
      <c r="N22" s="51">
        <f t="shared" si="0"/>
        <v>102.268964</v>
      </c>
      <c r="O22" s="50">
        <f>+N22-M22</f>
        <v>2.3434050000000042</v>
      </c>
      <c r="Q22" s="64">
        <f t="shared" si="1"/>
        <v>2.3451507536725456E-2</v>
      </c>
    </row>
    <row r="23" spans="1:17" ht="24.95" customHeight="1" thickBot="1" x14ac:dyDescent="0.3">
      <c r="A23" s="23">
        <v>99222</v>
      </c>
      <c r="B23" s="52"/>
      <c r="C23" s="21">
        <v>0</v>
      </c>
      <c r="D23" s="20">
        <f>M26*C23</f>
        <v>0</v>
      </c>
      <c r="E23" s="20">
        <f>N26*C23</f>
        <v>0</v>
      </c>
      <c r="F23" s="53">
        <f>+E23-D23</f>
        <v>0</v>
      </c>
      <c r="I23" s="66">
        <f>(2.11+1.45+0.1)</f>
        <v>3.6599999999999997</v>
      </c>
      <c r="J23" s="6">
        <f>(2.11+1.8+0.14)</f>
        <v>4.05</v>
      </c>
      <c r="K23" s="10">
        <v>99215</v>
      </c>
      <c r="M23" s="8">
        <f>+$I$8*I23</f>
        <v>134.954814</v>
      </c>
      <c r="N23" s="51">
        <f t="shared" si="0"/>
        <v>137.60441999999998</v>
      </c>
      <c r="O23" s="50">
        <f>+N23-M23</f>
        <v>2.6496059999999773</v>
      </c>
      <c r="Q23" s="64">
        <f t="shared" si="1"/>
        <v>1.9633282588941047E-2</v>
      </c>
    </row>
    <row r="24" spans="1:17" ht="24.95" customHeight="1" thickBot="1" x14ac:dyDescent="0.3">
      <c r="A24" s="27">
        <v>99223</v>
      </c>
      <c r="B24" s="54"/>
      <c r="C24" s="28">
        <v>0</v>
      </c>
      <c r="D24" s="29">
        <f>M27*C24</f>
        <v>0</v>
      </c>
      <c r="E24" s="20">
        <f>N27*C24</f>
        <v>0</v>
      </c>
      <c r="F24" s="53">
        <f>+E24-D24</f>
        <v>0</v>
      </c>
      <c r="I24" s="66"/>
      <c r="J24" s="6"/>
      <c r="K24" s="11" t="s">
        <v>3</v>
      </c>
      <c r="N24" s="51"/>
      <c r="O24" s="50"/>
      <c r="Q24" s="64"/>
    </row>
    <row r="25" spans="1:17" ht="24.95" customHeight="1" thickTop="1" x14ac:dyDescent="0.2">
      <c r="A25" s="69" t="s">
        <v>4</v>
      </c>
      <c r="B25" s="70"/>
      <c r="C25" s="70"/>
      <c r="D25" s="70"/>
      <c r="E25" s="71"/>
      <c r="F25" s="72"/>
      <c r="I25" s="66">
        <f>(1.92+0.59+0.13)</f>
        <v>2.6399999999999997</v>
      </c>
      <c r="J25" s="6">
        <f>(1.92+0.76+0.18)</f>
        <v>2.86</v>
      </c>
      <c r="K25" s="12">
        <v>99221</v>
      </c>
      <c r="M25" s="8">
        <f>+$I$8*I25</f>
        <v>97.344455999999994</v>
      </c>
      <c r="N25" s="51">
        <f t="shared" si="0"/>
        <v>97.172503999999989</v>
      </c>
      <c r="O25" s="50">
        <f>+N25-M25</f>
        <v>-0.17195200000000455</v>
      </c>
      <c r="Q25" s="64">
        <f t="shared" si="1"/>
        <v>-1.7664282802094509E-3</v>
      </c>
    </row>
    <row r="26" spans="1:17" ht="24.95" customHeight="1" x14ac:dyDescent="0.25">
      <c r="A26" s="22">
        <v>99231</v>
      </c>
      <c r="B26" s="52"/>
      <c r="C26" s="19">
        <v>0</v>
      </c>
      <c r="D26" s="20">
        <f>M29*C26</f>
        <v>0</v>
      </c>
      <c r="E26" s="20">
        <f>N29*C26</f>
        <v>0</v>
      </c>
      <c r="F26" s="53">
        <f>+E26-D26</f>
        <v>0</v>
      </c>
      <c r="I26" s="66">
        <f>(2.61+0.81+0.16)</f>
        <v>3.58</v>
      </c>
      <c r="J26" s="6">
        <f>(2.61+1.06+0.22)</f>
        <v>3.89</v>
      </c>
      <c r="K26" s="7">
        <v>99222</v>
      </c>
      <c r="M26" s="8">
        <f>+$I$8*I26</f>
        <v>132.00498200000001</v>
      </c>
      <c r="N26" s="51">
        <f t="shared" si="0"/>
        <v>132.16819599999999</v>
      </c>
      <c r="O26" s="50">
        <f>+N26-M26</f>
        <v>0.16321399999998221</v>
      </c>
      <c r="Q26" s="64">
        <f t="shared" si="1"/>
        <v>1.2364230313669691E-3</v>
      </c>
    </row>
    <row r="27" spans="1:17" ht="24.95" customHeight="1" thickBot="1" x14ac:dyDescent="0.3">
      <c r="A27" s="23">
        <v>99232</v>
      </c>
      <c r="B27" s="52"/>
      <c r="C27" s="21">
        <v>0</v>
      </c>
      <c r="D27" s="20">
        <f>M30*C27</f>
        <v>0</v>
      </c>
      <c r="E27" s="20">
        <f>N30*C27</f>
        <v>0</v>
      </c>
      <c r="F27" s="53">
        <f>+E27-D27</f>
        <v>0</v>
      </c>
      <c r="I27" s="66">
        <f>(3.86+1.2+0.21)</f>
        <v>5.27</v>
      </c>
      <c r="J27" s="6">
        <f>(3.86+1.56+0.29)</f>
        <v>5.71</v>
      </c>
      <c r="K27" s="10">
        <v>99223</v>
      </c>
      <c r="M27" s="8">
        <f>+$I$8*I27</f>
        <v>194.32018299999999</v>
      </c>
      <c r="N27" s="51">
        <f t="shared" si="0"/>
        <v>194.00524399999998</v>
      </c>
      <c r="O27" s="50">
        <f>+N27-M27</f>
        <v>-0.31493900000000963</v>
      </c>
      <c r="Q27" s="64">
        <f t="shared" si="1"/>
        <v>-1.6207220224777662E-3</v>
      </c>
    </row>
    <row r="28" spans="1:17" ht="24.95" customHeight="1" thickBot="1" x14ac:dyDescent="0.3">
      <c r="A28" s="27">
        <v>99233</v>
      </c>
      <c r="B28" s="54"/>
      <c r="C28" s="28">
        <v>0</v>
      </c>
      <c r="D28" s="29">
        <f>M31*C28</f>
        <v>0</v>
      </c>
      <c r="E28" s="20">
        <f>N31*C28</f>
        <v>0</v>
      </c>
      <c r="F28" s="53">
        <f>+E28-D28</f>
        <v>0</v>
      </c>
      <c r="I28" s="66"/>
      <c r="J28" s="6"/>
      <c r="K28" s="13" t="s">
        <v>4</v>
      </c>
      <c r="N28" s="51"/>
      <c r="O28" s="50"/>
      <c r="Q28" s="64"/>
    </row>
    <row r="29" spans="1:17" ht="24.95" customHeight="1" thickTop="1" x14ac:dyDescent="0.2">
      <c r="A29" s="69" t="s">
        <v>5</v>
      </c>
      <c r="B29" s="70"/>
      <c r="C29" s="70"/>
      <c r="D29" s="70"/>
      <c r="E29" s="71"/>
      <c r="F29" s="72"/>
      <c r="I29" s="66">
        <f>(0.76+0.25+0.04)</f>
        <v>1.05</v>
      </c>
      <c r="J29" s="6">
        <f>(0.76+0.32+0.05)</f>
        <v>1.1300000000000001</v>
      </c>
      <c r="K29" s="7">
        <v>99231</v>
      </c>
      <c r="M29" s="8">
        <f>+$I$8*I29</f>
        <v>38.716545000000004</v>
      </c>
      <c r="N29" s="51">
        <f t="shared" si="0"/>
        <v>38.393332000000001</v>
      </c>
      <c r="O29" s="50">
        <f>+N29-M29</f>
        <v>-0.32321300000000264</v>
      </c>
      <c r="Q29" s="64">
        <f t="shared" si="1"/>
        <v>-8.3481880937465516E-3</v>
      </c>
    </row>
    <row r="30" spans="1:17" ht="24.95" customHeight="1" x14ac:dyDescent="0.25">
      <c r="A30" s="22">
        <v>99238</v>
      </c>
      <c r="B30" s="52"/>
      <c r="C30" s="19">
        <v>0</v>
      </c>
      <c r="D30" s="20">
        <f>M33*C30</f>
        <v>0</v>
      </c>
      <c r="E30" s="20">
        <f>N33*C30</f>
        <v>0</v>
      </c>
      <c r="F30" s="53">
        <f>+E30-D30</f>
        <v>0</v>
      </c>
      <c r="I30" s="66">
        <f>(1.39+0.45+0.06)</f>
        <v>1.9</v>
      </c>
      <c r="J30" s="6">
        <f>(1.39+0.57+0.08)</f>
        <v>2.04</v>
      </c>
      <c r="K30" s="7">
        <v>99232</v>
      </c>
      <c r="M30" s="8">
        <f>+$I$8*I30</f>
        <v>70.058509999999998</v>
      </c>
      <c r="N30" s="51">
        <f t="shared" si="0"/>
        <v>69.311855999999992</v>
      </c>
      <c r="O30" s="50">
        <f>+N30-M30</f>
        <v>-0.74665400000000659</v>
      </c>
      <c r="Q30" s="64">
        <f t="shared" si="1"/>
        <v>-1.0657577502005204E-2</v>
      </c>
    </row>
    <row r="31" spans="1:17" ht="24.95" customHeight="1" thickBot="1" x14ac:dyDescent="0.3">
      <c r="A31" s="27">
        <v>99239</v>
      </c>
      <c r="B31" s="54"/>
      <c r="C31" s="28">
        <v>0</v>
      </c>
      <c r="D31" s="29">
        <f>M34*C31</f>
        <v>0</v>
      </c>
      <c r="E31" s="20">
        <f>N34*C31</f>
        <v>0</v>
      </c>
      <c r="F31" s="53">
        <f>+E31-D31</f>
        <v>0</v>
      </c>
      <c r="I31" s="66">
        <f>(2+0.64+0.09)</f>
        <v>2.73</v>
      </c>
      <c r="J31" s="6">
        <f>(2+0.81+0.12)</f>
        <v>2.93</v>
      </c>
      <c r="K31" s="10">
        <v>99233</v>
      </c>
      <c r="M31" s="8">
        <f>+$I$8*I31</f>
        <v>100.663017</v>
      </c>
      <c r="N31" s="51">
        <f t="shared" si="0"/>
        <v>99.550852000000006</v>
      </c>
      <c r="O31" s="50">
        <f>+N31-M31</f>
        <v>-1.1121649999999903</v>
      </c>
      <c r="Q31" s="64">
        <f t="shared" si="1"/>
        <v>-1.1048397248018012E-2</v>
      </c>
    </row>
    <row r="32" spans="1:17" ht="24.95" customHeight="1" thickTop="1" x14ac:dyDescent="0.2">
      <c r="A32" s="69" t="s">
        <v>25</v>
      </c>
      <c r="B32" s="70"/>
      <c r="C32" s="70"/>
      <c r="D32" s="70"/>
      <c r="E32" s="71"/>
      <c r="F32" s="72"/>
      <c r="I32" s="66"/>
      <c r="J32" s="6"/>
      <c r="K32" s="13" t="s">
        <v>5</v>
      </c>
      <c r="N32" s="51"/>
      <c r="O32" s="50"/>
      <c r="Q32" s="64"/>
    </row>
    <row r="33" spans="1:17" ht="24.95" customHeight="1" x14ac:dyDescent="0.25">
      <c r="A33" s="22">
        <v>99241</v>
      </c>
      <c r="B33" s="52"/>
      <c r="C33" s="19">
        <v>0</v>
      </c>
      <c r="D33" s="20">
        <f>M36*C33</f>
        <v>0</v>
      </c>
      <c r="E33" s="20">
        <f>N36*C33</f>
        <v>0</v>
      </c>
      <c r="F33" s="53">
        <f>+E33-D33</f>
        <v>0</v>
      </c>
      <c r="I33" s="66">
        <f>(1.28+0.54+0.05)</f>
        <v>1.87</v>
      </c>
      <c r="J33" s="6">
        <f>(1.28+0.68+0.07)</f>
        <v>2.0299999999999998</v>
      </c>
      <c r="K33" s="7">
        <v>99238</v>
      </c>
      <c r="M33" s="8">
        <f>+$I$8*I33</f>
        <v>68.952323000000007</v>
      </c>
      <c r="N33" s="51">
        <f t="shared" si="0"/>
        <v>68.972091999999989</v>
      </c>
      <c r="O33" s="50">
        <f>+N33-M33</f>
        <v>1.9768999999982384E-2</v>
      </c>
      <c r="Q33" s="64">
        <f t="shared" si="1"/>
        <v>2.867053514641179E-4</v>
      </c>
    </row>
    <row r="34" spans="1:17" ht="24.95" customHeight="1" thickBot="1" x14ac:dyDescent="0.3">
      <c r="A34" s="23">
        <v>99242</v>
      </c>
      <c r="B34" s="52"/>
      <c r="C34" s="21">
        <v>0</v>
      </c>
      <c r="D34" s="20">
        <f>M37*C34</f>
        <v>0</v>
      </c>
      <c r="E34" s="20">
        <f>N37*C34</f>
        <v>0</v>
      </c>
      <c r="F34" s="53">
        <f>+E34-D34</f>
        <v>0</v>
      </c>
      <c r="I34" s="66">
        <f>(1.9+0.76+0.08)</f>
        <v>2.74</v>
      </c>
      <c r="J34" s="6">
        <f>(1.9+0.97+0.11)</f>
        <v>2.98</v>
      </c>
      <c r="K34" s="10">
        <v>99239</v>
      </c>
      <c r="M34" s="8">
        <f>+$I$8*I34</f>
        <v>101.03174600000001</v>
      </c>
      <c r="N34" s="51">
        <f t="shared" si="0"/>
        <v>101.24967199999999</v>
      </c>
      <c r="O34" s="50">
        <f>+N34-M34</f>
        <v>0.21792599999997719</v>
      </c>
      <c r="Q34" s="64">
        <f t="shared" si="1"/>
        <v>2.1570051852808441E-3</v>
      </c>
    </row>
    <row r="35" spans="1:17" ht="24.95" customHeight="1" x14ac:dyDescent="0.25">
      <c r="A35" s="23">
        <v>99243</v>
      </c>
      <c r="B35" s="52"/>
      <c r="C35" s="21">
        <v>0</v>
      </c>
      <c r="D35" s="20">
        <f>M38*C35</f>
        <v>0</v>
      </c>
      <c r="E35" s="20">
        <f>N38*C35</f>
        <v>0</v>
      </c>
      <c r="F35" s="53">
        <f>+E35-D35</f>
        <v>0</v>
      </c>
      <c r="I35" s="66"/>
      <c r="J35" s="6"/>
      <c r="K35" s="13" t="s">
        <v>6</v>
      </c>
      <c r="N35" s="51"/>
      <c r="O35" s="50"/>
      <c r="Q35" s="64"/>
    </row>
    <row r="36" spans="1:17" ht="24.95" customHeight="1" x14ac:dyDescent="0.25">
      <c r="A36" s="23">
        <v>99244</v>
      </c>
      <c r="B36" s="52"/>
      <c r="C36" s="21">
        <v>0</v>
      </c>
      <c r="D36" s="20">
        <f>M39*C36</f>
        <v>0</v>
      </c>
      <c r="E36" s="20">
        <f>N39*C36</f>
        <v>0</v>
      </c>
      <c r="F36" s="53">
        <f>+E36-D36</f>
        <v>0</v>
      </c>
      <c r="I36" s="66">
        <f>(0.64+0.66+0.05)</f>
        <v>1.35</v>
      </c>
      <c r="J36" s="6">
        <f>(0.64+0.66+0.07)</f>
        <v>1.37</v>
      </c>
      <c r="K36" s="7">
        <v>99241</v>
      </c>
      <c r="M36" s="8">
        <f>+$I$8*I36</f>
        <v>49.778415000000003</v>
      </c>
      <c r="N36" s="51">
        <f t="shared" si="0"/>
        <v>46.547668000000002</v>
      </c>
      <c r="O36" s="50">
        <f>+N36-M36</f>
        <v>-3.2307470000000009</v>
      </c>
      <c r="Q36" s="64">
        <f t="shared" si="1"/>
        <v>-6.490256871376883E-2</v>
      </c>
    </row>
    <row r="37" spans="1:17" ht="24.95" customHeight="1" thickBot="1" x14ac:dyDescent="0.3">
      <c r="A37" s="27">
        <v>99245</v>
      </c>
      <c r="B37" s="54"/>
      <c r="C37" s="28">
        <v>0</v>
      </c>
      <c r="D37" s="29">
        <f>M40*C37</f>
        <v>0</v>
      </c>
      <c r="E37" s="20">
        <f>N40*C37</f>
        <v>0</v>
      </c>
      <c r="F37" s="53">
        <f>+E37-D37</f>
        <v>0</v>
      </c>
      <c r="I37" s="66">
        <f>(1.34+1.1+0.1)</f>
        <v>2.5400000000000005</v>
      </c>
      <c r="J37" s="6">
        <f>(1.34+1.1+0.14)</f>
        <v>2.5800000000000005</v>
      </c>
      <c r="K37" s="7">
        <v>99242</v>
      </c>
      <c r="M37" s="8">
        <f>+$I$8*I37</f>
        <v>93.657166000000018</v>
      </c>
      <c r="N37" s="51">
        <f t="shared" si="0"/>
        <v>87.659112000000007</v>
      </c>
      <c r="O37" s="50">
        <f>+N37-M37</f>
        <v>-5.9980540000000104</v>
      </c>
      <c r="Q37" s="64">
        <f t="shared" si="1"/>
        <v>-6.404265958677427E-2</v>
      </c>
    </row>
    <row r="38" spans="1:17" ht="24.95" customHeight="1" thickTop="1" x14ac:dyDescent="0.2">
      <c r="A38" s="69" t="s">
        <v>26</v>
      </c>
      <c r="B38" s="70"/>
      <c r="C38" s="70"/>
      <c r="D38" s="70"/>
      <c r="E38" s="71"/>
      <c r="F38" s="72"/>
      <c r="I38" s="66">
        <f>(1.88+1.46+0.13)</f>
        <v>3.4699999999999998</v>
      </c>
      <c r="J38" s="6">
        <f>(1.88+1.46+0.18)</f>
        <v>3.52</v>
      </c>
      <c r="K38" s="7">
        <v>99243</v>
      </c>
      <c r="M38" s="8">
        <f>+$I$8*I38</f>
        <v>127.94896299999999</v>
      </c>
      <c r="N38" s="51">
        <f t="shared" si="0"/>
        <v>119.59692799999999</v>
      </c>
      <c r="O38" s="50">
        <f>+N38-M38</f>
        <v>-8.3520350000000008</v>
      </c>
      <c r="Q38" s="64">
        <f t="shared" si="1"/>
        <v>-6.5276300832543682E-2</v>
      </c>
    </row>
    <row r="39" spans="1:17" ht="24.95" customHeight="1" x14ac:dyDescent="0.25">
      <c r="A39" s="24">
        <v>99251</v>
      </c>
      <c r="B39" s="52"/>
      <c r="C39" s="19">
        <v>0</v>
      </c>
      <c r="D39" s="20">
        <f>M42*C39</f>
        <v>0</v>
      </c>
      <c r="E39" s="20">
        <f>N42*C39</f>
        <v>0</v>
      </c>
      <c r="F39" s="53">
        <f>+E39-D39</f>
        <v>0</v>
      </c>
      <c r="I39" s="66">
        <f>(3.02+1.96+0.16)</f>
        <v>5.1400000000000006</v>
      </c>
      <c r="J39" s="6">
        <f>(3.02+1.96+0.22)</f>
        <v>5.2</v>
      </c>
      <c r="K39" s="7">
        <v>99244</v>
      </c>
      <c r="M39" s="8">
        <f>+$I$8*I39</f>
        <v>189.52670600000002</v>
      </c>
      <c r="N39" s="51">
        <f t="shared" si="0"/>
        <v>176.67728</v>
      </c>
      <c r="O39" s="50">
        <f>+N39-M39</f>
        <v>-12.849426000000022</v>
      </c>
      <c r="Q39" s="64">
        <f t="shared" si="1"/>
        <v>-6.7797442751946643E-2</v>
      </c>
    </row>
    <row r="40" spans="1:17" ht="24.95" customHeight="1" thickBot="1" x14ac:dyDescent="0.3">
      <c r="A40" s="25">
        <v>99252</v>
      </c>
      <c r="B40" s="52"/>
      <c r="C40" s="21">
        <v>0</v>
      </c>
      <c r="D40" s="20">
        <f>M43*C40</f>
        <v>0</v>
      </c>
      <c r="E40" s="20">
        <f>N43*C40</f>
        <v>0</v>
      </c>
      <c r="F40" s="53">
        <f>+E40-D40</f>
        <v>0</v>
      </c>
      <c r="I40" s="66">
        <f>(3.77+2.3+0.21)</f>
        <v>6.28</v>
      </c>
      <c r="J40" s="6">
        <f>(3.77+2.3+0.29)</f>
        <v>6.36</v>
      </c>
      <c r="K40" s="10">
        <v>99245</v>
      </c>
      <c r="M40" s="8">
        <f>+$I$8*I40</f>
        <v>231.56181200000003</v>
      </c>
      <c r="N40" s="51">
        <f t="shared" si="0"/>
        <v>216.08990399999999</v>
      </c>
      <c r="O40" s="50">
        <f>+N40-M40</f>
        <v>-15.471908000000042</v>
      </c>
      <c r="Q40" s="64">
        <f t="shared" si="1"/>
        <v>-6.6815455736717239E-2</v>
      </c>
    </row>
    <row r="41" spans="1:17" ht="24.95" customHeight="1" x14ac:dyDescent="0.25">
      <c r="A41" s="25">
        <v>99253</v>
      </c>
      <c r="B41" s="52"/>
      <c r="C41" s="21">
        <v>0</v>
      </c>
      <c r="D41" s="20">
        <f>M44*C41</f>
        <v>0</v>
      </c>
      <c r="E41" s="20">
        <f>N44*C41</f>
        <v>0</v>
      </c>
      <c r="F41" s="53">
        <f>+E41-D41</f>
        <v>0</v>
      </c>
      <c r="I41" s="66"/>
      <c r="J41" s="6"/>
      <c r="K41" s="13" t="s">
        <v>7</v>
      </c>
      <c r="N41" s="51"/>
      <c r="O41" s="50"/>
      <c r="Q41" s="64"/>
    </row>
    <row r="42" spans="1:17" ht="24.95" customHeight="1" x14ac:dyDescent="0.25">
      <c r="A42" s="25">
        <v>99254</v>
      </c>
      <c r="B42" s="52"/>
      <c r="C42" s="21">
        <v>0</v>
      </c>
      <c r="D42" s="20">
        <f>M45*C42</f>
        <v>0</v>
      </c>
      <c r="E42" s="20">
        <f>N45*C42</f>
        <v>0</v>
      </c>
      <c r="F42" s="53">
        <f>+E42-D42</f>
        <v>0</v>
      </c>
      <c r="I42" s="66">
        <f>(1+0.32+0.05)</f>
        <v>1.37</v>
      </c>
      <c r="J42" s="6">
        <f>(1+0.32+0.07)</f>
        <v>1.3900000000000001</v>
      </c>
      <c r="K42" s="14">
        <v>99251</v>
      </c>
      <c r="M42" s="8">
        <f>+$I$8*I42</f>
        <v>50.515873000000006</v>
      </c>
      <c r="N42" s="51">
        <f t="shared" si="0"/>
        <v>47.227195999999999</v>
      </c>
      <c r="O42" s="50">
        <f>+N42-M42</f>
        <v>-3.288677000000007</v>
      </c>
      <c r="Q42" s="64">
        <f t="shared" si="1"/>
        <v>-6.5101854223127184E-2</v>
      </c>
    </row>
    <row r="43" spans="1:17" ht="24.95" customHeight="1" thickBot="1" x14ac:dyDescent="0.3">
      <c r="A43" s="30">
        <v>99255</v>
      </c>
      <c r="B43" s="54"/>
      <c r="C43" s="28">
        <v>0</v>
      </c>
      <c r="D43" s="29">
        <f>M46*C43</f>
        <v>0</v>
      </c>
      <c r="E43" s="20">
        <f>N46*C43</f>
        <v>0</v>
      </c>
      <c r="F43" s="53">
        <f>+E43-D43</f>
        <v>0</v>
      </c>
      <c r="I43" s="66">
        <f>(1.5+0.52+0.09)</f>
        <v>2.11</v>
      </c>
      <c r="J43" s="6">
        <f>(1.5+0.52+0.12)</f>
        <v>2.14</v>
      </c>
      <c r="K43" s="14">
        <v>99252</v>
      </c>
      <c r="M43" s="8">
        <f>+$I$8*I43</f>
        <v>77.801818999999995</v>
      </c>
      <c r="N43" s="51">
        <f t="shared" si="0"/>
        <v>72.709496000000001</v>
      </c>
      <c r="O43" s="50">
        <f>+N43-M43</f>
        <v>-5.0923229999999933</v>
      </c>
      <c r="Q43" s="64">
        <f t="shared" si="1"/>
        <v>-6.5452492826677922E-2</v>
      </c>
    </row>
    <row r="44" spans="1:17" ht="24.95" customHeight="1" thickTop="1" x14ac:dyDescent="0.2">
      <c r="A44" s="69" t="s">
        <v>8</v>
      </c>
      <c r="B44" s="70"/>
      <c r="C44" s="73"/>
      <c r="D44" s="73"/>
      <c r="E44" s="71"/>
      <c r="F44" s="72"/>
      <c r="I44" s="66">
        <f>(2.27+0.84+0.11)</f>
        <v>3.2199999999999998</v>
      </c>
      <c r="J44" s="6">
        <f>(2.27+0.84+0.15)</f>
        <v>3.26</v>
      </c>
      <c r="K44" s="14">
        <v>99253</v>
      </c>
      <c r="M44" s="8">
        <f>+$I$8*I44</f>
        <v>118.73073799999999</v>
      </c>
      <c r="N44" s="51">
        <f t="shared" si="0"/>
        <v>110.76306399999999</v>
      </c>
      <c r="O44" s="50">
        <f>+N44-M44</f>
        <v>-7.9676740000000024</v>
      </c>
      <c r="Q44" s="64">
        <f t="shared" si="1"/>
        <v>-6.7107087298657261E-2</v>
      </c>
    </row>
    <row r="45" spans="1:17" ht="24.95" customHeight="1" x14ac:dyDescent="0.25">
      <c r="A45" s="22">
        <v>99281</v>
      </c>
      <c r="B45" s="52"/>
      <c r="C45" s="19">
        <v>0</v>
      </c>
      <c r="D45" s="20">
        <f>M48*C45</f>
        <v>0</v>
      </c>
      <c r="E45" s="20">
        <f>N48*C45</f>
        <v>0</v>
      </c>
      <c r="F45" s="53">
        <f>+E45-D45</f>
        <v>0</v>
      </c>
      <c r="I45" s="66">
        <f>(3.29+1.23+0.13)</f>
        <v>4.6499999999999995</v>
      </c>
      <c r="J45" s="6">
        <f>(3.29+1.23+0.18)</f>
        <v>4.6999999999999993</v>
      </c>
      <c r="K45" s="14">
        <v>99254</v>
      </c>
      <c r="M45" s="8">
        <f>+$I$8*I45</f>
        <v>171.45898499999998</v>
      </c>
      <c r="N45" s="51">
        <f t="shared" si="0"/>
        <v>159.68907999999996</v>
      </c>
      <c r="O45" s="50">
        <f>+N45-M45</f>
        <v>-11.769905000000023</v>
      </c>
      <c r="Q45" s="64">
        <f t="shared" si="1"/>
        <v>-6.864560057905407E-2</v>
      </c>
    </row>
    <row r="46" spans="1:17" ht="24.95" customHeight="1" thickBot="1" x14ac:dyDescent="0.3">
      <c r="A46" s="23">
        <v>99282</v>
      </c>
      <c r="B46" s="52"/>
      <c r="C46" s="21">
        <v>0</v>
      </c>
      <c r="D46" s="20">
        <f>M49*C46</f>
        <v>0</v>
      </c>
      <c r="E46" s="20">
        <f>N49*C46</f>
        <v>0</v>
      </c>
      <c r="F46" s="53">
        <f>+E46-D46</f>
        <v>0</v>
      </c>
      <c r="I46" s="66">
        <f>(4+1.44+0.18)</f>
        <v>5.6199999999999992</v>
      </c>
      <c r="J46" s="6">
        <f>(4+1.44+0.24)</f>
        <v>5.68</v>
      </c>
      <c r="K46" s="15">
        <v>99255</v>
      </c>
      <c r="M46" s="8">
        <f>+$I$8*I46</f>
        <v>207.22569799999997</v>
      </c>
      <c r="N46" s="51">
        <f t="shared" si="0"/>
        <v>192.98595199999997</v>
      </c>
      <c r="O46" s="50">
        <f>+N46-M46</f>
        <v>-14.239745999999997</v>
      </c>
      <c r="Q46" s="64">
        <f t="shared" si="1"/>
        <v>-6.871612033368564E-2</v>
      </c>
    </row>
    <row r="47" spans="1:17" ht="24.95" customHeight="1" x14ac:dyDescent="0.25">
      <c r="A47" s="23">
        <v>99283</v>
      </c>
      <c r="B47" s="52"/>
      <c r="C47" s="21">
        <v>0</v>
      </c>
      <c r="D47" s="20">
        <f>M50*C47</f>
        <v>0</v>
      </c>
      <c r="E47" s="20">
        <f>N50*C47</f>
        <v>0</v>
      </c>
      <c r="F47" s="53">
        <f>+E47-D47</f>
        <v>0</v>
      </c>
      <c r="I47" s="66"/>
      <c r="J47" s="6"/>
      <c r="K47" s="13" t="s">
        <v>8</v>
      </c>
      <c r="N47" s="51"/>
      <c r="O47" s="50"/>
      <c r="Q47" s="64"/>
    </row>
    <row r="48" spans="1:17" ht="24.95" customHeight="1" x14ac:dyDescent="0.25">
      <c r="A48" s="23">
        <v>99284</v>
      </c>
      <c r="B48" s="52"/>
      <c r="C48" s="21">
        <v>0</v>
      </c>
      <c r="D48" s="20">
        <f>M51*C48</f>
        <v>0</v>
      </c>
      <c r="E48" s="20">
        <f>N51*C48</f>
        <v>0</v>
      </c>
      <c r="F48" s="53">
        <f>+E48-D48</f>
        <v>0</v>
      </c>
      <c r="I48" s="66">
        <f>(0.45+0.1+0.02)</f>
        <v>0.57000000000000006</v>
      </c>
      <c r="J48" s="6">
        <f>(0.45+0.13+0.03)</f>
        <v>0.6100000000000001</v>
      </c>
      <c r="K48" s="7">
        <v>99281</v>
      </c>
      <c r="M48" s="8">
        <f t="shared" ref="M48:M54" si="2">+$I$8*I48</f>
        <v>21.017553000000003</v>
      </c>
      <c r="N48" s="51">
        <f t="shared" si="0"/>
        <v>20.725604000000001</v>
      </c>
      <c r="O48" s="50">
        <f t="shared" ref="O48:O54" si="3">+N48-M48</f>
        <v>-0.29194900000000246</v>
      </c>
      <c r="Q48" s="64">
        <f t="shared" si="1"/>
        <v>-1.3890722673567299E-2</v>
      </c>
    </row>
    <row r="49" spans="1:17" ht="24.95" customHeight="1" thickBot="1" x14ac:dyDescent="0.3">
      <c r="A49" s="27">
        <v>99285</v>
      </c>
      <c r="B49" s="54"/>
      <c r="C49" s="28">
        <v>0</v>
      </c>
      <c r="D49" s="29">
        <f>M52*C49</f>
        <v>0</v>
      </c>
      <c r="E49" s="20">
        <f>N52*C49</f>
        <v>0</v>
      </c>
      <c r="F49" s="53">
        <f>+E49-D49</f>
        <v>0</v>
      </c>
      <c r="I49" s="66">
        <f>(0.88+0.19+0.05)</f>
        <v>1.1200000000000001</v>
      </c>
      <c r="J49" s="6">
        <f>(0.88+0.24+0.07)</f>
        <v>1.1900000000000002</v>
      </c>
      <c r="K49" s="7">
        <v>99282</v>
      </c>
      <c r="M49" s="8">
        <f t="shared" si="2"/>
        <v>41.297648000000002</v>
      </c>
      <c r="N49" s="51">
        <f t="shared" si="0"/>
        <v>40.431916000000001</v>
      </c>
      <c r="O49" s="50">
        <f t="shared" si="3"/>
        <v>-0.86573200000000128</v>
      </c>
      <c r="Q49" s="64">
        <f t="shared" si="1"/>
        <v>-2.0963227736359252E-2</v>
      </c>
    </row>
    <row r="50" spans="1:17" ht="24.95" customHeight="1" thickTop="1" x14ac:dyDescent="0.2">
      <c r="A50" s="69" t="s">
        <v>9</v>
      </c>
      <c r="B50" s="70"/>
      <c r="C50" s="70"/>
      <c r="D50" s="70"/>
      <c r="E50" s="71"/>
      <c r="F50" s="72"/>
      <c r="I50" s="66">
        <f>(1.34+0.29+0.07)</f>
        <v>1.7000000000000002</v>
      </c>
      <c r="J50" s="6">
        <f>(1.34+0.36+0.1)</f>
        <v>1.8000000000000003</v>
      </c>
      <c r="K50" s="7">
        <v>99283</v>
      </c>
      <c r="M50" s="8">
        <f t="shared" si="2"/>
        <v>62.683930000000011</v>
      </c>
      <c r="N50" s="51">
        <f t="shared" si="0"/>
        <v>61.157520000000005</v>
      </c>
      <c r="O50" s="50">
        <f t="shared" si="3"/>
        <v>-1.5264100000000056</v>
      </c>
      <c r="Q50" s="64">
        <f t="shared" si="1"/>
        <v>-2.4350898228621042E-2</v>
      </c>
    </row>
    <row r="51" spans="1:17" ht="24.95" customHeight="1" x14ac:dyDescent="0.25">
      <c r="A51" s="26">
        <v>99291</v>
      </c>
      <c r="B51" s="52"/>
      <c r="C51" s="19">
        <v>0</v>
      </c>
      <c r="D51" s="20">
        <f>M53*C51</f>
        <v>0</v>
      </c>
      <c r="E51" s="20">
        <f>N54*C51</f>
        <v>0</v>
      </c>
      <c r="F51" s="53">
        <f>+E51-D51</f>
        <v>0</v>
      </c>
      <c r="I51" s="66">
        <f>(2.56+0.5+0.16)</f>
        <v>3.22</v>
      </c>
      <c r="J51" s="6">
        <f>(2.56+0.62+0.22)</f>
        <v>3.4000000000000004</v>
      </c>
      <c r="K51" s="7">
        <v>99284</v>
      </c>
      <c r="M51" s="8">
        <f t="shared" si="2"/>
        <v>118.73073800000002</v>
      </c>
      <c r="N51" s="51">
        <f t="shared" si="0"/>
        <v>115.51976000000001</v>
      </c>
      <c r="O51" s="50">
        <f t="shared" si="3"/>
        <v>-3.2109780000000114</v>
      </c>
      <c r="Q51" s="64">
        <f t="shared" si="1"/>
        <v>-2.7044201477127272E-2</v>
      </c>
    </row>
    <row r="52" spans="1:17" ht="24.95" customHeight="1" thickBot="1" x14ac:dyDescent="0.3">
      <c r="A52" s="31">
        <v>99292</v>
      </c>
      <c r="B52" s="54"/>
      <c r="C52" s="28">
        <v>0</v>
      </c>
      <c r="D52" s="29">
        <f>M54*C52</f>
        <v>0</v>
      </c>
      <c r="E52" s="20">
        <f>N55*C52</f>
        <v>0</v>
      </c>
      <c r="F52" s="53">
        <f>+E52-D52</f>
        <v>0</v>
      </c>
      <c r="I52" s="66">
        <f>(3.8+0.72+0.22)</f>
        <v>4.7399999999999993</v>
      </c>
      <c r="J52" s="6">
        <f>(3.8+0.88+0.3)</f>
        <v>4.9799999999999995</v>
      </c>
      <c r="K52" s="10">
        <v>99285</v>
      </c>
      <c r="M52" s="8">
        <f t="shared" si="2"/>
        <v>174.77754599999997</v>
      </c>
      <c r="N52" s="51">
        <f t="shared" si="0"/>
        <v>169.20247199999997</v>
      </c>
      <c r="O52" s="50">
        <f t="shared" si="3"/>
        <v>-5.5750740000000008</v>
      </c>
      <c r="Q52" s="64">
        <f t="shared" si="1"/>
        <v>-3.1898113502520524E-2</v>
      </c>
    </row>
    <row r="53" spans="1:17" ht="27" customHeight="1" thickTop="1" x14ac:dyDescent="0.2">
      <c r="A53" s="77" t="s">
        <v>14</v>
      </c>
      <c r="B53" s="78"/>
      <c r="C53" s="78"/>
      <c r="D53" s="38">
        <f>SUM(D10:D52)</f>
        <v>0</v>
      </c>
      <c r="E53" s="38">
        <f>SUM(E10:E52)</f>
        <v>0</v>
      </c>
      <c r="F53" s="61">
        <f>SUM(F10:F52)</f>
        <v>0</v>
      </c>
      <c r="I53" s="66">
        <f>(4.5+1.24+0.25)</f>
        <v>5.99</v>
      </c>
      <c r="J53" s="6">
        <f>(4.5+1.55+0.34)</f>
        <v>6.39</v>
      </c>
      <c r="K53" s="16">
        <v>99291</v>
      </c>
      <c r="M53" s="8">
        <f t="shared" si="2"/>
        <v>220.86867100000001</v>
      </c>
      <c r="N53" s="51">
        <f t="shared" si="0"/>
        <v>217.10919599999997</v>
      </c>
      <c r="O53" s="50">
        <f t="shared" si="3"/>
        <v>-3.7594750000000374</v>
      </c>
      <c r="Q53" s="64">
        <f t="shared" si="1"/>
        <v>-1.7021313991607424E-2</v>
      </c>
    </row>
    <row r="54" spans="1:17" ht="15" customHeight="1" thickBot="1" x14ac:dyDescent="0.25">
      <c r="A54" s="34"/>
      <c r="B54" s="35"/>
      <c r="C54" s="35"/>
      <c r="D54" s="36"/>
      <c r="E54" s="36"/>
      <c r="F54" s="37"/>
      <c r="I54" s="66">
        <f>(2.25+0.62+0.13)</f>
        <v>3</v>
      </c>
      <c r="J54" s="6">
        <f>(2.25+0.78+0.18)</f>
        <v>3.2100000000000004</v>
      </c>
      <c r="K54" s="17">
        <v>99292</v>
      </c>
      <c r="M54" s="8">
        <f t="shared" si="2"/>
        <v>110.6187</v>
      </c>
      <c r="N54" s="51">
        <f t="shared" si="0"/>
        <v>109.064244</v>
      </c>
      <c r="O54" s="50">
        <f t="shared" si="3"/>
        <v>-1.5544560000000018</v>
      </c>
      <c r="Q54" s="64">
        <f t="shared" si="1"/>
        <v>-1.4052379932145304E-2</v>
      </c>
    </row>
    <row r="55" spans="1:17" ht="60" customHeight="1" x14ac:dyDescent="0.25">
      <c r="A55" s="47" t="s">
        <v>27</v>
      </c>
      <c r="B55" s="55">
        <v>0</v>
      </c>
      <c r="C55" s="32"/>
      <c r="D55" s="33"/>
      <c r="E55" s="33"/>
      <c r="F55" s="63"/>
    </row>
    <row r="56" spans="1:17" ht="15" customHeight="1" x14ac:dyDescent="0.25">
      <c r="A56" s="39"/>
      <c r="B56" s="40"/>
      <c r="C56" s="41"/>
      <c r="D56" s="42"/>
      <c r="E56" s="42"/>
      <c r="F56" s="43"/>
    </row>
    <row r="57" spans="1:17" ht="27" customHeight="1" thickBot="1" x14ac:dyDescent="0.25">
      <c r="A57" s="74" t="s">
        <v>20</v>
      </c>
      <c r="B57" s="75"/>
      <c r="C57" s="75"/>
      <c r="D57" s="44">
        <f>+D53*$B$55</f>
        <v>0</v>
      </c>
      <c r="E57" s="44">
        <f>+E53*$B$55</f>
        <v>0</v>
      </c>
      <c r="F57" s="62">
        <f>+E57-D57</f>
        <v>0</v>
      </c>
    </row>
    <row r="58" spans="1:17" ht="13.5" thickTop="1" x14ac:dyDescent="0.2"/>
    <row r="59" spans="1:17" x14ac:dyDescent="0.2">
      <c r="A59" s="48" t="s">
        <v>18</v>
      </c>
    </row>
    <row r="60" spans="1:17" ht="5.0999999999999996" customHeight="1" x14ac:dyDescent="0.2">
      <c r="A60" s="48"/>
    </row>
    <row r="61" spans="1:17" x14ac:dyDescent="0.2">
      <c r="A61" s="1" t="s">
        <v>33</v>
      </c>
    </row>
    <row r="62" spans="1:17" x14ac:dyDescent="0.2">
      <c r="A62" s="1" t="s">
        <v>35</v>
      </c>
    </row>
    <row r="63" spans="1:17" ht="5.0999999999999996" customHeight="1" x14ac:dyDescent="0.2">
      <c r="A63" s="1"/>
    </row>
    <row r="64" spans="1:17" x14ac:dyDescent="0.2">
      <c r="A64" s="1" t="s">
        <v>34</v>
      </c>
    </row>
    <row r="65" spans="1:1" x14ac:dyDescent="0.2">
      <c r="A65" s="1" t="s">
        <v>36</v>
      </c>
    </row>
    <row r="66" spans="1:1" ht="5.0999999999999996" customHeight="1" x14ac:dyDescent="0.2">
      <c r="A66" s="1"/>
    </row>
    <row r="67" spans="1:1" x14ac:dyDescent="0.2">
      <c r="A67" t="s">
        <v>28</v>
      </c>
    </row>
  </sheetData>
  <sheetProtection password="EBB0" sheet="1" objects="1" scenarios="1" selectLockedCells="1"/>
  <protectedRanges>
    <protectedRange password="EBB0" sqref="B55" name="Range10"/>
    <protectedRange password="EBB0" sqref="C33:C37" name="Range6"/>
    <protectedRange password="EBB0" sqref="C10:C14" name="Range1"/>
    <protectedRange password="EBB0" sqref="C16:C20" name="Range2"/>
    <protectedRange password="EBB0" sqref="C22:C24" name="Range3"/>
    <protectedRange password="EBB0" sqref="C26:C28" name="Range4"/>
    <protectedRange password="EBB0" sqref="C30:C31" name="Range5"/>
    <protectedRange password="EBB0" sqref="C39:C43" name="Range7"/>
    <protectedRange password="EBB0" sqref="C45:C49" name="Range8"/>
    <protectedRange password="EBB0" sqref="C51:C52" name="Range9"/>
  </protectedRanges>
  <mergeCells count="15">
    <mergeCell ref="A57:C57"/>
    <mergeCell ref="A1:D1"/>
    <mergeCell ref="A53:C53"/>
    <mergeCell ref="M9:M10"/>
    <mergeCell ref="A9:F9"/>
    <mergeCell ref="N9:N10"/>
    <mergeCell ref="O9:O10"/>
    <mergeCell ref="A50:F50"/>
    <mergeCell ref="A44:F44"/>
    <mergeCell ref="A38:F38"/>
    <mergeCell ref="A32:F32"/>
    <mergeCell ref="A29:F29"/>
    <mergeCell ref="A25:F25"/>
    <mergeCell ref="A21:F21"/>
    <mergeCell ref="A15:F15"/>
  </mergeCells>
  <phoneticPr fontId="4" type="noConversion"/>
  <pageMargins left="1" right="1" top="0.5" bottom="0.65" header="0.5" footer="0.5"/>
  <pageSetup scale="59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Reimbursement Calculator</vt:lpstr>
      <vt:lpstr>'Reimbursement Calculator'!Print_Area</vt:lpstr>
      <vt:lpstr>'Reimbursement Calculator'!Print_Titles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Interactive Reimbursement Calculator_2011_Ver.2</dc:title>
  <dc:creator>Scull Jason</dc:creator>
  <cp:lastModifiedBy>Scull, Jason</cp:lastModifiedBy>
  <dcterms:created xsi:type="dcterms:W3CDTF">2011-08-10T17:40:08Z</dcterms:created>
  <dcterms:modified xsi:type="dcterms:W3CDTF">2011-08-10T17:40:08Z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DownloadAsset.aspx?id=17383</vt:lpwstr>
  </property>
  <property fmtid="{D5CDD505-2E9C-101B-9397-08002B2CF9AE}" pid="4" name="EktContentType">
    <vt:i4>101</vt:i4>
  </property>
  <property fmtid="{D5CDD505-2E9C-101B-9397-08002B2CF9AE}" pid="5" name="EktFolderName">
    <vt:lpwstr/>
  </property>
  <property fmtid="{D5CDD505-2E9C-101B-9397-08002B2CF9AE}" pid="6" name="EktCmsPath">
    <vt:lpwstr/>
  </property>
  <property fmtid="{D5CDD505-2E9C-101B-9397-08002B2CF9AE}" pid="7" name="EktExpiryType">
    <vt:i4>1</vt:i4>
  </property>
  <property fmtid="{D5CDD505-2E9C-101B-9397-08002B2CF9AE}" pid="8" name="EktDateCreated">
    <vt:filetime>2011-01-06T17:50:13Z</vt:filetime>
  </property>
  <property fmtid="{D5CDD505-2E9C-101B-9397-08002B2CF9AE}" pid="9" name="EktDateModified">
    <vt:filetime>2011-01-06T17:54:52Z</vt:filetime>
  </property>
  <property fmtid="{D5CDD505-2E9C-101B-9397-08002B2CF9AE}" pid="10" name="EktTaxCategory">
    <vt:lpwstr> #eksep# \IDSA\Resources\Billing and Coding #eksep# </vt:lpwstr>
  </property>
  <property fmtid="{D5CDD505-2E9C-101B-9397-08002B2CF9AE}" pid="11" name="EktCmsSize">
    <vt:i4>31232</vt:i4>
  </property>
  <property fmtid="{D5CDD505-2E9C-101B-9397-08002B2CF9AE}" pid="12" name="EktSearchable">
    <vt:i4>1</vt:i4>
  </property>
  <property fmtid="{D5CDD505-2E9C-101B-9397-08002B2CF9AE}" pid="13" name="EktEDescription">
    <vt:lpwstr/>
  </property>
  <property fmtid="{D5CDD505-2E9C-101B-9397-08002B2CF9AE}" pid="14" name="ekttaxonomyenabled">
    <vt:i4>1</vt:i4>
  </property>
  <property fmtid="{D5CDD505-2E9C-101B-9397-08002B2CF9AE}" pid="15" name="EktAllowRating">
    <vt:bool>false</vt:bool>
  </property>
  <property fmtid="{D5CDD505-2E9C-101B-9397-08002B2CF9AE}" pid="16" name="EktInclude_on_Home_Page">
    <vt:bool>false</vt:bool>
  </property>
</Properties>
</file>