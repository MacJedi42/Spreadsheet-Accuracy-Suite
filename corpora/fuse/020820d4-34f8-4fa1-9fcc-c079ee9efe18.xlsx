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40" windowWidth="23580" windowHeight="145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Sheet1!$A$1:$E$115</definedName>
  </definedNames>
  <calcPr calcId="145621"/>
</workbook>
</file>

<file path=xl/calcChain.xml><?xml version="1.0" encoding="utf-8"?>
<calcChain xmlns="http://schemas.openxmlformats.org/spreadsheetml/2006/main">
  <c r="E110" i="1" l="1"/>
  <c r="E111" i="1" s="1"/>
  <c r="E85" i="1"/>
  <c r="E61" i="1"/>
  <c r="E38" i="1"/>
  <c r="E16" i="1"/>
  <c r="E5" i="1"/>
  <c r="E52" i="1" l="1"/>
  <c r="E96" i="1"/>
  <c r="E107" i="1"/>
  <c r="E115" i="1"/>
</calcChain>
</file>

<file path=xl/sharedStrings.xml><?xml version="1.0" encoding="utf-8"?>
<sst xmlns="http://schemas.openxmlformats.org/spreadsheetml/2006/main" count="110" uniqueCount="110">
  <si>
    <t>BALANCE &amp; COMPENSATION INFORMATION</t>
  </si>
  <si>
    <t xml:space="preserve">FDIC ASSESSMENT                                     </t>
  </si>
  <si>
    <t>TOTAL BALANCE &amp; COMPENSATION  INFORMATION</t>
  </si>
  <si>
    <t xml:space="preserve">GENERAL ACCOUNT SERVICES                            </t>
  </si>
  <si>
    <t xml:space="preserve">ACCOUNT MAINTENANCE       </t>
  </si>
  <si>
    <t xml:space="preserve">DEPOSITORY+ SUB ACCT MAINT                           </t>
  </si>
  <si>
    <t xml:space="preserve">ZBA-DEPOSITORY+ MASTER MAINT                         </t>
  </si>
  <si>
    <t>ZBA SUBSIDIARY ACCOUNT</t>
  </si>
  <si>
    <t>DEBITS POSTED-OTHER</t>
  </si>
  <si>
    <t>CREDITS POSTED-OTHER</t>
  </si>
  <si>
    <t xml:space="preserve">          </t>
  </si>
  <si>
    <t xml:space="preserve">PAPER DEPOSIT STATEMENT MAILED                      </t>
  </si>
  <si>
    <t xml:space="preserve">PHOTOCOPIES               </t>
  </si>
  <si>
    <t xml:space="preserve">TOTAL GENERAL ACCOUNT SERVICES                     </t>
  </si>
  <si>
    <t xml:space="preserve">DEPOSITORY SERVICES                                 </t>
  </si>
  <si>
    <t xml:space="preserve">VAULT DEPOSIT </t>
  </si>
  <si>
    <t xml:space="preserve">DEP CONDITIONING-SURCHG-VAULT                       </t>
  </si>
  <si>
    <t xml:space="preserve">CURR/COIN DEP/$100-VLT                </t>
  </si>
  <si>
    <t xml:space="preserve">COIN DEPOSIT-NON STD BAG-VLT                       </t>
  </si>
  <si>
    <t xml:space="preserve">CURRENCY SUPP/$100-STD-VLT                          </t>
  </si>
  <si>
    <t xml:space="preserve">CHANGE ORDER-AUTO-VLT                               </t>
  </si>
  <si>
    <t xml:space="preserve">COIN SUPPLIED/ROLL-VLT                              </t>
  </si>
  <si>
    <t xml:space="preserve">CURRENCY SUPP/$100-NONSTD-VLT                       </t>
  </si>
  <si>
    <t xml:space="preserve">VAULT DEPOSIT-EXTENDED HOURS                        </t>
  </si>
  <si>
    <t xml:space="preserve">CASH LETTER/ITEM PROC DEPOSITS                      </t>
  </si>
  <si>
    <t xml:space="preserve">CKS DEP UN-ENCODED ITEMS                            </t>
  </si>
  <si>
    <t xml:space="preserve">RETURNS-CHARGEBACK                                  </t>
  </si>
  <si>
    <t xml:space="preserve">RETURNS-DUP ADVICE                                  </t>
  </si>
  <si>
    <t xml:space="preserve">RETURNS-NOTIF PHOTOCOPY                             </t>
  </si>
  <si>
    <t xml:space="preserve">RETURNS-NOTIFICATION FAX                            </t>
  </si>
  <si>
    <t xml:space="preserve">RETURNS-RECLEAR                                     </t>
  </si>
  <si>
    <t xml:space="preserve">DEPOSIT CORRECTION-CASH                             </t>
  </si>
  <si>
    <t xml:space="preserve">DEPOSIT CORRECTION-NON-CASH                         </t>
  </si>
  <si>
    <t xml:space="preserve">MAIL NOTIFICATION-DCN-VLT                           </t>
  </si>
  <si>
    <t xml:space="preserve">TOTAL DEPOSITORY SERVICES                                </t>
  </si>
  <si>
    <t xml:space="preserve">PAPER DISBURSEMENT SERVICES                         </t>
  </si>
  <si>
    <t xml:space="preserve">GENERAL CHECKS PAID TRUNCATED                       </t>
  </si>
  <si>
    <t xml:space="preserve">POSITIVE PAY EXCEPTIONS                             </t>
  </si>
  <si>
    <t xml:space="preserve">DIRECT PAID ITEM INQUIRY                            </t>
  </si>
  <si>
    <t xml:space="preserve">STOP PAY AUTOMATED&lt;=12 MONTHS                       </t>
  </si>
  <si>
    <t xml:space="preserve">CD/DVD ROM MAINTENANCE                                  </t>
  </si>
  <si>
    <t xml:space="preserve">CD/DVD ROM PER IMAGE                                    </t>
  </si>
  <si>
    <t xml:space="preserve">IMAGE RETRIEVAL BA DIRECT                           </t>
  </si>
  <si>
    <t xml:space="preserve">CD/DVD ROM DISK                                         </t>
  </si>
  <si>
    <t xml:space="preserve">IMAGE MAINTENANCE-DIRECT                           </t>
  </si>
  <si>
    <t xml:space="preserve">CPO ARP ISSUE RECD/DVD NOTIF                            </t>
  </si>
  <si>
    <t xml:space="preserve">ARP PPAY INPUT FILE-TRANS                           </t>
  </si>
  <si>
    <t xml:space="preserve">TOTAL PAPER DISBURSEMENT SERVICES                   </t>
  </si>
  <si>
    <t xml:space="preserve">PAPER DISB RECON SERVICES                           </t>
  </si>
  <si>
    <t xml:space="preserve">ARP PARTIAL PPAY MAINT-PPR RPT             </t>
  </si>
  <si>
    <t xml:space="preserve">ARP PARTIAL PPAY MAINT-SUPP                        </t>
  </si>
  <si>
    <t xml:space="preserve">ARP PARTIAL PPAY ITEM                              </t>
  </si>
  <si>
    <t xml:space="preserve">ARP RECON TRANS DAILY                               </t>
  </si>
  <si>
    <t xml:space="preserve">ARP RECON TRANS END OF CYCLE                        </t>
  </si>
  <si>
    <t xml:space="preserve">ARP ONLINE STMT LONG TERM                           </t>
  </si>
  <si>
    <t xml:space="preserve">TOTAL PAPER DISB RECON SERVICES </t>
  </si>
  <si>
    <t xml:space="preserve">                    </t>
  </si>
  <si>
    <t xml:space="preserve">GENERAL ACH SERVICES                                </t>
  </si>
  <si>
    <t xml:space="preserve">ACH MONTHLY MAINTENANCE                </t>
  </si>
  <si>
    <t xml:space="preserve">ACH LV-MONTHLY MAINTENANCE                          </t>
  </si>
  <si>
    <t xml:space="preserve">ACH CONSUMER ON US DEBITS                           </t>
  </si>
  <si>
    <t xml:space="preserve">ACH CONSUMER OFF US DEBITS                          </t>
  </si>
  <si>
    <t xml:space="preserve">ACH CONSUMER ON US CREDITS                         </t>
  </si>
  <si>
    <t xml:space="preserve">ACH CONSUMER OFF US CREDITS                         </t>
  </si>
  <si>
    <t xml:space="preserve">ACH LV ON US ITEMS                                  </t>
  </si>
  <si>
    <t xml:space="preserve">ACH LV OFF US ITEMS                                 </t>
  </si>
  <si>
    <t xml:space="preserve">ACH BLOCKS AUTH INSTRUCTIONS                        </t>
  </si>
  <si>
    <t xml:space="preserve">ACH DEBIT RECEIVED ITEM                             </t>
  </si>
  <si>
    <t xml:space="preserve">ACH CREDIT RECEIVED ITEM                            </t>
  </si>
  <si>
    <t xml:space="preserve">ACH RETURN ITEM                                    </t>
  </si>
  <si>
    <t xml:space="preserve">ACH OPTIONAL RPTS-ELECTRONIC                        </t>
  </si>
  <si>
    <t xml:space="preserve">ACH INPUT-FILE                                      </t>
  </si>
  <si>
    <t xml:space="preserve">ACH INPUT-ECHANNEL                                  </t>
  </si>
  <si>
    <t xml:space="preserve">PAYMODE CON TRANSACTION                             </t>
  </si>
  <si>
    <t xml:space="preserve">ACH BLOCKS AUTH MAINTENANCE                         </t>
  </si>
  <si>
    <t xml:space="preserve">ACH NOTIF OF CHANGE (NOC)                           </t>
  </si>
  <si>
    <t xml:space="preserve">PAYMODE CON MTHLY LICENSE                           </t>
  </si>
  <si>
    <t xml:space="preserve">ACH STANDARD REPORTS-FAX                            </t>
  </si>
  <si>
    <t xml:space="preserve">ACH STANDARD RPTS-ELECTRONIC                      </t>
  </si>
  <si>
    <t xml:space="preserve">TOTAL GENERAL ACH SERVICES                                        </t>
  </si>
  <si>
    <r>
      <t>WIRE &amp; OTHER FUNDS TRNSF SVCS</t>
    </r>
    <r>
      <rPr>
        <sz val="8"/>
        <color rgb="FF000000"/>
        <rFont val="Arial"/>
        <family val="2"/>
      </rPr>
      <t xml:space="preserve">                       </t>
    </r>
  </si>
  <si>
    <t xml:space="preserve">CPO GP MTHLY MAINT BASIC                            </t>
  </si>
  <si>
    <t xml:space="preserve">ELEC WIRE OUT-DOMESTIC                              </t>
  </si>
  <si>
    <t xml:space="preserve">ELEC WIRE OUT-USD INTL                              </t>
  </si>
  <si>
    <t xml:space="preserve">ELEC WIRE OUT-BOOK DB                          </t>
  </si>
  <si>
    <t xml:space="preserve">INCOMING DOMESTIC WIRE                            </t>
  </si>
  <si>
    <t xml:space="preserve">CPO GPS CONFIRMS                                    </t>
  </si>
  <si>
    <t xml:space="preserve">ELEC WIRE BK MNT TEMP STORAGE                       </t>
  </si>
  <si>
    <t xml:space="preserve">WIRE MODULE MAINTENANCE SVCS                        </t>
  </si>
  <si>
    <r>
      <t>TOTAL WIRE &amp; OTHER FUNDS TRNSF SVCS</t>
    </r>
    <r>
      <rPr>
        <sz val="8"/>
        <color rgb="FF000000"/>
        <rFont val="Arial"/>
        <family val="2"/>
      </rPr>
      <t xml:space="preserve">               </t>
    </r>
  </si>
  <si>
    <r>
      <t>INFORMATION SERVICES</t>
    </r>
    <r>
      <rPr>
        <sz val="8"/>
        <color rgb="FF000000"/>
        <rFont val="Arial"/>
        <family val="2"/>
      </rPr>
      <t xml:space="preserve">                                </t>
    </r>
  </si>
  <si>
    <t xml:space="preserve">CPO PREM PDR ACCOUNT                                </t>
  </si>
  <si>
    <t xml:space="preserve">CPO PREM CD/DVDR ACCOUNT                                </t>
  </si>
  <si>
    <t xml:space="preserve">CPO PREV DAY ITEM BUNDLED                           </t>
  </si>
  <si>
    <t xml:space="preserve">CPO CURR DAY ITEM BUNDLED                           </t>
  </si>
  <si>
    <t xml:space="preserve">CPO PREM PDR ITM STORED 12 MTH                      </t>
  </si>
  <si>
    <t xml:space="preserve">CPO PREM CD/DVDR ITEM                                   </t>
  </si>
  <si>
    <t xml:space="preserve">CPO ONLINE SUBSCRIPTION                             </t>
  </si>
  <si>
    <t xml:space="preserve">CPO PREM IR MAINTENANCE                             </t>
  </si>
  <si>
    <t xml:space="preserve">TOTAL INFORMATION SERVICES </t>
  </si>
  <si>
    <t xml:space="preserve">                         </t>
  </si>
  <si>
    <r>
      <t>INVESTMENT/CUSTODY SERVICES</t>
    </r>
    <r>
      <rPr>
        <sz val="8"/>
        <color rgb="FF000000"/>
        <rFont val="Arial"/>
        <family val="2"/>
      </rPr>
      <t xml:space="preserve">                         </t>
    </r>
  </si>
  <si>
    <t xml:space="preserve">AUTO MUTL FND INVEST ADV SHRS                      </t>
  </si>
  <si>
    <t xml:space="preserve">TOTAL INVESTMENT/CUSTODY SERVICES                   </t>
  </si>
  <si>
    <t>FEE PER ITEM</t>
  </si>
  <si>
    <t>TOTAL FEE</t>
  </si>
  <si>
    <t>ADDITIONAL FEES OR DISCOUNTS</t>
  </si>
  <si>
    <t>Total amount of BID</t>
  </si>
  <si>
    <t>Attachment III - General Banking Fees</t>
  </si>
  <si>
    <t>AV MTH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</si>
</sst>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tabSelected="1" workbookViewId="0">
      <selection activeCell="A44" sqref="A44"/>
    </sheetView>
  </sheetViews>
  <sheetFormatPr defaultRowHeight="15" x14ac:dyDescent="0.25"/>
  <cols>
    <col min="1" max="1" width="43.5703125" bestFit="1" customWidth="1"/>
    <col min="2" max="2" width="13" customWidth="1"/>
    <col min="3" max="3" width="12.140625" customWidth="1"/>
    <col min="4" max="4" width="1.85546875" customWidth="1"/>
    <col min="5" max="5" width="10.5703125" customWidth="1"/>
  </cols>
  <sheetData>
    <row r="1" spans="1:9" ht="33.75" x14ac:dyDescent="0.5">
      <c r="A1" s="9" t="s">
        <v>108</v>
      </c>
    </row>
    <row r="3" spans="1:9" x14ac:dyDescent="0.25">
      <c r="A3" s="5" t="s">
        <v>0</v>
      </c>
      <c r="B3" s="2" t="s">
        <v>109</v>
      </c>
      <c r="C3" s="2" t="s">
        <v>104</v>
      </c>
      <c r="D3" s="2"/>
      <c r="E3" s="2" t="s">
        <v>105</v>
      </c>
    </row>
    <row r="4" spans="1:9" x14ac:dyDescent="0.25">
      <c r="A4" s="3" t="s">
        <v>1</v>
      </c>
      <c r="B4" s="4">
        <v>4945</v>
      </c>
      <c r="C4" s="2"/>
      <c r="D4" s="2"/>
      <c r="E4" s="2"/>
    </row>
    <row r="5" spans="1:9" x14ac:dyDescent="0.25">
      <c r="A5" s="5" t="s">
        <v>2</v>
      </c>
      <c r="E5" s="6">
        <f>SUM(E4)</f>
        <v>0</v>
      </c>
    </row>
    <row r="7" spans="1:9" x14ac:dyDescent="0.25">
      <c r="A7" s="5" t="s">
        <v>3</v>
      </c>
    </row>
    <row r="8" spans="1:9" x14ac:dyDescent="0.25">
      <c r="A8" s="3" t="s">
        <v>4</v>
      </c>
      <c r="B8" s="3">
        <v>4</v>
      </c>
      <c r="C8" s="2"/>
      <c r="D8" s="2"/>
      <c r="E8" s="2"/>
    </row>
    <row r="9" spans="1:9" x14ac:dyDescent="0.25">
      <c r="A9" s="3" t="s">
        <v>5</v>
      </c>
      <c r="B9" s="3">
        <v>6</v>
      </c>
      <c r="C9" s="2"/>
      <c r="D9" s="2"/>
      <c r="E9" s="2"/>
    </row>
    <row r="10" spans="1:9" x14ac:dyDescent="0.25">
      <c r="A10" s="3" t="s">
        <v>6</v>
      </c>
      <c r="B10" s="3">
        <v>1</v>
      </c>
      <c r="C10" s="2"/>
      <c r="D10" s="2"/>
      <c r="E10" s="2"/>
    </row>
    <row r="11" spans="1:9" x14ac:dyDescent="0.25">
      <c r="A11" s="3" t="s">
        <v>7</v>
      </c>
      <c r="B11" s="3">
        <v>3</v>
      </c>
      <c r="C11" s="2"/>
      <c r="D11" s="2"/>
      <c r="E11" s="2"/>
    </row>
    <row r="12" spans="1:9" x14ac:dyDescent="0.25">
      <c r="A12" s="3" t="s">
        <v>8</v>
      </c>
      <c r="B12" s="3">
        <v>129</v>
      </c>
      <c r="C12" s="2"/>
      <c r="D12" s="2"/>
      <c r="E12" s="2"/>
    </row>
    <row r="13" spans="1:9" x14ac:dyDescent="0.25">
      <c r="A13" s="3" t="s">
        <v>9</v>
      </c>
      <c r="B13" s="3">
        <v>546</v>
      </c>
      <c r="C13" s="2"/>
      <c r="D13" s="2"/>
      <c r="E13" s="2"/>
      <c r="I13" s="1" t="s">
        <v>10</v>
      </c>
    </row>
    <row r="14" spans="1:9" x14ac:dyDescent="0.25">
      <c r="A14" s="3" t="s">
        <v>11</v>
      </c>
      <c r="B14" s="3">
        <v>4</v>
      </c>
      <c r="C14" s="2"/>
      <c r="D14" s="2"/>
      <c r="E14" s="2"/>
    </row>
    <row r="15" spans="1:9" x14ac:dyDescent="0.25">
      <c r="A15" s="3" t="s">
        <v>12</v>
      </c>
      <c r="B15" s="3">
        <v>1</v>
      </c>
      <c r="C15" s="2"/>
      <c r="D15" s="2"/>
      <c r="E15" s="2"/>
    </row>
    <row r="16" spans="1:9" x14ac:dyDescent="0.25">
      <c r="A16" s="5" t="s">
        <v>13</v>
      </c>
      <c r="E16" s="6">
        <f>SUM(E8:E15)</f>
        <v>0</v>
      </c>
    </row>
    <row r="18" spans="1:5" x14ac:dyDescent="0.25">
      <c r="A18" s="5" t="s">
        <v>14</v>
      </c>
    </row>
    <row r="19" spans="1:5" x14ac:dyDescent="0.25">
      <c r="A19" s="3" t="s">
        <v>15</v>
      </c>
      <c r="B19" s="3">
        <v>159</v>
      </c>
      <c r="C19" s="2"/>
      <c r="D19" s="2"/>
      <c r="E19" s="2"/>
    </row>
    <row r="20" spans="1:5" x14ac:dyDescent="0.25">
      <c r="A20" s="3" t="s">
        <v>16</v>
      </c>
      <c r="B20" s="3">
        <v>6</v>
      </c>
      <c r="C20" s="2"/>
      <c r="D20" s="2"/>
      <c r="E20" s="2"/>
    </row>
    <row r="21" spans="1:5" x14ac:dyDescent="0.25">
      <c r="A21" s="3" t="s">
        <v>17</v>
      </c>
      <c r="B21" s="4">
        <v>2740</v>
      </c>
      <c r="C21" s="3"/>
      <c r="D21" s="2"/>
      <c r="E21" s="2"/>
    </row>
    <row r="22" spans="1:5" x14ac:dyDescent="0.25">
      <c r="A22" s="3" t="s">
        <v>18</v>
      </c>
      <c r="B22" s="3">
        <v>28</v>
      </c>
      <c r="C22" s="2"/>
      <c r="D22" s="2"/>
      <c r="E22" s="2"/>
    </row>
    <row r="23" spans="1:5" x14ac:dyDescent="0.25">
      <c r="A23" s="3" t="s">
        <v>19</v>
      </c>
      <c r="B23" s="3">
        <v>17</v>
      </c>
      <c r="C23" s="2"/>
      <c r="D23" s="2"/>
      <c r="E23" s="2"/>
    </row>
    <row r="24" spans="1:5" x14ac:dyDescent="0.25">
      <c r="A24" s="3" t="s">
        <v>20</v>
      </c>
      <c r="B24" s="3">
        <v>5</v>
      </c>
      <c r="C24" s="2"/>
      <c r="D24" s="2"/>
      <c r="E24" s="2"/>
    </row>
    <row r="25" spans="1:5" x14ac:dyDescent="0.25">
      <c r="A25" s="3" t="s">
        <v>21</v>
      </c>
      <c r="B25" s="3">
        <v>66</v>
      </c>
      <c r="C25" s="2"/>
      <c r="D25" s="2"/>
      <c r="E25" s="2"/>
    </row>
    <row r="26" spans="1:5" x14ac:dyDescent="0.25">
      <c r="A26" s="3" t="s">
        <v>22</v>
      </c>
      <c r="B26" s="3">
        <v>14</v>
      </c>
      <c r="C26" s="2"/>
      <c r="D26" s="2"/>
      <c r="E26" s="2"/>
    </row>
    <row r="27" spans="1:5" x14ac:dyDescent="0.25">
      <c r="A27" s="3" t="s">
        <v>23</v>
      </c>
      <c r="B27" s="3">
        <v>2</v>
      </c>
      <c r="C27" s="2"/>
      <c r="D27" s="2"/>
      <c r="E27" s="2"/>
    </row>
    <row r="28" spans="1:5" x14ac:dyDescent="0.25">
      <c r="A28" s="3" t="s">
        <v>24</v>
      </c>
      <c r="B28" s="3">
        <v>3</v>
      </c>
      <c r="C28" s="2"/>
      <c r="D28" s="2"/>
      <c r="E28" s="2"/>
    </row>
    <row r="29" spans="1:5" x14ac:dyDescent="0.25">
      <c r="A29" s="3" t="s">
        <v>25</v>
      </c>
      <c r="B29" s="4">
        <v>5250</v>
      </c>
      <c r="C29" s="2"/>
      <c r="D29" s="2"/>
      <c r="E29" s="2"/>
    </row>
    <row r="30" spans="1:5" x14ac:dyDescent="0.25">
      <c r="A30" s="3" t="s">
        <v>26</v>
      </c>
      <c r="B30" s="3">
        <v>42</v>
      </c>
      <c r="C30" s="2"/>
      <c r="D30" s="2"/>
      <c r="E30" s="2"/>
    </row>
    <row r="31" spans="1:5" x14ac:dyDescent="0.25">
      <c r="A31" s="3" t="s">
        <v>27</v>
      </c>
      <c r="B31" s="3">
        <v>23</v>
      </c>
      <c r="C31" s="2"/>
      <c r="D31" s="2"/>
      <c r="E31" s="2"/>
    </row>
    <row r="32" spans="1:5" x14ac:dyDescent="0.25">
      <c r="A32" s="3" t="s">
        <v>28</v>
      </c>
      <c r="B32" s="3">
        <v>42</v>
      </c>
      <c r="C32" s="2"/>
      <c r="D32" s="2"/>
      <c r="E32" s="2"/>
    </row>
    <row r="33" spans="1:5" x14ac:dyDescent="0.25">
      <c r="A33" s="3" t="s">
        <v>29</v>
      </c>
      <c r="B33" s="3">
        <v>23</v>
      </c>
      <c r="C33" s="2"/>
      <c r="D33" s="2"/>
      <c r="E33" s="2"/>
    </row>
    <row r="34" spans="1:5" x14ac:dyDescent="0.25">
      <c r="A34" s="3" t="s">
        <v>30</v>
      </c>
      <c r="B34" s="3">
        <v>43</v>
      </c>
      <c r="C34" s="2"/>
      <c r="D34" s="2"/>
      <c r="E34" s="2"/>
    </row>
    <row r="35" spans="1:5" x14ac:dyDescent="0.25">
      <c r="A35" s="3" t="s">
        <v>31</v>
      </c>
      <c r="B35" s="3">
        <v>2</v>
      </c>
      <c r="C35" s="2"/>
      <c r="D35" s="2"/>
      <c r="E35" s="2"/>
    </row>
    <row r="36" spans="1:5" x14ac:dyDescent="0.25">
      <c r="A36" s="3" t="s">
        <v>32</v>
      </c>
      <c r="B36" s="3">
        <v>3</v>
      </c>
      <c r="C36" s="2"/>
      <c r="D36" s="2"/>
      <c r="E36" s="2"/>
    </row>
    <row r="37" spans="1:5" x14ac:dyDescent="0.25">
      <c r="A37" s="3" t="s">
        <v>33</v>
      </c>
      <c r="B37" s="3">
        <v>2</v>
      </c>
      <c r="C37" s="2"/>
      <c r="D37" s="2"/>
      <c r="E37" s="2"/>
    </row>
    <row r="38" spans="1:5" x14ac:dyDescent="0.25">
      <c r="A38" s="5" t="s">
        <v>34</v>
      </c>
      <c r="E38" s="6">
        <f>SUM(E19:E37)</f>
        <v>0</v>
      </c>
    </row>
    <row r="40" spans="1:5" x14ac:dyDescent="0.25">
      <c r="A40" s="5" t="s">
        <v>35</v>
      </c>
    </row>
    <row r="41" spans="1:5" x14ac:dyDescent="0.25">
      <c r="A41" s="3" t="s">
        <v>36</v>
      </c>
      <c r="B41" s="4">
        <v>1754</v>
      </c>
      <c r="C41" s="2"/>
      <c r="D41" s="2"/>
      <c r="E41" s="2"/>
    </row>
    <row r="42" spans="1:5" x14ac:dyDescent="0.25">
      <c r="A42" s="3" t="s">
        <v>37</v>
      </c>
      <c r="B42" s="3">
        <v>2</v>
      </c>
      <c r="C42" s="2"/>
      <c r="D42" s="2"/>
      <c r="E42" s="2"/>
    </row>
    <row r="43" spans="1:5" x14ac:dyDescent="0.25">
      <c r="A43" s="3" t="s">
        <v>38</v>
      </c>
      <c r="B43" s="3">
        <v>25</v>
      </c>
      <c r="C43" s="2"/>
      <c r="D43" s="2"/>
      <c r="E43" s="2"/>
    </row>
    <row r="44" spans="1:5" x14ac:dyDescent="0.25">
      <c r="A44" s="3" t="s">
        <v>39</v>
      </c>
      <c r="B44" s="3">
        <v>4</v>
      </c>
      <c r="C44" s="2"/>
      <c r="D44" s="2"/>
      <c r="E44" s="2"/>
    </row>
    <row r="45" spans="1:5" x14ac:dyDescent="0.25">
      <c r="A45" s="3" t="s">
        <v>40</v>
      </c>
      <c r="B45" s="3">
        <v>4</v>
      </c>
      <c r="C45" s="2"/>
      <c r="D45" s="2"/>
      <c r="E45" s="2"/>
    </row>
    <row r="46" spans="1:5" x14ac:dyDescent="0.25">
      <c r="A46" s="3" t="s">
        <v>41</v>
      </c>
      <c r="B46" s="4">
        <v>1754</v>
      </c>
      <c r="C46" s="2"/>
      <c r="D46" s="2"/>
      <c r="E46" s="2"/>
    </row>
    <row r="47" spans="1:5" x14ac:dyDescent="0.25">
      <c r="A47" s="3" t="s">
        <v>42</v>
      </c>
      <c r="B47" s="3">
        <v>11</v>
      </c>
      <c r="C47" s="2"/>
      <c r="D47" s="2"/>
      <c r="E47" s="2"/>
    </row>
    <row r="48" spans="1:5" x14ac:dyDescent="0.25">
      <c r="A48" s="3" t="s">
        <v>43</v>
      </c>
      <c r="B48" s="3">
        <v>1</v>
      </c>
      <c r="C48" s="2"/>
      <c r="D48" s="2"/>
      <c r="E48" s="2"/>
    </row>
    <row r="49" spans="1:5" x14ac:dyDescent="0.25">
      <c r="A49" s="3" t="s">
        <v>44</v>
      </c>
      <c r="B49" s="3">
        <v>6</v>
      </c>
      <c r="C49" s="2"/>
      <c r="D49" s="2"/>
      <c r="E49" s="2"/>
    </row>
    <row r="50" spans="1:5" x14ac:dyDescent="0.25">
      <c r="A50" s="3" t="s">
        <v>45</v>
      </c>
      <c r="B50" s="3">
        <v>142</v>
      </c>
      <c r="C50" s="2"/>
      <c r="D50" s="2"/>
      <c r="E50" s="2"/>
    </row>
    <row r="51" spans="1:5" x14ac:dyDescent="0.25">
      <c r="A51" s="3" t="s">
        <v>46</v>
      </c>
      <c r="B51" s="3">
        <v>14</v>
      </c>
      <c r="C51" s="2"/>
      <c r="D51" s="2"/>
      <c r="E51" s="2"/>
    </row>
    <row r="52" spans="1:5" x14ac:dyDescent="0.25">
      <c r="A52" s="5" t="s">
        <v>47</v>
      </c>
      <c r="E52" s="6">
        <f>SUM(E41:E51)</f>
        <v>0</v>
      </c>
    </row>
    <row r="54" spans="1:5" x14ac:dyDescent="0.25">
      <c r="A54" s="5" t="s">
        <v>48</v>
      </c>
    </row>
    <row r="55" spans="1:5" x14ac:dyDescent="0.25">
      <c r="A55" s="3" t="s">
        <v>49</v>
      </c>
      <c r="B55" s="3">
        <v>2</v>
      </c>
      <c r="C55" s="2"/>
      <c r="D55" s="2"/>
      <c r="E55" s="2"/>
    </row>
    <row r="56" spans="1:5" x14ac:dyDescent="0.25">
      <c r="A56" s="3" t="s">
        <v>50</v>
      </c>
      <c r="B56" s="3">
        <v>1</v>
      </c>
      <c r="C56" s="2"/>
      <c r="D56" s="2"/>
      <c r="E56" s="2"/>
    </row>
    <row r="57" spans="1:5" x14ac:dyDescent="0.25">
      <c r="A57" s="3" t="s">
        <v>51</v>
      </c>
      <c r="B57" s="4">
        <v>1754</v>
      </c>
      <c r="C57" s="2"/>
      <c r="D57" s="2"/>
      <c r="E57" s="2"/>
    </row>
    <row r="58" spans="1:5" x14ac:dyDescent="0.25">
      <c r="A58" s="3" t="s">
        <v>52</v>
      </c>
      <c r="B58" s="3">
        <v>40</v>
      </c>
      <c r="C58" s="2"/>
      <c r="D58" s="2"/>
      <c r="E58" s="2"/>
    </row>
    <row r="59" spans="1:5" x14ac:dyDescent="0.25">
      <c r="A59" s="3" t="s">
        <v>53</v>
      </c>
      <c r="B59" s="3">
        <v>1</v>
      </c>
      <c r="C59" s="2"/>
      <c r="D59" s="2"/>
      <c r="E59" s="2"/>
    </row>
    <row r="60" spans="1:5" x14ac:dyDescent="0.25">
      <c r="A60" s="3" t="s">
        <v>54</v>
      </c>
      <c r="B60" s="3">
        <v>2</v>
      </c>
      <c r="C60" s="2"/>
      <c r="D60" s="2"/>
      <c r="E60" s="2"/>
    </row>
    <row r="61" spans="1:5" x14ac:dyDescent="0.25">
      <c r="A61" s="5" t="s">
        <v>55</v>
      </c>
      <c r="E61" s="6">
        <f>SUM(E55:E60)</f>
        <v>0</v>
      </c>
    </row>
    <row r="62" spans="1:5" x14ac:dyDescent="0.25">
      <c r="A62" t="s">
        <v>56</v>
      </c>
    </row>
    <row r="63" spans="1:5" x14ac:dyDescent="0.25">
      <c r="A63" s="5" t="s">
        <v>57</v>
      </c>
    </row>
    <row r="64" spans="1:5" x14ac:dyDescent="0.25">
      <c r="A64" s="3" t="s">
        <v>58</v>
      </c>
      <c r="B64" s="3">
        <v>5</v>
      </c>
      <c r="C64" s="2"/>
      <c r="D64" s="2"/>
      <c r="E64" s="2"/>
    </row>
    <row r="65" spans="1:5" x14ac:dyDescent="0.25">
      <c r="A65" s="3" t="s">
        <v>59</v>
      </c>
      <c r="B65" s="3">
        <v>2</v>
      </c>
      <c r="C65" s="2"/>
      <c r="D65" s="2"/>
      <c r="E65" s="2"/>
    </row>
    <row r="66" spans="1:5" x14ac:dyDescent="0.25">
      <c r="A66" s="3" t="s">
        <v>60</v>
      </c>
      <c r="B66" s="3">
        <v>736</v>
      </c>
      <c r="C66" s="2"/>
      <c r="D66" s="2"/>
      <c r="E66" s="2"/>
    </row>
    <row r="67" spans="1:5" x14ac:dyDescent="0.25">
      <c r="A67" s="3" t="s">
        <v>61</v>
      </c>
      <c r="B67" s="4">
        <v>2760</v>
      </c>
      <c r="C67" s="2"/>
      <c r="D67" s="2"/>
      <c r="E67" s="2"/>
    </row>
    <row r="68" spans="1:5" x14ac:dyDescent="0.25">
      <c r="A68" s="3" t="s">
        <v>62</v>
      </c>
      <c r="B68" s="3">
        <v>550</v>
      </c>
      <c r="C68" s="2"/>
      <c r="D68" s="2"/>
      <c r="E68" s="2"/>
    </row>
    <row r="69" spans="1:5" x14ac:dyDescent="0.25">
      <c r="A69" s="3" t="s">
        <v>63</v>
      </c>
      <c r="B69" s="4">
        <v>2927</v>
      </c>
      <c r="C69" s="2"/>
      <c r="D69" s="2"/>
      <c r="E69" s="2"/>
    </row>
    <row r="70" spans="1:5" x14ac:dyDescent="0.25">
      <c r="A70" s="3" t="s">
        <v>64</v>
      </c>
      <c r="B70" s="3">
        <v>2</v>
      </c>
      <c r="C70" s="2"/>
      <c r="D70" s="2"/>
      <c r="E70" s="2"/>
    </row>
    <row r="71" spans="1:5" x14ac:dyDescent="0.25">
      <c r="A71" s="3" t="s">
        <v>65</v>
      </c>
      <c r="B71" s="3">
        <v>15</v>
      </c>
      <c r="C71" s="2"/>
      <c r="D71" s="2"/>
      <c r="E71" s="2"/>
    </row>
    <row r="72" spans="1:5" x14ac:dyDescent="0.25">
      <c r="A72" s="3" t="s">
        <v>66</v>
      </c>
      <c r="B72" s="3">
        <v>4</v>
      </c>
      <c r="C72" s="2"/>
      <c r="D72" s="2"/>
      <c r="E72" s="2"/>
    </row>
    <row r="73" spans="1:5" x14ac:dyDescent="0.25">
      <c r="A73" s="3" t="s">
        <v>67</v>
      </c>
      <c r="B73" s="3">
        <v>79</v>
      </c>
      <c r="C73" s="2"/>
      <c r="D73" s="2"/>
      <c r="E73" s="2"/>
    </row>
    <row r="74" spans="1:5" x14ac:dyDescent="0.25">
      <c r="A74" s="3" t="s">
        <v>68</v>
      </c>
      <c r="B74" s="3">
        <v>533</v>
      </c>
      <c r="C74" s="2"/>
      <c r="D74" s="2"/>
      <c r="E74" s="2"/>
    </row>
    <row r="75" spans="1:5" x14ac:dyDescent="0.25">
      <c r="A75" s="3" t="s">
        <v>69</v>
      </c>
      <c r="B75" s="3">
        <v>12</v>
      </c>
      <c r="C75" s="2"/>
      <c r="D75" s="2"/>
      <c r="E75" s="2"/>
    </row>
    <row r="76" spans="1:5" x14ac:dyDescent="0.25">
      <c r="A76" s="3" t="s">
        <v>70</v>
      </c>
      <c r="B76" s="3">
        <v>35</v>
      </c>
      <c r="C76" s="2"/>
      <c r="D76" s="2"/>
      <c r="E76" s="2"/>
    </row>
    <row r="77" spans="1:5" x14ac:dyDescent="0.25">
      <c r="A77" s="3" t="s">
        <v>71</v>
      </c>
      <c r="B77" s="3">
        <v>41</v>
      </c>
      <c r="C77" s="2"/>
      <c r="D77" s="2"/>
      <c r="E77" s="2"/>
    </row>
    <row r="78" spans="1:5" x14ac:dyDescent="0.25">
      <c r="A78" s="3" t="s">
        <v>72</v>
      </c>
      <c r="B78" s="3">
        <v>1</v>
      </c>
      <c r="C78" s="2"/>
      <c r="D78" s="2"/>
      <c r="E78" s="2"/>
    </row>
    <row r="79" spans="1:5" x14ac:dyDescent="0.25">
      <c r="A79" s="3" t="s">
        <v>73</v>
      </c>
      <c r="B79" s="4">
        <v>15325</v>
      </c>
      <c r="C79" s="2"/>
      <c r="D79" s="2"/>
      <c r="E79" s="2"/>
    </row>
    <row r="80" spans="1:5" x14ac:dyDescent="0.25">
      <c r="A80" s="3" t="s">
        <v>74</v>
      </c>
      <c r="B80" s="3">
        <v>4</v>
      </c>
      <c r="C80" s="2"/>
      <c r="D80" s="2"/>
      <c r="E80" s="2"/>
    </row>
    <row r="81" spans="1:5" x14ac:dyDescent="0.25">
      <c r="A81" s="3" t="s">
        <v>75</v>
      </c>
      <c r="B81" s="3">
        <v>2</v>
      </c>
      <c r="C81" s="2"/>
      <c r="D81" s="2"/>
      <c r="E81" s="2"/>
    </row>
    <row r="82" spans="1:5" x14ac:dyDescent="0.25">
      <c r="A82" s="3" t="s">
        <v>76</v>
      </c>
      <c r="B82" s="3">
        <v>1</v>
      </c>
      <c r="C82" s="2"/>
      <c r="D82" s="2"/>
      <c r="E82" s="2"/>
    </row>
    <row r="83" spans="1:5" x14ac:dyDescent="0.25">
      <c r="A83" s="3" t="s">
        <v>77</v>
      </c>
      <c r="B83" s="3">
        <v>3</v>
      </c>
      <c r="C83" s="2"/>
      <c r="D83" s="2"/>
      <c r="E83" s="2"/>
    </row>
    <row r="84" spans="1:5" x14ac:dyDescent="0.25">
      <c r="A84" s="3" t="s">
        <v>78</v>
      </c>
      <c r="B84" s="3">
        <v>12</v>
      </c>
      <c r="C84" s="2"/>
      <c r="D84" s="2"/>
      <c r="E84" s="2"/>
    </row>
    <row r="85" spans="1:5" x14ac:dyDescent="0.25">
      <c r="A85" s="5" t="s">
        <v>79</v>
      </c>
      <c r="E85" s="6">
        <f>SUM(E64:E84)</f>
        <v>0</v>
      </c>
    </row>
    <row r="87" spans="1:5" x14ac:dyDescent="0.25">
      <c r="A87" s="5" t="s">
        <v>80</v>
      </c>
    </row>
    <row r="88" spans="1:5" x14ac:dyDescent="0.25">
      <c r="A88" s="3" t="s">
        <v>81</v>
      </c>
      <c r="B88" s="3">
        <v>1</v>
      </c>
      <c r="C88" s="2"/>
      <c r="D88" s="2"/>
      <c r="E88" s="2"/>
    </row>
    <row r="89" spans="1:5" x14ac:dyDescent="0.25">
      <c r="A89" s="3" t="s">
        <v>82</v>
      </c>
      <c r="B89" s="3">
        <v>33</v>
      </c>
      <c r="C89" s="2"/>
      <c r="D89" s="2"/>
      <c r="E89" s="2"/>
    </row>
    <row r="90" spans="1:5" x14ac:dyDescent="0.25">
      <c r="A90" s="3" t="s">
        <v>83</v>
      </c>
      <c r="B90" s="3">
        <v>1</v>
      </c>
      <c r="C90" s="2"/>
      <c r="D90" s="2"/>
      <c r="E90" s="2"/>
    </row>
    <row r="91" spans="1:5" x14ac:dyDescent="0.25">
      <c r="A91" s="3" t="s">
        <v>84</v>
      </c>
      <c r="B91" s="3">
        <v>6</v>
      </c>
      <c r="C91" s="2"/>
      <c r="D91" s="2"/>
      <c r="E91" s="2"/>
    </row>
    <row r="92" spans="1:5" x14ac:dyDescent="0.25">
      <c r="A92" s="3" t="s">
        <v>85</v>
      </c>
      <c r="B92" s="3">
        <v>10</v>
      </c>
      <c r="C92" s="2"/>
      <c r="D92" s="2"/>
      <c r="E92" s="2"/>
    </row>
    <row r="93" spans="1:5" x14ac:dyDescent="0.25">
      <c r="A93" s="3" t="s">
        <v>86</v>
      </c>
      <c r="B93" s="3">
        <v>28</v>
      </c>
      <c r="C93" s="2"/>
      <c r="D93" s="2"/>
      <c r="E93" s="2"/>
    </row>
    <row r="94" spans="1:5" x14ac:dyDescent="0.25">
      <c r="A94" s="3" t="s">
        <v>87</v>
      </c>
      <c r="B94" s="3">
        <v>184</v>
      </c>
      <c r="C94" s="2"/>
      <c r="D94" s="2"/>
      <c r="E94" s="2"/>
    </row>
    <row r="95" spans="1:5" x14ac:dyDescent="0.25">
      <c r="A95" s="3" t="s">
        <v>88</v>
      </c>
      <c r="B95" s="3">
        <v>1</v>
      </c>
      <c r="C95" s="2"/>
      <c r="D95" s="2"/>
      <c r="E95" s="2"/>
    </row>
    <row r="96" spans="1:5" x14ac:dyDescent="0.25">
      <c r="A96" s="5" t="s">
        <v>89</v>
      </c>
      <c r="E96" s="6">
        <f>SUM(E88:E95)</f>
        <v>0</v>
      </c>
    </row>
    <row r="98" spans="1:5" x14ac:dyDescent="0.25">
      <c r="A98" s="5" t="s">
        <v>90</v>
      </c>
    </row>
    <row r="99" spans="1:5" x14ac:dyDescent="0.25">
      <c r="A99" s="3" t="s">
        <v>91</v>
      </c>
      <c r="B99" s="3">
        <v>8</v>
      </c>
      <c r="C99" s="2"/>
      <c r="D99" s="2"/>
      <c r="E99" s="2"/>
    </row>
    <row r="100" spans="1:5" x14ac:dyDescent="0.25">
      <c r="A100" s="3" t="s">
        <v>92</v>
      </c>
      <c r="B100" s="3">
        <v>1</v>
      </c>
      <c r="C100" s="2"/>
      <c r="D100" s="2"/>
      <c r="E100" s="2"/>
    </row>
    <row r="101" spans="1:5" x14ac:dyDescent="0.25">
      <c r="A101" s="3" t="s">
        <v>93</v>
      </c>
      <c r="B101" s="3">
        <v>1</v>
      </c>
      <c r="C101" s="2"/>
      <c r="D101" s="2"/>
      <c r="E101" s="2"/>
    </row>
    <row r="102" spans="1:5" x14ac:dyDescent="0.25">
      <c r="A102" s="3" t="s">
        <v>94</v>
      </c>
      <c r="B102" s="3">
        <v>1</v>
      </c>
      <c r="C102" s="2"/>
      <c r="D102" s="2"/>
      <c r="E102" s="2"/>
    </row>
    <row r="103" spans="1:5" x14ac:dyDescent="0.25">
      <c r="A103" s="3" t="s">
        <v>95</v>
      </c>
      <c r="B103" s="4">
        <v>3108</v>
      </c>
      <c r="C103" s="2"/>
      <c r="D103" s="2"/>
      <c r="E103" s="2"/>
    </row>
    <row r="104" spans="1:5" x14ac:dyDescent="0.25">
      <c r="A104" s="3" t="s">
        <v>96</v>
      </c>
      <c r="B104" s="4">
        <v>1423</v>
      </c>
      <c r="C104" s="2"/>
      <c r="D104" s="2"/>
      <c r="E104" s="2"/>
    </row>
    <row r="105" spans="1:5" x14ac:dyDescent="0.25">
      <c r="A105" s="3" t="s">
        <v>97</v>
      </c>
      <c r="B105" s="3">
        <v>1</v>
      </c>
      <c r="C105" s="2"/>
      <c r="D105" s="2"/>
      <c r="E105" s="2"/>
    </row>
    <row r="106" spans="1:5" x14ac:dyDescent="0.25">
      <c r="A106" s="3" t="s">
        <v>98</v>
      </c>
      <c r="B106" s="3">
        <v>1</v>
      </c>
      <c r="C106" s="2"/>
      <c r="D106" s="2"/>
      <c r="E106" s="2"/>
    </row>
    <row r="107" spans="1:5" x14ac:dyDescent="0.25">
      <c r="A107" s="5" t="s">
        <v>99</v>
      </c>
      <c r="E107" s="6">
        <f>SUM(E99:E106)</f>
        <v>0</v>
      </c>
    </row>
    <row r="108" spans="1:5" x14ac:dyDescent="0.25">
      <c r="A108" t="s">
        <v>100</v>
      </c>
    </row>
    <row r="109" spans="1:5" x14ac:dyDescent="0.25">
      <c r="A109" s="5" t="s">
        <v>101</v>
      </c>
    </row>
    <row r="110" spans="1:5" x14ac:dyDescent="0.25">
      <c r="A110" s="3" t="s">
        <v>102</v>
      </c>
      <c r="B110" s="3">
        <v>1</v>
      </c>
      <c r="C110" s="2"/>
      <c r="D110" s="2"/>
      <c r="E110" s="2">
        <f t="shared" ref="E110" si="0">B110*C110</f>
        <v>0</v>
      </c>
    </row>
    <row r="111" spans="1:5" x14ac:dyDescent="0.25">
      <c r="A111" s="5" t="s">
        <v>103</v>
      </c>
      <c r="E111" s="6">
        <f>SUM(E110)</f>
        <v>0</v>
      </c>
    </row>
    <row r="113" spans="1:5" x14ac:dyDescent="0.25">
      <c r="A113" s="5" t="s">
        <v>106</v>
      </c>
      <c r="B113" s="3"/>
      <c r="C113" s="3"/>
      <c r="D113" s="3"/>
      <c r="E113" s="8"/>
    </row>
    <row r="115" spans="1:5" ht="15.75" x14ac:dyDescent="0.25">
      <c r="A115" s="5" t="s">
        <v>107</v>
      </c>
      <c r="E115" s="7">
        <f>SUM(E113,E111,E107,E96,E85,E61,E52,E38,E16,E5)</f>
        <v>0</v>
      </c>
    </row>
  </sheetData>
  <pageMargins left="0.7" right="0.7" top="0.75" bottom="0.75" header="0.3" footer="0.3"/>
  <pageSetup orientation="portrait" r:id="rId1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Clarizio, Jacquie</dc:creator>
  <cp:lastModifiedBy>Clarizio, Jacquie</cp:lastModifiedBy>
  <cp:lastPrinted>2012-10-12T16:02:43Z</cp:lastPrinted>
  <dcterms:created xsi:type="dcterms:W3CDTF">2012-10-09T23:09:53Z</dcterms:created>
  <dcterms:modified xsi:type="dcterms:W3CDTF">2012-10-12T16:02:52Z</dcterms:modified>
</cp:coreProperties>
</file>